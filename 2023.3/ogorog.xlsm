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korne\OneDrive\Dokumentumok\GitHub\diku-oktv\2023.3\"/>
    </mc:Choice>
  </mc:AlternateContent>
  <xr:revisionPtr revIDLastSave="0" documentId="13_ncr:1_{46ECA5D5-DFC5-4F57-934D-4989F049A780}" xr6:coauthVersionLast="47" xr6:coauthVersionMax="47" xr10:uidLastSave="{00000000-0000-0000-0000-000000000000}"/>
  <bookViews>
    <workbookView xWindow="-120" yWindow="-120" windowWidth="38640" windowHeight="21120" activeTab="6" xr2:uid="{32602418-2949-441C-ACF9-FD5C2611C2EB}"/>
  </bookViews>
  <sheets>
    <sheet name="ForrásBontás" sheetId="1" r:id="rId1"/>
    <sheet name="GörögIdővonal" sheetId="2" r:id="rId2"/>
    <sheet name="Történelem" sheetId="3" r:id="rId3"/>
    <sheet name="Euclid" sheetId="4" r:id="rId4"/>
    <sheet name="Thales" sheetId="6" r:id="rId5"/>
    <sheet name="Eratosthenes q elötti" sheetId="7" r:id="rId6"/>
    <sheet name="Eratosthenes" sheetId="8" r:id="rId7"/>
  </sheets>
  <functionGroups builtInGroupCount="19"/>
  <definedNames>
    <definedName name="_xleta.MATCH" hidden="1" xlm="1">#NAME?</definedName>
    <definedName name="_xleta.OFFSET" hidden="1" xlm="1">#NAME?</definedName>
    <definedName name="_xleta.UNIQUE" hidden="1" xlm="1">#NAME?</definedName>
    <definedName name="_xlpm.a" hidden="1" xlm="1">#NAME?</definedName>
    <definedName name="_xlpm.d" hidden="1" xlm="1">#NAME?</definedName>
    <definedName name="_xlpm.da" hidden="1" xlm="1">#NAME?</definedName>
    <definedName name="_xlpm.dat" hidden="1" xlm="1">#NAME?</definedName>
    <definedName name="_xlpm.data" hidden="1" xlm="1">#NAME?</definedName>
    <definedName name="_xlpm.i" hidden="1" xlm="1">#NAME?</definedName>
    <definedName name="_xlpm.indexed" hidden="1" xlm="1">#NAME?</definedName>
    <definedName name="_xlpm.is" hidden="1" xlm="1">#NAME?</definedName>
    <definedName name="_xlpm.is_" hidden="1" xlm="1">#NAME?</definedName>
    <definedName name="_xlpm.is_i" hidden="1" xlm="1">#NAME?</definedName>
    <definedName name="_xlpm.is_in" hidden="1" xlm="1">#NAME?</definedName>
    <definedName name="_xlpm.is_inc" hidden="1" xlm="1">#NAME?</definedName>
    <definedName name="_xlpm.is_incl" hidden="1" xlm="1">#NAME?</definedName>
    <definedName name="_xlpm.is_inclu" hidden="1" xlm="1">#NAME?</definedName>
    <definedName name="_xlpm.is_includ" hidden="1" xlm="1">#NAME?</definedName>
    <definedName name="_xlpm.is_include" hidden="1" xlm="1">#NAME?</definedName>
    <definedName name="_xlpm.is_included" hidden="1" xlm="1">#NAME?</definedName>
    <definedName name="_xlpm.last" hidden="1" xlm="1">#NAME?</definedName>
    <definedName name="_xlpm.stuff" hidden="1" xlm="1">#NAME?</definedName>
    <definedName name="_xlpm.szoveg" hidden="1" xlm="1">#NAME?</definedName>
    <definedName name="_xlpm.t" hidden="1" xlm="1">#NAME?</definedName>
    <definedName name="_xlpm.te" hidden="1" xlm="1">#NAME?</definedName>
    <definedName name="_xlpm.tex" hidden="1" xlm="1">#NAME?</definedName>
    <definedName name="_xlpm.text" hidden="1" xlm="1">#NAME?</definedName>
    <definedName name="kör_r" localSheetId="4">Thales!$B$1</definedName>
    <definedName name="kör_r">#REF!</definedName>
    <definedName name="összes_adat">ForrásBontás!$P$2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8" l="1"/>
  <c r="D2" i="8"/>
  <c r="E2" i="8"/>
  <c r="F2" i="8"/>
  <c r="G2" i="8"/>
  <c r="H2" i="8"/>
  <c r="I2" i="8"/>
  <c r="J2" i="8"/>
  <c r="K2" i="8"/>
  <c r="L2" i="8"/>
  <c r="M2" i="8"/>
  <c r="N2" i="8"/>
  <c r="O2" i="8"/>
  <c r="P2" i="8"/>
  <c r="Q2" i="8"/>
  <c r="R2" i="8"/>
  <c r="S2" i="8"/>
  <c r="T2" i="8"/>
  <c r="U2" i="8"/>
  <c r="V2" i="8"/>
  <c r="W2" i="8"/>
  <c r="X2" i="8"/>
  <c r="Y2" i="8"/>
  <c r="Z2" i="8"/>
  <c r="AA2" i="8"/>
  <c r="AB2" i="8"/>
  <c r="AC2" i="8"/>
  <c r="AD2" i="8"/>
  <c r="AE2" i="8"/>
  <c r="AF2" i="8"/>
  <c r="AG2" i="8"/>
  <c r="AH2" i="8"/>
  <c r="AI2" i="8"/>
  <c r="AJ2" i="8"/>
  <c r="AK2" i="8"/>
  <c r="AL2" i="8"/>
  <c r="AM2" i="8"/>
  <c r="AN2" i="8"/>
  <c r="AO2" i="8"/>
  <c r="AP2" i="8"/>
  <c r="AQ2" i="8"/>
  <c r="AR2" i="8"/>
  <c r="AS2" i="8"/>
  <c r="AT2" i="8"/>
  <c r="AU2" i="8"/>
  <c r="AV2" i="8"/>
  <c r="AW2" i="8"/>
  <c r="AX2" i="8"/>
  <c r="AY2" i="8"/>
  <c r="AZ2" i="8"/>
  <c r="BA2" i="8"/>
  <c r="BB2" i="8"/>
  <c r="BC2" i="8"/>
  <c r="BD2" i="8"/>
  <c r="BE2" i="8"/>
  <c r="BF2" i="8"/>
  <c r="BG2" i="8"/>
  <c r="BH2" i="8"/>
  <c r="D3" i="8"/>
  <c r="E3" i="8"/>
  <c r="F3" i="8"/>
  <c r="G3" i="8"/>
  <c r="H3" i="8"/>
  <c r="I3" i="8"/>
  <c r="J3" i="8"/>
  <c r="K3" i="8"/>
  <c r="L3" i="8"/>
  <c r="M3" i="8"/>
  <c r="N3" i="8"/>
  <c r="O3" i="8"/>
  <c r="P3" i="8"/>
  <c r="Q3" i="8"/>
  <c r="R3" i="8"/>
  <c r="S3" i="8"/>
  <c r="T3" i="8"/>
  <c r="U3" i="8"/>
  <c r="V3" i="8"/>
  <c r="W3" i="8"/>
  <c r="X3" i="8"/>
  <c r="Y3" i="8"/>
  <c r="Z3" i="8"/>
  <c r="AA3" i="8"/>
  <c r="AB3" i="8"/>
  <c r="AC3" i="8"/>
  <c r="AD3" i="8"/>
  <c r="AE3" i="8"/>
  <c r="AF3" i="8"/>
  <c r="AG3" i="8"/>
  <c r="AH3" i="8"/>
  <c r="AI3" i="8"/>
  <c r="AJ3" i="8"/>
  <c r="AK3" i="8"/>
  <c r="AL3" i="8"/>
  <c r="AM3" i="8"/>
  <c r="AN3" i="8"/>
  <c r="AO3" i="8"/>
  <c r="AP3" i="8"/>
  <c r="AQ3" i="8"/>
  <c r="AR3" i="8"/>
  <c r="AS3" i="8"/>
  <c r="AT3" i="8"/>
  <c r="AU3" i="8"/>
  <c r="AV3" i="8"/>
  <c r="AW3" i="8"/>
  <c r="AX3" i="8"/>
  <c r="AY3" i="8"/>
  <c r="AZ3" i="8"/>
  <c r="BA3" i="8"/>
  <c r="BB3" i="8"/>
  <c r="BC3" i="8"/>
  <c r="BD3" i="8"/>
  <c r="BE3" i="8"/>
  <c r="BF3" i="8"/>
  <c r="BG3" i="8"/>
  <c r="BH3" i="8"/>
  <c r="E4" i="8"/>
  <c r="F4" i="8"/>
  <c r="G4" i="8"/>
  <c r="H4" i="8"/>
  <c r="I4" i="8"/>
  <c r="J4" i="8"/>
  <c r="K4" i="8"/>
  <c r="L4" i="8"/>
  <c r="M4" i="8"/>
  <c r="N4" i="8"/>
  <c r="O4" i="8"/>
  <c r="P4" i="8"/>
  <c r="Q4" i="8"/>
  <c r="R4" i="8"/>
  <c r="S4" i="8"/>
  <c r="T4" i="8"/>
  <c r="U4" i="8"/>
  <c r="V4" i="8"/>
  <c r="W4" i="8"/>
  <c r="X4" i="8"/>
  <c r="Y4" i="8"/>
  <c r="Z4" i="8"/>
  <c r="AA4" i="8"/>
  <c r="AB4" i="8"/>
  <c r="AC4" i="8"/>
  <c r="AD4" i="8"/>
  <c r="AE4" i="8"/>
  <c r="AF4" i="8"/>
  <c r="AG4" i="8"/>
  <c r="AH4" i="8"/>
  <c r="AI4" i="8"/>
  <c r="AJ4" i="8"/>
  <c r="AK4" i="8"/>
  <c r="AL4" i="8"/>
  <c r="AM4" i="8"/>
  <c r="AN4" i="8"/>
  <c r="AO4" i="8"/>
  <c r="AP4" i="8"/>
  <c r="AQ4" i="8"/>
  <c r="AR4" i="8"/>
  <c r="AS4" i="8"/>
  <c r="AT4" i="8"/>
  <c r="AU4" i="8"/>
  <c r="AV4" i="8"/>
  <c r="AW4" i="8"/>
  <c r="AX4" i="8"/>
  <c r="AY4" i="8"/>
  <c r="AZ4" i="8"/>
  <c r="BA4" i="8"/>
  <c r="BB4" i="8"/>
  <c r="BC4" i="8"/>
  <c r="BD4" i="8"/>
  <c r="BE4" i="8"/>
  <c r="BF4" i="8"/>
  <c r="BG4" i="8"/>
  <c r="BH4"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G6" i="8"/>
  <c r="H6" i="8"/>
  <c r="I6" i="8"/>
  <c r="J6" i="8"/>
  <c r="K6" i="8"/>
  <c r="L6" i="8"/>
  <c r="M6" i="8"/>
  <c r="N6" i="8"/>
  <c r="O6" i="8"/>
  <c r="P6" i="8"/>
  <c r="Q6" i="8"/>
  <c r="R6" i="8"/>
  <c r="S6" i="8"/>
  <c r="T6" i="8"/>
  <c r="U6" i="8"/>
  <c r="V6" i="8"/>
  <c r="W6" i="8"/>
  <c r="X6" i="8"/>
  <c r="Y6" i="8"/>
  <c r="Z6" i="8"/>
  <c r="AA6" i="8"/>
  <c r="AB6" i="8"/>
  <c r="AC6" i="8"/>
  <c r="AD6" i="8"/>
  <c r="AE6" i="8"/>
  <c r="AF6" i="8"/>
  <c r="AG6" i="8"/>
  <c r="AH6" i="8"/>
  <c r="AI6" i="8"/>
  <c r="AJ6" i="8"/>
  <c r="AK6" i="8"/>
  <c r="AL6" i="8"/>
  <c r="AM6" i="8"/>
  <c r="AN6" i="8"/>
  <c r="AO6" i="8"/>
  <c r="AP6" i="8"/>
  <c r="AQ6" i="8"/>
  <c r="AR6" i="8"/>
  <c r="AS6" i="8"/>
  <c r="AT6" i="8"/>
  <c r="AU6" i="8"/>
  <c r="AV6" i="8"/>
  <c r="AW6" i="8"/>
  <c r="AX6" i="8"/>
  <c r="AY6" i="8"/>
  <c r="AZ6" i="8"/>
  <c r="BA6" i="8"/>
  <c r="BB6" i="8"/>
  <c r="BC6" i="8"/>
  <c r="BD6" i="8"/>
  <c r="BE6" i="8"/>
  <c r="BF6" i="8"/>
  <c r="BG6" i="8"/>
  <c r="BH6" i="8"/>
  <c r="H7" i="8"/>
  <c r="I7" i="8"/>
  <c r="J7" i="8"/>
  <c r="K7" i="8"/>
  <c r="L7" i="8"/>
  <c r="M7" i="8"/>
  <c r="N7" i="8"/>
  <c r="O7" i="8"/>
  <c r="P7" i="8"/>
  <c r="Q7" i="8"/>
  <c r="R7" i="8"/>
  <c r="S7" i="8"/>
  <c r="T7" i="8"/>
  <c r="U7" i="8"/>
  <c r="V7" i="8"/>
  <c r="W7" i="8"/>
  <c r="X7" i="8"/>
  <c r="Y7" i="8"/>
  <c r="Z7" i="8"/>
  <c r="AA7" i="8"/>
  <c r="AB7" i="8"/>
  <c r="AC7" i="8"/>
  <c r="AD7" i="8"/>
  <c r="AE7" i="8"/>
  <c r="AF7" i="8"/>
  <c r="AG7" i="8"/>
  <c r="AH7" i="8"/>
  <c r="AI7" i="8"/>
  <c r="AJ7" i="8"/>
  <c r="AK7" i="8"/>
  <c r="AL7" i="8"/>
  <c r="AM7" i="8"/>
  <c r="AN7" i="8"/>
  <c r="AO7" i="8"/>
  <c r="AP7" i="8"/>
  <c r="AQ7" i="8"/>
  <c r="AR7" i="8"/>
  <c r="AS7" i="8"/>
  <c r="AT7" i="8"/>
  <c r="AU7" i="8"/>
  <c r="AV7" i="8"/>
  <c r="AW7" i="8"/>
  <c r="AX7" i="8"/>
  <c r="AY7" i="8"/>
  <c r="AZ7" i="8"/>
  <c r="BA7" i="8"/>
  <c r="BB7" i="8"/>
  <c r="BC7" i="8"/>
  <c r="BD7" i="8"/>
  <c r="BE7" i="8"/>
  <c r="BF7" i="8"/>
  <c r="BG7" i="8"/>
  <c r="BH7" i="8"/>
  <c r="I8" i="8"/>
  <c r="J8" i="8"/>
  <c r="K8" i="8"/>
  <c r="L8" i="8"/>
  <c r="M8" i="8"/>
  <c r="N8" i="8"/>
  <c r="O8" i="8"/>
  <c r="P8" i="8"/>
  <c r="Q8" i="8"/>
  <c r="R8" i="8"/>
  <c r="S8" i="8"/>
  <c r="T8" i="8"/>
  <c r="U8" i="8"/>
  <c r="V8" i="8"/>
  <c r="W8" i="8"/>
  <c r="X8" i="8"/>
  <c r="Y8" i="8"/>
  <c r="Z8" i="8"/>
  <c r="AA8" i="8"/>
  <c r="AB8" i="8"/>
  <c r="AC8" i="8"/>
  <c r="AD8" i="8"/>
  <c r="AE8" i="8"/>
  <c r="AF8" i="8"/>
  <c r="AG8" i="8"/>
  <c r="AH8" i="8"/>
  <c r="AI8" i="8"/>
  <c r="AJ8" i="8"/>
  <c r="AK8" i="8"/>
  <c r="AL8" i="8"/>
  <c r="AM8" i="8"/>
  <c r="AN8" i="8"/>
  <c r="AO8" i="8"/>
  <c r="AP8" i="8"/>
  <c r="AQ8" i="8"/>
  <c r="AR8" i="8"/>
  <c r="AS8" i="8"/>
  <c r="AT8" i="8"/>
  <c r="AU8" i="8"/>
  <c r="AV8" i="8"/>
  <c r="AW8" i="8"/>
  <c r="AX8" i="8"/>
  <c r="AY8" i="8"/>
  <c r="AZ8" i="8"/>
  <c r="BA8" i="8"/>
  <c r="BB8" i="8"/>
  <c r="BC8" i="8"/>
  <c r="BD8" i="8"/>
  <c r="BE8" i="8"/>
  <c r="BF8" i="8"/>
  <c r="BG8" i="8"/>
  <c r="BH8"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K10" i="8"/>
  <c r="L10" i="8"/>
  <c r="M10" i="8"/>
  <c r="N10" i="8"/>
  <c r="O10" i="8"/>
  <c r="P10" i="8"/>
  <c r="Q10" i="8"/>
  <c r="R10" i="8"/>
  <c r="S10" i="8"/>
  <c r="T10" i="8"/>
  <c r="U10" i="8"/>
  <c r="V10" i="8"/>
  <c r="W10" i="8"/>
  <c r="X10" i="8"/>
  <c r="Y10" i="8"/>
  <c r="Z10" i="8"/>
  <c r="AA10" i="8"/>
  <c r="AB10" i="8"/>
  <c r="AC10" i="8"/>
  <c r="AD10" i="8"/>
  <c r="AE10" i="8"/>
  <c r="AF10" i="8"/>
  <c r="AG10" i="8"/>
  <c r="AH10" i="8"/>
  <c r="AI10" i="8"/>
  <c r="AJ10" i="8"/>
  <c r="AK10" i="8"/>
  <c r="AL10" i="8"/>
  <c r="AM10" i="8"/>
  <c r="AN10" i="8"/>
  <c r="AO10" i="8"/>
  <c r="AP10" i="8"/>
  <c r="AQ10" i="8"/>
  <c r="AR10" i="8"/>
  <c r="AS10" i="8"/>
  <c r="AT10" i="8"/>
  <c r="AU10" i="8"/>
  <c r="AV10" i="8"/>
  <c r="AW10" i="8"/>
  <c r="AX10" i="8"/>
  <c r="AY10" i="8"/>
  <c r="AZ10" i="8"/>
  <c r="BA10" i="8"/>
  <c r="BB10" i="8"/>
  <c r="BC10" i="8"/>
  <c r="BD10" i="8"/>
  <c r="BE10" i="8"/>
  <c r="BF10" i="8"/>
  <c r="BG10" i="8"/>
  <c r="BH10" i="8"/>
  <c r="L11" i="8"/>
  <c r="M11" i="8"/>
  <c r="N11" i="8"/>
  <c r="O11" i="8"/>
  <c r="P11" i="8"/>
  <c r="Q11" i="8"/>
  <c r="R11" i="8"/>
  <c r="S11" i="8"/>
  <c r="T11" i="8"/>
  <c r="U11" i="8"/>
  <c r="V11" i="8"/>
  <c r="W11" i="8"/>
  <c r="X11" i="8"/>
  <c r="Y11" i="8"/>
  <c r="Z11" i="8"/>
  <c r="AA11" i="8"/>
  <c r="AB11" i="8"/>
  <c r="AC11" i="8"/>
  <c r="AD11" i="8"/>
  <c r="AE11" i="8"/>
  <c r="AF11" i="8"/>
  <c r="AG11" i="8"/>
  <c r="AH11" i="8"/>
  <c r="AI11" i="8"/>
  <c r="AJ11" i="8"/>
  <c r="AK11" i="8"/>
  <c r="AL11" i="8"/>
  <c r="AM11" i="8"/>
  <c r="AN11" i="8"/>
  <c r="AO11" i="8"/>
  <c r="AP11" i="8"/>
  <c r="AQ11" i="8"/>
  <c r="AR11" i="8"/>
  <c r="AS11" i="8"/>
  <c r="AT11" i="8"/>
  <c r="AU11" i="8"/>
  <c r="AV11" i="8"/>
  <c r="AW11" i="8"/>
  <c r="AX11" i="8"/>
  <c r="AY11" i="8"/>
  <c r="AZ11" i="8"/>
  <c r="BA11" i="8"/>
  <c r="BB11" i="8"/>
  <c r="BC11" i="8"/>
  <c r="BD11" i="8"/>
  <c r="BE11" i="8"/>
  <c r="BF11" i="8"/>
  <c r="BG11" i="8"/>
  <c r="BH11" i="8"/>
  <c r="M12" i="8"/>
  <c r="N12" i="8"/>
  <c r="O12" i="8"/>
  <c r="P12" i="8"/>
  <c r="Q12" i="8"/>
  <c r="R12" i="8"/>
  <c r="S12" i="8"/>
  <c r="T12" i="8"/>
  <c r="U12" i="8"/>
  <c r="V12" i="8"/>
  <c r="W12" i="8"/>
  <c r="X12" i="8"/>
  <c r="Y12" i="8"/>
  <c r="Z12" i="8"/>
  <c r="AA12" i="8"/>
  <c r="AB12" i="8"/>
  <c r="AC12" i="8"/>
  <c r="AD12" i="8"/>
  <c r="AE12" i="8"/>
  <c r="AF12" i="8"/>
  <c r="AG12" i="8"/>
  <c r="AH12" i="8"/>
  <c r="AI12" i="8"/>
  <c r="AJ12" i="8"/>
  <c r="AK12" i="8"/>
  <c r="AL12" i="8"/>
  <c r="AM12" i="8"/>
  <c r="AN12" i="8"/>
  <c r="AO12" i="8"/>
  <c r="AP12" i="8"/>
  <c r="AQ12" i="8"/>
  <c r="AR12" i="8"/>
  <c r="AS12" i="8"/>
  <c r="AT12" i="8"/>
  <c r="AU12" i="8"/>
  <c r="AV12" i="8"/>
  <c r="AW12" i="8"/>
  <c r="AX12" i="8"/>
  <c r="AY12" i="8"/>
  <c r="AZ12" i="8"/>
  <c r="BA12" i="8"/>
  <c r="BB12" i="8"/>
  <c r="BC12" i="8"/>
  <c r="BD12" i="8"/>
  <c r="BE12" i="8"/>
  <c r="BF12" i="8"/>
  <c r="BG12" i="8"/>
  <c r="BH12"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O14" i="8"/>
  <c r="P14" i="8"/>
  <c r="Q14" i="8"/>
  <c r="R14" i="8"/>
  <c r="S14" i="8"/>
  <c r="T14" i="8"/>
  <c r="U14" i="8"/>
  <c r="V14" i="8"/>
  <c r="W14" i="8"/>
  <c r="X14" i="8"/>
  <c r="Y14" i="8"/>
  <c r="Z14" i="8"/>
  <c r="AA14" i="8"/>
  <c r="AB14" i="8"/>
  <c r="AC14" i="8"/>
  <c r="AD14" i="8"/>
  <c r="AE14" i="8"/>
  <c r="AF14" i="8"/>
  <c r="AG14" i="8"/>
  <c r="AH14" i="8"/>
  <c r="AI14" i="8"/>
  <c r="AJ14" i="8"/>
  <c r="AK14" i="8"/>
  <c r="AL14" i="8"/>
  <c r="AM14" i="8"/>
  <c r="AN14" i="8"/>
  <c r="AO14" i="8"/>
  <c r="AP14" i="8"/>
  <c r="AQ14" i="8"/>
  <c r="AR14" i="8"/>
  <c r="AS14" i="8"/>
  <c r="AT14" i="8"/>
  <c r="AU14" i="8"/>
  <c r="AV14" i="8"/>
  <c r="AW14" i="8"/>
  <c r="AX14" i="8"/>
  <c r="AY14" i="8"/>
  <c r="AZ14" i="8"/>
  <c r="BA14" i="8"/>
  <c r="BB14" i="8"/>
  <c r="BC14" i="8"/>
  <c r="BD14" i="8"/>
  <c r="BE14" i="8"/>
  <c r="BF14" i="8"/>
  <c r="BG14" i="8"/>
  <c r="BH14" i="8"/>
  <c r="P15" i="8"/>
  <c r="Q15" i="8"/>
  <c r="R15" i="8"/>
  <c r="S15" i="8"/>
  <c r="T15" i="8"/>
  <c r="U15" i="8"/>
  <c r="V15" i="8"/>
  <c r="W15" i="8"/>
  <c r="X15" i="8"/>
  <c r="Y15" i="8"/>
  <c r="Z15" i="8"/>
  <c r="AA15" i="8"/>
  <c r="AB15" i="8"/>
  <c r="AC15" i="8"/>
  <c r="AD15" i="8"/>
  <c r="AE15" i="8"/>
  <c r="AF15" i="8"/>
  <c r="AG15" i="8"/>
  <c r="AH15" i="8"/>
  <c r="AI15" i="8"/>
  <c r="AJ15" i="8"/>
  <c r="AK15" i="8"/>
  <c r="AL15" i="8"/>
  <c r="AM15" i="8"/>
  <c r="AN15" i="8"/>
  <c r="AO15" i="8"/>
  <c r="AP15" i="8"/>
  <c r="AQ15" i="8"/>
  <c r="AR15" i="8"/>
  <c r="AS15" i="8"/>
  <c r="AT15" i="8"/>
  <c r="AU15" i="8"/>
  <c r="AV15" i="8"/>
  <c r="AW15" i="8"/>
  <c r="AX15" i="8"/>
  <c r="AY15" i="8"/>
  <c r="AZ15" i="8"/>
  <c r="BA15" i="8"/>
  <c r="BB15" i="8"/>
  <c r="BC15" i="8"/>
  <c r="BD15" i="8"/>
  <c r="BE15" i="8"/>
  <c r="BF15" i="8"/>
  <c r="BG15" i="8"/>
  <c r="BH15" i="8"/>
  <c r="Q16" i="8"/>
  <c r="R16" i="8"/>
  <c r="S16" i="8"/>
  <c r="T16" i="8"/>
  <c r="U16" i="8"/>
  <c r="V16" i="8"/>
  <c r="W16" i="8"/>
  <c r="X16" i="8"/>
  <c r="Y16" i="8"/>
  <c r="Z16" i="8"/>
  <c r="AA16" i="8"/>
  <c r="AB16" i="8"/>
  <c r="AC16" i="8"/>
  <c r="AD16" i="8"/>
  <c r="AE16" i="8"/>
  <c r="AF16" i="8"/>
  <c r="AG16" i="8"/>
  <c r="AH16" i="8"/>
  <c r="AI16" i="8"/>
  <c r="AJ16" i="8"/>
  <c r="AK16" i="8"/>
  <c r="AL16" i="8"/>
  <c r="AM16" i="8"/>
  <c r="AN16" i="8"/>
  <c r="AO16" i="8"/>
  <c r="AP16" i="8"/>
  <c r="AQ16" i="8"/>
  <c r="AR16" i="8"/>
  <c r="AS16" i="8"/>
  <c r="AT16" i="8"/>
  <c r="AU16" i="8"/>
  <c r="AV16" i="8"/>
  <c r="AW16" i="8"/>
  <c r="AX16" i="8"/>
  <c r="AY16" i="8"/>
  <c r="AZ16" i="8"/>
  <c r="BA16" i="8"/>
  <c r="BB16" i="8"/>
  <c r="BC16" i="8"/>
  <c r="BD16" i="8"/>
  <c r="BE16" i="8"/>
  <c r="BF16" i="8"/>
  <c r="BG16" i="8"/>
  <c r="BH16" i="8"/>
  <c r="R17" i="8"/>
  <c r="S17" i="8"/>
  <c r="T17" i="8"/>
  <c r="U17" i="8"/>
  <c r="V17" i="8"/>
  <c r="W17" i="8"/>
  <c r="X17" i="8"/>
  <c r="Y17" i="8"/>
  <c r="Z17" i="8"/>
  <c r="AA17" i="8"/>
  <c r="AB17" i="8"/>
  <c r="AC17" i="8"/>
  <c r="AD17" i="8"/>
  <c r="AE17" i="8"/>
  <c r="AF17" i="8"/>
  <c r="AG17" i="8"/>
  <c r="AH17" i="8"/>
  <c r="AI17" i="8"/>
  <c r="AJ17" i="8"/>
  <c r="AK17" i="8"/>
  <c r="AL17" i="8"/>
  <c r="AM17" i="8"/>
  <c r="AN17" i="8"/>
  <c r="AO17" i="8"/>
  <c r="AP17" i="8"/>
  <c r="AQ17" i="8"/>
  <c r="AR17" i="8"/>
  <c r="AS17" i="8"/>
  <c r="AT17" i="8"/>
  <c r="AU17" i="8"/>
  <c r="AV17" i="8"/>
  <c r="AW17" i="8"/>
  <c r="AX17" i="8"/>
  <c r="AY17" i="8"/>
  <c r="AZ17" i="8"/>
  <c r="BA17" i="8"/>
  <c r="BB17" i="8"/>
  <c r="BC17" i="8"/>
  <c r="BD17" i="8"/>
  <c r="BE17" i="8"/>
  <c r="BF17" i="8"/>
  <c r="BG17" i="8"/>
  <c r="BH17" i="8"/>
  <c r="S18" i="8"/>
  <c r="T18" i="8"/>
  <c r="U18" i="8"/>
  <c r="V18" i="8"/>
  <c r="W18" i="8"/>
  <c r="X18" i="8"/>
  <c r="Y18" i="8"/>
  <c r="Z18" i="8"/>
  <c r="AA18" i="8"/>
  <c r="AB18" i="8"/>
  <c r="AC18" i="8"/>
  <c r="AD18" i="8"/>
  <c r="AE18" i="8"/>
  <c r="AF18" i="8"/>
  <c r="AG18" i="8"/>
  <c r="AH18" i="8"/>
  <c r="AI18" i="8"/>
  <c r="AJ18" i="8"/>
  <c r="AK18" i="8"/>
  <c r="AL18" i="8"/>
  <c r="AM18" i="8"/>
  <c r="AN18" i="8"/>
  <c r="AO18" i="8"/>
  <c r="AP18" i="8"/>
  <c r="AQ18" i="8"/>
  <c r="AR18" i="8"/>
  <c r="AS18" i="8"/>
  <c r="AT18" i="8"/>
  <c r="AU18" i="8"/>
  <c r="AV18" i="8"/>
  <c r="AW18" i="8"/>
  <c r="AX18" i="8"/>
  <c r="AY18" i="8"/>
  <c r="AZ18" i="8"/>
  <c r="BA18" i="8"/>
  <c r="BB18" i="8"/>
  <c r="BC18" i="8"/>
  <c r="BD18" i="8"/>
  <c r="BE18" i="8"/>
  <c r="BF18" i="8"/>
  <c r="BG18" i="8"/>
  <c r="BH18" i="8"/>
  <c r="T19" i="8"/>
  <c r="U19" i="8"/>
  <c r="V19" i="8"/>
  <c r="W19" i="8"/>
  <c r="X19" i="8"/>
  <c r="Y19" i="8"/>
  <c r="Z19" i="8"/>
  <c r="AA19" i="8"/>
  <c r="AB19" i="8"/>
  <c r="AC19" i="8"/>
  <c r="AD19" i="8"/>
  <c r="AE19" i="8"/>
  <c r="AF19" i="8"/>
  <c r="AG19" i="8"/>
  <c r="AH19" i="8"/>
  <c r="AI19" i="8"/>
  <c r="AJ19" i="8"/>
  <c r="AK19" i="8"/>
  <c r="AL19" i="8"/>
  <c r="AM19" i="8"/>
  <c r="AN19" i="8"/>
  <c r="AO19" i="8"/>
  <c r="AP19" i="8"/>
  <c r="AQ19" i="8"/>
  <c r="AR19" i="8"/>
  <c r="AS19" i="8"/>
  <c r="AT19" i="8"/>
  <c r="AU19" i="8"/>
  <c r="AV19" i="8"/>
  <c r="AW19" i="8"/>
  <c r="AX19" i="8"/>
  <c r="AY19" i="8"/>
  <c r="AZ19" i="8"/>
  <c r="BA19" i="8"/>
  <c r="BB19" i="8"/>
  <c r="BC19" i="8"/>
  <c r="BD19" i="8"/>
  <c r="BE19" i="8"/>
  <c r="BF19" i="8"/>
  <c r="BG19" i="8"/>
  <c r="BH19" i="8"/>
  <c r="U20" i="8"/>
  <c r="V20" i="8"/>
  <c r="W20" i="8"/>
  <c r="X20" i="8"/>
  <c r="Y20" i="8"/>
  <c r="Z20" i="8"/>
  <c r="AA20" i="8"/>
  <c r="AB20" i="8"/>
  <c r="AC20" i="8"/>
  <c r="AD20" i="8"/>
  <c r="AE20" i="8"/>
  <c r="AF20" i="8"/>
  <c r="AG20" i="8"/>
  <c r="AH20" i="8"/>
  <c r="AI20" i="8"/>
  <c r="AJ20" i="8"/>
  <c r="AK20" i="8"/>
  <c r="AL20" i="8"/>
  <c r="AM20" i="8"/>
  <c r="AN20" i="8"/>
  <c r="AO20" i="8"/>
  <c r="AP20" i="8"/>
  <c r="AQ20" i="8"/>
  <c r="AR20" i="8"/>
  <c r="AS20" i="8"/>
  <c r="AT20" i="8"/>
  <c r="AU20" i="8"/>
  <c r="AV20" i="8"/>
  <c r="AW20" i="8"/>
  <c r="AX20" i="8"/>
  <c r="AY20" i="8"/>
  <c r="AZ20" i="8"/>
  <c r="BA20" i="8"/>
  <c r="BB20" i="8"/>
  <c r="BC20" i="8"/>
  <c r="BD20" i="8"/>
  <c r="BE20" i="8"/>
  <c r="BF20" i="8"/>
  <c r="BG20" i="8"/>
  <c r="BH20" i="8"/>
  <c r="V21" i="8"/>
  <c r="W21" i="8"/>
  <c r="X21" i="8"/>
  <c r="Y21" i="8"/>
  <c r="Z21" i="8"/>
  <c r="AA21" i="8"/>
  <c r="AB21" i="8"/>
  <c r="AC21" i="8"/>
  <c r="AD21" i="8"/>
  <c r="AE21" i="8"/>
  <c r="AF21" i="8"/>
  <c r="AG21" i="8"/>
  <c r="AH21" i="8"/>
  <c r="AI21" i="8"/>
  <c r="AJ21" i="8"/>
  <c r="AK21" i="8"/>
  <c r="AL21" i="8"/>
  <c r="AM21" i="8"/>
  <c r="AN21" i="8"/>
  <c r="AO21" i="8"/>
  <c r="AP21" i="8"/>
  <c r="AQ21" i="8"/>
  <c r="AR21" i="8"/>
  <c r="AS21" i="8"/>
  <c r="AT21" i="8"/>
  <c r="AU21" i="8"/>
  <c r="AV21" i="8"/>
  <c r="AW21" i="8"/>
  <c r="AX21" i="8"/>
  <c r="AY21" i="8"/>
  <c r="AZ21" i="8"/>
  <c r="BA21" i="8"/>
  <c r="BB21" i="8"/>
  <c r="BC21" i="8"/>
  <c r="BD21" i="8"/>
  <c r="BE21" i="8"/>
  <c r="BF21" i="8"/>
  <c r="BG21" i="8"/>
  <c r="BH21" i="8"/>
  <c r="W22" i="8"/>
  <c r="X22" i="8"/>
  <c r="Y22" i="8"/>
  <c r="Z22" i="8"/>
  <c r="AA22" i="8"/>
  <c r="AB22" i="8"/>
  <c r="AC22" i="8"/>
  <c r="AD22" i="8"/>
  <c r="AE22" i="8"/>
  <c r="AF22" i="8"/>
  <c r="AG22" i="8"/>
  <c r="AH22" i="8"/>
  <c r="AI22" i="8"/>
  <c r="AJ22" i="8"/>
  <c r="AK22" i="8"/>
  <c r="AL22" i="8"/>
  <c r="AM22" i="8"/>
  <c r="AN22" i="8"/>
  <c r="AO22" i="8"/>
  <c r="AP22" i="8"/>
  <c r="AQ22" i="8"/>
  <c r="AR22" i="8"/>
  <c r="AS22" i="8"/>
  <c r="AT22" i="8"/>
  <c r="AU22" i="8"/>
  <c r="AV22" i="8"/>
  <c r="AW22" i="8"/>
  <c r="AX22" i="8"/>
  <c r="AY22" i="8"/>
  <c r="AZ22" i="8"/>
  <c r="BA22" i="8"/>
  <c r="BB22" i="8"/>
  <c r="BC22" i="8"/>
  <c r="BD22" i="8"/>
  <c r="BE22" i="8"/>
  <c r="BF22" i="8"/>
  <c r="BG22" i="8"/>
  <c r="BH22" i="8"/>
  <c r="X23" i="8"/>
  <c r="Y23" i="8"/>
  <c r="Z23" i="8"/>
  <c r="AA23" i="8"/>
  <c r="AB23" i="8"/>
  <c r="AC23" i="8"/>
  <c r="AD23" i="8"/>
  <c r="AE23" i="8"/>
  <c r="AF23" i="8"/>
  <c r="AG23" i="8"/>
  <c r="AH23" i="8"/>
  <c r="AI23" i="8"/>
  <c r="AJ23" i="8"/>
  <c r="AK23" i="8"/>
  <c r="AL23" i="8"/>
  <c r="AM23" i="8"/>
  <c r="AN23" i="8"/>
  <c r="AO23" i="8"/>
  <c r="AP23" i="8"/>
  <c r="AQ23" i="8"/>
  <c r="AR23" i="8"/>
  <c r="AS23" i="8"/>
  <c r="AT23" i="8"/>
  <c r="AU23" i="8"/>
  <c r="AV23" i="8"/>
  <c r="AW23" i="8"/>
  <c r="AX23" i="8"/>
  <c r="AY23" i="8"/>
  <c r="AZ23" i="8"/>
  <c r="BA23" i="8"/>
  <c r="BB23" i="8"/>
  <c r="BC23" i="8"/>
  <c r="BD23" i="8"/>
  <c r="BE23" i="8"/>
  <c r="BF23" i="8"/>
  <c r="BG23" i="8"/>
  <c r="BH23" i="8"/>
  <c r="Y24" i="8"/>
  <c r="Z24" i="8"/>
  <c r="AA24" i="8"/>
  <c r="AB24" i="8"/>
  <c r="AC24" i="8"/>
  <c r="AD24" i="8"/>
  <c r="AE24" i="8"/>
  <c r="AF24" i="8"/>
  <c r="AG24" i="8"/>
  <c r="AH24" i="8"/>
  <c r="AI24" i="8"/>
  <c r="AJ24" i="8"/>
  <c r="AK24" i="8"/>
  <c r="AL24" i="8"/>
  <c r="AM24" i="8"/>
  <c r="AN24" i="8"/>
  <c r="AO24" i="8"/>
  <c r="AP24" i="8"/>
  <c r="AQ24" i="8"/>
  <c r="AR24" i="8"/>
  <c r="AS24" i="8"/>
  <c r="AT24" i="8"/>
  <c r="AU24" i="8"/>
  <c r="AV24" i="8"/>
  <c r="AW24" i="8"/>
  <c r="AX24" i="8"/>
  <c r="AY24" i="8"/>
  <c r="AZ24" i="8"/>
  <c r="BA24" i="8"/>
  <c r="BB24" i="8"/>
  <c r="BC24" i="8"/>
  <c r="BD24" i="8"/>
  <c r="BE24" i="8"/>
  <c r="BF24" i="8"/>
  <c r="BG24" i="8"/>
  <c r="BH24" i="8"/>
  <c r="Z25" i="8"/>
  <c r="AA25" i="8"/>
  <c r="AB25" i="8"/>
  <c r="AC25" i="8"/>
  <c r="AD25" i="8"/>
  <c r="AE25" i="8"/>
  <c r="AF25" i="8"/>
  <c r="AG25" i="8"/>
  <c r="AH25" i="8"/>
  <c r="AI25" i="8"/>
  <c r="AJ25" i="8"/>
  <c r="AK25" i="8"/>
  <c r="AL25" i="8"/>
  <c r="AM25" i="8"/>
  <c r="AN25" i="8"/>
  <c r="AO25" i="8"/>
  <c r="AP25" i="8"/>
  <c r="AQ25" i="8"/>
  <c r="AR25" i="8"/>
  <c r="AS25" i="8"/>
  <c r="AT25" i="8"/>
  <c r="AU25" i="8"/>
  <c r="AV25" i="8"/>
  <c r="AW25" i="8"/>
  <c r="AX25" i="8"/>
  <c r="AY25" i="8"/>
  <c r="AZ25" i="8"/>
  <c r="BA25" i="8"/>
  <c r="BB25" i="8"/>
  <c r="BC25" i="8"/>
  <c r="BD25" i="8"/>
  <c r="BE25" i="8"/>
  <c r="BF25" i="8"/>
  <c r="BG25" i="8"/>
  <c r="BH25" i="8"/>
  <c r="AA26" i="8"/>
  <c r="AB26" i="8"/>
  <c r="AC26" i="8"/>
  <c r="AD26" i="8"/>
  <c r="AE26" i="8"/>
  <c r="AF26" i="8"/>
  <c r="AG26" i="8"/>
  <c r="AH26" i="8"/>
  <c r="AI26" i="8"/>
  <c r="AJ26" i="8"/>
  <c r="AK26" i="8"/>
  <c r="AL26" i="8"/>
  <c r="AM26" i="8"/>
  <c r="AN26" i="8"/>
  <c r="AO26" i="8"/>
  <c r="AP26" i="8"/>
  <c r="AQ26" i="8"/>
  <c r="AR26" i="8"/>
  <c r="AS26" i="8"/>
  <c r="AT26" i="8"/>
  <c r="AU26" i="8"/>
  <c r="AV26" i="8"/>
  <c r="AW26" i="8"/>
  <c r="AX26" i="8"/>
  <c r="AY26" i="8"/>
  <c r="AZ26" i="8"/>
  <c r="BA26" i="8"/>
  <c r="BB26" i="8"/>
  <c r="BC26" i="8"/>
  <c r="BD26" i="8"/>
  <c r="BE26" i="8"/>
  <c r="BF26" i="8"/>
  <c r="BG26" i="8"/>
  <c r="BH26" i="8"/>
  <c r="AB27" i="8"/>
  <c r="AC27" i="8"/>
  <c r="AD27" i="8"/>
  <c r="AE27" i="8"/>
  <c r="AF27" i="8"/>
  <c r="AG27" i="8"/>
  <c r="AH27" i="8"/>
  <c r="AI27" i="8"/>
  <c r="AJ27" i="8"/>
  <c r="AK27" i="8"/>
  <c r="AL27" i="8"/>
  <c r="AM27" i="8"/>
  <c r="AN27" i="8"/>
  <c r="AO27" i="8"/>
  <c r="AP27" i="8"/>
  <c r="AQ27" i="8"/>
  <c r="AR27" i="8"/>
  <c r="AS27" i="8"/>
  <c r="AT27" i="8"/>
  <c r="AU27" i="8"/>
  <c r="AV27" i="8"/>
  <c r="AW27" i="8"/>
  <c r="AX27" i="8"/>
  <c r="AY27" i="8"/>
  <c r="AZ27" i="8"/>
  <c r="BA27" i="8"/>
  <c r="BB27" i="8"/>
  <c r="BC27" i="8"/>
  <c r="BD27" i="8"/>
  <c r="BE27" i="8"/>
  <c r="BF27" i="8"/>
  <c r="BG27" i="8"/>
  <c r="BH27" i="8"/>
  <c r="AC28" i="8"/>
  <c r="AD28" i="8"/>
  <c r="AE28" i="8"/>
  <c r="AF28" i="8"/>
  <c r="AG28" i="8"/>
  <c r="AH28" i="8"/>
  <c r="AI28" i="8"/>
  <c r="AJ28" i="8"/>
  <c r="AK28" i="8"/>
  <c r="AL28" i="8"/>
  <c r="AM28" i="8"/>
  <c r="AN28" i="8"/>
  <c r="AO28" i="8"/>
  <c r="AP28" i="8"/>
  <c r="AQ28" i="8"/>
  <c r="AR28" i="8"/>
  <c r="AS28" i="8"/>
  <c r="AT28" i="8"/>
  <c r="AU28" i="8"/>
  <c r="AV28" i="8"/>
  <c r="AW28" i="8"/>
  <c r="AX28" i="8"/>
  <c r="AY28" i="8"/>
  <c r="AZ28" i="8"/>
  <c r="BA28" i="8"/>
  <c r="BB28" i="8"/>
  <c r="BC28" i="8"/>
  <c r="BD28" i="8"/>
  <c r="BE28" i="8"/>
  <c r="BF28" i="8"/>
  <c r="BG28" i="8"/>
  <c r="BH28" i="8"/>
  <c r="AD29" i="8"/>
  <c r="AE29" i="8"/>
  <c r="AF29" i="8"/>
  <c r="AG29" i="8"/>
  <c r="AH29" i="8"/>
  <c r="AI29" i="8"/>
  <c r="AJ29" i="8"/>
  <c r="AK29" i="8"/>
  <c r="AL29" i="8"/>
  <c r="AM29" i="8"/>
  <c r="AN29" i="8"/>
  <c r="AO29" i="8"/>
  <c r="AP29" i="8"/>
  <c r="AQ29" i="8"/>
  <c r="AR29" i="8"/>
  <c r="AS29" i="8"/>
  <c r="AT29" i="8"/>
  <c r="AU29" i="8"/>
  <c r="AV29" i="8"/>
  <c r="AW29" i="8"/>
  <c r="AX29" i="8"/>
  <c r="AY29" i="8"/>
  <c r="AZ29" i="8"/>
  <c r="BA29" i="8"/>
  <c r="BB29" i="8"/>
  <c r="BC29" i="8"/>
  <c r="BD29" i="8"/>
  <c r="BE29" i="8"/>
  <c r="BF29" i="8"/>
  <c r="BG29" i="8"/>
  <c r="BH29" i="8"/>
  <c r="AE30" i="8"/>
  <c r="AF30" i="8"/>
  <c r="AG30" i="8"/>
  <c r="AH30" i="8"/>
  <c r="AI30" i="8"/>
  <c r="AJ30" i="8"/>
  <c r="AK30" i="8"/>
  <c r="AL30" i="8"/>
  <c r="AM30" i="8"/>
  <c r="AN30" i="8"/>
  <c r="AO30" i="8"/>
  <c r="AP30" i="8"/>
  <c r="AQ30" i="8"/>
  <c r="AR30" i="8"/>
  <c r="AS30" i="8"/>
  <c r="AT30" i="8"/>
  <c r="AU30" i="8"/>
  <c r="AV30" i="8"/>
  <c r="AW30" i="8"/>
  <c r="AX30" i="8"/>
  <c r="AY30" i="8"/>
  <c r="AZ30" i="8"/>
  <c r="BA30" i="8"/>
  <c r="BB30" i="8"/>
  <c r="BC30" i="8"/>
  <c r="BD30" i="8"/>
  <c r="BE30" i="8"/>
  <c r="BF30" i="8"/>
  <c r="BG30" i="8"/>
  <c r="BH30" i="8"/>
  <c r="AF31" i="8"/>
  <c r="AG31" i="8"/>
  <c r="AH31" i="8"/>
  <c r="AI31" i="8"/>
  <c r="AJ31" i="8"/>
  <c r="AK31" i="8"/>
  <c r="AL31" i="8"/>
  <c r="AM31" i="8"/>
  <c r="AN31" i="8"/>
  <c r="AO31" i="8"/>
  <c r="AP31" i="8"/>
  <c r="AQ31" i="8"/>
  <c r="AR31" i="8"/>
  <c r="AS31" i="8"/>
  <c r="AT31" i="8"/>
  <c r="AU31" i="8"/>
  <c r="AV31" i="8"/>
  <c r="AW31" i="8"/>
  <c r="AX31" i="8"/>
  <c r="AY31" i="8"/>
  <c r="AZ31" i="8"/>
  <c r="BA31" i="8"/>
  <c r="BB31" i="8"/>
  <c r="BC31" i="8"/>
  <c r="BD31" i="8"/>
  <c r="BE31" i="8"/>
  <c r="BF31" i="8"/>
  <c r="BG31" i="8"/>
  <c r="BH31" i="8"/>
  <c r="AG32" i="8"/>
  <c r="AH32" i="8"/>
  <c r="AI32" i="8"/>
  <c r="AJ32" i="8"/>
  <c r="AK32" i="8"/>
  <c r="AL32" i="8"/>
  <c r="AM32" i="8"/>
  <c r="AN32" i="8"/>
  <c r="AO32" i="8"/>
  <c r="AP32" i="8"/>
  <c r="AQ32" i="8"/>
  <c r="AR32" i="8"/>
  <c r="AS32" i="8"/>
  <c r="AT32" i="8"/>
  <c r="AU32" i="8"/>
  <c r="AV32" i="8"/>
  <c r="AW32" i="8"/>
  <c r="AX32" i="8"/>
  <c r="AY32" i="8"/>
  <c r="AZ32" i="8"/>
  <c r="BA32" i="8"/>
  <c r="BB32" i="8"/>
  <c r="BC32" i="8"/>
  <c r="BD32" i="8"/>
  <c r="BE32" i="8"/>
  <c r="BF32" i="8"/>
  <c r="BG32" i="8"/>
  <c r="BH32" i="8"/>
  <c r="AH33" i="8"/>
  <c r="AI33" i="8"/>
  <c r="AJ33" i="8"/>
  <c r="AK33" i="8"/>
  <c r="AL33" i="8"/>
  <c r="AM33" i="8"/>
  <c r="AN33" i="8"/>
  <c r="AO33" i="8"/>
  <c r="AP33" i="8"/>
  <c r="AQ33" i="8"/>
  <c r="AR33" i="8"/>
  <c r="AS33" i="8"/>
  <c r="AT33" i="8"/>
  <c r="AU33" i="8"/>
  <c r="AV33" i="8"/>
  <c r="AW33" i="8"/>
  <c r="AX33" i="8"/>
  <c r="AY33" i="8"/>
  <c r="AZ33" i="8"/>
  <c r="BA33" i="8"/>
  <c r="BB33" i="8"/>
  <c r="BC33" i="8"/>
  <c r="BD33" i="8"/>
  <c r="BE33" i="8"/>
  <c r="BF33" i="8"/>
  <c r="BG33" i="8"/>
  <c r="BH33" i="8"/>
  <c r="AI34" i="8"/>
  <c r="AJ34" i="8"/>
  <c r="AK34" i="8"/>
  <c r="AL34" i="8"/>
  <c r="AM34" i="8"/>
  <c r="AN34" i="8"/>
  <c r="AO34" i="8"/>
  <c r="AP34" i="8"/>
  <c r="AQ34" i="8"/>
  <c r="AR34" i="8"/>
  <c r="AS34" i="8"/>
  <c r="AT34" i="8"/>
  <c r="AU34" i="8"/>
  <c r="AV34" i="8"/>
  <c r="AW34" i="8"/>
  <c r="AX34" i="8"/>
  <c r="AY34" i="8"/>
  <c r="AZ34" i="8"/>
  <c r="BA34" i="8"/>
  <c r="BB34" i="8"/>
  <c r="BC34" i="8"/>
  <c r="BD34" i="8"/>
  <c r="BE34" i="8"/>
  <c r="BF34" i="8"/>
  <c r="BG34" i="8"/>
  <c r="BH34" i="8"/>
  <c r="AJ35" i="8"/>
  <c r="AK35" i="8"/>
  <c r="AL35" i="8"/>
  <c r="AM35" i="8"/>
  <c r="AN35" i="8"/>
  <c r="AO35" i="8"/>
  <c r="AP35" i="8"/>
  <c r="AQ35" i="8"/>
  <c r="AR35" i="8"/>
  <c r="AS35" i="8"/>
  <c r="AT35" i="8"/>
  <c r="AU35" i="8"/>
  <c r="AV35" i="8"/>
  <c r="AW35" i="8"/>
  <c r="AX35" i="8"/>
  <c r="AY35" i="8"/>
  <c r="AZ35" i="8"/>
  <c r="BA35" i="8"/>
  <c r="BB35" i="8"/>
  <c r="BC35" i="8"/>
  <c r="BD35" i="8"/>
  <c r="BE35" i="8"/>
  <c r="BF35" i="8"/>
  <c r="BG35" i="8"/>
  <c r="BH35" i="8"/>
  <c r="AK36" i="8"/>
  <c r="AL36" i="8"/>
  <c r="AM36" i="8"/>
  <c r="AN36" i="8"/>
  <c r="AO36" i="8"/>
  <c r="AP36" i="8"/>
  <c r="AQ36" i="8"/>
  <c r="AR36" i="8"/>
  <c r="AS36" i="8"/>
  <c r="AT36" i="8"/>
  <c r="AU36" i="8"/>
  <c r="AV36" i="8"/>
  <c r="AW36" i="8"/>
  <c r="AX36" i="8"/>
  <c r="AY36" i="8"/>
  <c r="AZ36" i="8"/>
  <c r="BA36" i="8"/>
  <c r="BB36" i="8"/>
  <c r="BC36" i="8"/>
  <c r="BD36" i="8"/>
  <c r="BE36" i="8"/>
  <c r="BF36" i="8"/>
  <c r="BG36" i="8"/>
  <c r="BH36" i="8"/>
  <c r="AL37" i="8"/>
  <c r="AM37" i="8"/>
  <c r="AN37" i="8"/>
  <c r="AO37" i="8"/>
  <c r="AP37" i="8"/>
  <c r="AQ37" i="8"/>
  <c r="AR37" i="8"/>
  <c r="AS37" i="8"/>
  <c r="AT37" i="8"/>
  <c r="AU37" i="8"/>
  <c r="AV37" i="8"/>
  <c r="AW37" i="8"/>
  <c r="AX37" i="8"/>
  <c r="AY37" i="8"/>
  <c r="AZ37" i="8"/>
  <c r="BA37" i="8"/>
  <c r="BB37" i="8"/>
  <c r="BC37" i="8"/>
  <c r="BD37" i="8"/>
  <c r="BE37" i="8"/>
  <c r="BF37" i="8"/>
  <c r="BG37" i="8"/>
  <c r="BH37" i="8"/>
  <c r="AM38" i="8"/>
  <c r="AN38" i="8"/>
  <c r="AO38" i="8"/>
  <c r="AP38" i="8"/>
  <c r="AQ38" i="8"/>
  <c r="AR38" i="8"/>
  <c r="AS38" i="8"/>
  <c r="AT38" i="8"/>
  <c r="AU38" i="8"/>
  <c r="AV38" i="8"/>
  <c r="AW38" i="8"/>
  <c r="AX38" i="8"/>
  <c r="AY38" i="8"/>
  <c r="AZ38" i="8"/>
  <c r="BA38" i="8"/>
  <c r="BB38" i="8"/>
  <c r="BC38" i="8"/>
  <c r="BD38" i="8"/>
  <c r="BE38" i="8"/>
  <c r="BF38" i="8"/>
  <c r="BG38" i="8"/>
  <c r="BH38" i="8"/>
  <c r="AN39" i="8"/>
  <c r="AO39" i="8"/>
  <c r="AP39" i="8"/>
  <c r="AQ39" i="8"/>
  <c r="AR39" i="8"/>
  <c r="AS39" i="8"/>
  <c r="AT39" i="8"/>
  <c r="AU39" i="8"/>
  <c r="AV39" i="8"/>
  <c r="AW39" i="8"/>
  <c r="AX39" i="8"/>
  <c r="AY39" i="8"/>
  <c r="AZ39" i="8"/>
  <c r="BA39" i="8"/>
  <c r="BB39" i="8"/>
  <c r="BC39" i="8"/>
  <c r="BD39" i="8"/>
  <c r="BE39" i="8"/>
  <c r="BF39" i="8"/>
  <c r="BG39" i="8"/>
  <c r="BH39" i="8"/>
  <c r="AO40" i="8"/>
  <c r="AP40" i="8"/>
  <c r="AQ40" i="8"/>
  <c r="AR40" i="8"/>
  <c r="AS40" i="8"/>
  <c r="AT40" i="8"/>
  <c r="AU40" i="8"/>
  <c r="AV40" i="8"/>
  <c r="AW40" i="8"/>
  <c r="AX40" i="8"/>
  <c r="AY40" i="8"/>
  <c r="AZ40" i="8"/>
  <c r="BA40" i="8"/>
  <c r="BB40" i="8"/>
  <c r="BC40" i="8"/>
  <c r="BD40" i="8"/>
  <c r="BE40" i="8"/>
  <c r="BF40" i="8"/>
  <c r="BG40" i="8"/>
  <c r="BH40" i="8"/>
  <c r="AP41" i="8"/>
  <c r="AQ41" i="8"/>
  <c r="AR41" i="8"/>
  <c r="AS41" i="8"/>
  <c r="AT41" i="8"/>
  <c r="AU41" i="8"/>
  <c r="AV41" i="8"/>
  <c r="AW41" i="8"/>
  <c r="AX41" i="8"/>
  <c r="AY41" i="8"/>
  <c r="AZ41" i="8"/>
  <c r="BA41" i="8"/>
  <c r="BB41" i="8"/>
  <c r="BC41" i="8"/>
  <c r="BD41" i="8"/>
  <c r="BE41" i="8"/>
  <c r="BF41" i="8"/>
  <c r="BG41" i="8"/>
  <c r="BH41" i="8"/>
  <c r="AQ42" i="8"/>
  <c r="AR42" i="8"/>
  <c r="AS42" i="8"/>
  <c r="AT42" i="8"/>
  <c r="AU42" i="8"/>
  <c r="AV42" i="8"/>
  <c r="AW42" i="8"/>
  <c r="AX42" i="8"/>
  <c r="AY42" i="8"/>
  <c r="AZ42" i="8"/>
  <c r="BA42" i="8"/>
  <c r="BB42" i="8"/>
  <c r="BC42" i="8"/>
  <c r="BD42" i="8"/>
  <c r="BE42" i="8"/>
  <c r="BF42" i="8"/>
  <c r="BG42" i="8"/>
  <c r="BH42" i="8"/>
  <c r="AR43" i="8"/>
  <c r="AS43" i="8"/>
  <c r="AT43" i="8"/>
  <c r="AU43" i="8"/>
  <c r="AV43" i="8"/>
  <c r="AW43" i="8"/>
  <c r="AX43" i="8"/>
  <c r="AY43" i="8"/>
  <c r="AZ43" i="8"/>
  <c r="BA43" i="8"/>
  <c r="BB43" i="8"/>
  <c r="BC43" i="8"/>
  <c r="BD43" i="8"/>
  <c r="BE43" i="8"/>
  <c r="BF43" i="8"/>
  <c r="BG43" i="8"/>
  <c r="BH43" i="8"/>
  <c r="AS44" i="8"/>
  <c r="AT44" i="8"/>
  <c r="AU44" i="8"/>
  <c r="AV44" i="8"/>
  <c r="AW44" i="8"/>
  <c r="AX44" i="8"/>
  <c r="AY44" i="8"/>
  <c r="AZ44" i="8"/>
  <c r="BA44" i="8"/>
  <c r="BB44" i="8"/>
  <c r="BC44" i="8"/>
  <c r="BD44" i="8"/>
  <c r="BE44" i="8"/>
  <c r="BF44" i="8"/>
  <c r="BG44" i="8"/>
  <c r="BH44" i="8"/>
  <c r="AT45" i="8"/>
  <c r="AU45" i="8"/>
  <c r="AV45" i="8"/>
  <c r="AW45" i="8"/>
  <c r="AX45" i="8"/>
  <c r="AY45" i="8"/>
  <c r="AZ45" i="8"/>
  <c r="BA45" i="8"/>
  <c r="BB45" i="8"/>
  <c r="BC45" i="8"/>
  <c r="BD45" i="8"/>
  <c r="BE45" i="8"/>
  <c r="BF45" i="8"/>
  <c r="BG45" i="8"/>
  <c r="BH45" i="8"/>
  <c r="AU46" i="8"/>
  <c r="AV46" i="8"/>
  <c r="AW46" i="8"/>
  <c r="AX46" i="8"/>
  <c r="AY46" i="8"/>
  <c r="AZ46" i="8"/>
  <c r="BA46" i="8"/>
  <c r="BB46" i="8"/>
  <c r="BC46" i="8"/>
  <c r="BD46" i="8"/>
  <c r="BE46" i="8"/>
  <c r="BF46" i="8"/>
  <c r="BG46" i="8"/>
  <c r="BH46" i="8"/>
  <c r="AV47" i="8"/>
  <c r="AW47" i="8"/>
  <c r="AX47" i="8"/>
  <c r="AY47" i="8"/>
  <c r="AZ47" i="8"/>
  <c r="BA47" i="8"/>
  <c r="BB47" i="8"/>
  <c r="BC47" i="8"/>
  <c r="BD47" i="8"/>
  <c r="BE47" i="8"/>
  <c r="BF47" i="8"/>
  <c r="BG47" i="8"/>
  <c r="BH47" i="8"/>
  <c r="AW48" i="8"/>
  <c r="AX48" i="8"/>
  <c r="AY48" i="8"/>
  <c r="AZ48" i="8"/>
  <c r="BA48" i="8"/>
  <c r="BB48" i="8"/>
  <c r="BC48" i="8"/>
  <c r="BD48" i="8"/>
  <c r="BE48" i="8"/>
  <c r="BF48" i="8"/>
  <c r="BG48" i="8"/>
  <c r="BH48" i="8"/>
  <c r="AX49" i="8"/>
  <c r="AY49" i="8"/>
  <c r="AZ49" i="8"/>
  <c r="BA49" i="8"/>
  <c r="BB49" i="8"/>
  <c r="BC49" i="8"/>
  <c r="BD49" i="8"/>
  <c r="BE49" i="8"/>
  <c r="BF49" i="8"/>
  <c r="BG49" i="8"/>
  <c r="BH49" i="8"/>
  <c r="AY50" i="8"/>
  <c r="AZ50" i="8"/>
  <c r="BA50" i="8"/>
  <c r="BB50" i="8"/>
  <c r="BC50" i="8"/>
  <c r="BD50" i="8"/>
  <c r="BE50" i="8"/>
  <c r="BF50" i="8"/>
  <c r="BG50" i="8"/>
  <c r="BH50" i="8"/>
  <c r="AZ51" i="8"/>
  <c r="BA51" i="8"/>
  <c r="BB51" i="8"/>
  <c r="BC51" i="8"/>
  <c r="BD51" i="8"/>
  <c r="BE51" i="8"/>
  <c r="BF51" i="8"/>
  <c r="BG51" i="8"/>
  <c r="BH51" i="8"/>
  <c r="BA52" i="8"/>
  <c r="BB52" i="8"/>
  <c r="BC52" i="8"/>
  <c r="BD52" i="8"/>
  <c r="BE52" i="8"/>
  <c r="BF52" i="8"/>
  <c r="BG52" i="8"/>
  <c r="BH52" i="8"/>
  <c r="BB53" i="8"/>
  <c r="BC53" i="8"/>
  <c r="BD53" i="8"/>
  <c r="BE53" i="8"/>
  <c r="BF53" i="8"/>
  <c r="BG53" i="8"/>
  <c r="BH53" i="8"/>
  <c r="BC54" i="8"/>
  <c r="BD54" i="8"/>
  <c r="BE54" i="8"/>
  <c r="BF54" i="8"/>
  <c r="BG54" i="8"/>
  <c r="BH54" i="8"/>
  <c r="BD55" i="8"/>
  <c r="BE55" i="8"/>
  <c r="BF55" i="8"/>
  <c r="BG55" i="8"/>
  <c r="BH55" i="8"/>
  <c r="BE56" i="8"/>
  <c r="BF56" i="8"/>
  <c r="BG56" i="8"/>
  <c r="BH56" i="8"/>
  <c r="BF57" i="8"/>
  <c r="BG57" i="8"/>
  <c r="BH57" i="8"/>
  <c r="BG58" i="8"/>
  <c r="BH58" i="8"/>
  <c r="BH59" i="8"/>
  <c r="B10" i="8"/>
  <c r="B17" i="8"/>
  <c r="B42" i="8"/>
  <c r="B49" i="8"/>
  <c r="B2" i="8"/>
  <c r="B6" i="8" s="1"/>
  <c r="B1" i="8" a="1"/>
  <c r="C2" i="7"/>
  <c r="D2" i="7"/>
  <c r="E2" i="7"/>
  <c r="F2" i="7"/>
  <c r="G2" i="7"/>
  <c r="H2" i="7"/>
  <c r="I2" i="7"/>
  <c r="J2" i="7"/>
  <c r="K2" i="7"/>
  <c r="L2" i="7"/>
  <c r="M2" i="7"/>
  <c r="N2" i="7"/>
  <c r="O2" i="7"/>
  <c r="P2" i="7"/>
  <c r="Q2" i="7"/>
  <c r="R2" i="7"/>
  <c r="S2" i="7"/>
  <c r="T2" i="7"/>
  <c r="U2" i="7"/>
  <c r="V2" i="7"/>
  <c r="W2" i="7"/>
  <c r="X2" i="7"/>
  <c r="Y2" i="7"/>
  <c r="Z2" i="7"/>
  <c r="AA2" i="7"/>
  <c r="AB2" i="7"/>
  <c r="AC2" i="7"/>
  <c r="AD2" i="7"/>
  <c r="AE2" i="7"/>
  <c r="AF2" i="7"/>
  <c r="AG2" i="7"/>
  <c r="AH2" i="7"/>
  <c r="AI2" i="7"/>
  <c r="AJ2" i="7"/>
  <c r="AK2" i="7"/>
  <c r="AL2" i="7"/>
  <c r="AM2" i="7"/>
  <c r="AN2" i="7"/>
  <c r="AO2" i="7"/>
  <c r="AP2" i="7"/>
  <c r="AQ2" i="7"/>
  <c r="AR2" i="7"/>
  <c r="AS2" i="7"/>
  <c r="AT2" i="7"/>
  <c r="AU2" i="7"/>
  <c r="AV2" i="7"/>
  <c r="AW2" i="7"/>
  <c r="AX2" i="7"/>
  <c r="AY2" i="7"/>
  <c r="AZ2" i="7"/>
  <c r="BA2" i="7"/>
  <c r="BB2" i="7"/>
  <c r="BC2" i="7"/>
  <c r="BD2" i="7"/>
  <c r="BE2" i="7"/>
  <c r="BF2" i="7"/>
  <c r="BG2" i="7"/>
  <c r="BH2" i="7"/>
  <c r="C3" i="7"/>
  <c r="D3" i="7"/>
  <c r="E3" i="7"/>
  <c r="F3" i="7"/>
  <c r="G3" i="7"/>
  <c r="H3" i="7"/>
  <c r="I3" i="7"/>
  <c r="J3" i="7"/>
  <c r="K3" i="7"/>
  <c r="L3" i="7"/>
  <c r="M3" i="7"/>
  <c r="N3" i="7"/>
  <c r="O3" i="7"/>
  <c r="P3" i="7"/>
  <c r="Q3" i="7"/>
  <c r="R3" i="7"/>
  <c r="S3" i="7"/>
  <c r="T3" i="7"/>
  <c r="U3" i="7"/>
  <c r="V3" i="7"/>
  <c r="W3" i="7"/>
  <c r="X3" i="7"/>
  <c r="Y3" i="7"/>
  <c r="Z3" i="7"/>
  <c r="AA3" i="7"/>
  <c r="AB3" i="7"/>
  <c r="AC3" i="7"/>
  <c r="AD3" i="7"/>
  <c r="AE3" i="7"/>
  <c r="AF3" i="7"/>
  <c r="AG3" i="7"/>
  <c r="AH3" i="7"/>
  <c r="AI3" i="7"/>
  <c r="AJ3" i="7"/>
  <c r="AK3" i="7"/>
  <c r="AL3" i="7"/>
  <c r="AM3" i="7"/>
  <c r="AN3" i="7"/>
  <c r="AO3" i="7"/>
  <c r="AP3" i="7"/>
  <c r="AQ3" i="7"/>
  <c r="AR3" i="7"/>
  <c r="AS3" i="7"/>
  <c r="AT3" i="7"/>
  <c r="AU3" i="7"/>
  <c r="AV3" i="7"/>
  <c r="AW3" i="7"/>
  <c r="AX3" i="7"/>
  <c r="AY3" i="7"/>
  <c r="AZ3" i="7"/>
  <c r="BA3" i="7"/>
  <c r="BB3" i="7"/>
  <c r="BC3" i="7"/>
  <c r="BD3" i="7"/>
  <c r="BE3" i="7"/>
  <c r="BF3" i="7"/>
  <c r="BG3" i="7"/>
  <c r="BH3" i="7"/>
  <c r="C4" i="7"/>
  <c r="D4" i="7"/>
  <c r="E4" i="7"/>
  <c r="F4" i="7"/>
  <c r="G4" i="7"/>
  <c r="H4" i="7"/>
  <c r="I4" i="7"/>
  <c r="J4" i="7"/>
  <c r="K4" i="7"/>
  <c r="L4" i="7"/>
  <c r="M4" i="7"/>
  <c r="N4" i="7"/>
  <c r="O4" i="7"/>
  <c r="P4" i="7"/>
  <c r="Q4" i="7"/>
  <c r="R4" i="7"/>
  <c r="S4" i="7"/>
  <c r="T4" i="7"/>
  <c r="U4" i="7"/>
  <c r="V4" i="7"/>
  <c r="W4" i="7"/>
  <c r="X4" i="7"/>
  <c r="Y4" i="7"/>
  <c r="Z4" i="7"/>
  <c r="AA4" i="7"/>
  <c r="AB4" i="7"/>
  <c r="AC4" i="7"/>
  <c r="AD4" i="7"/>
  <c r="AE4" i="7"/>
  <c r="AF4" i="7"/>
  <c r="AG4" i="7"/>
  <c r="AH4" i="7"/>
  <c r="AI4" i="7"/>
  <c r="AJ4" i="7"/>
  <c r="AK4" i="7"/>
  <c r="AL4" i="7"/>
  <c r="AM4" i="7"/>
  <c r="AN4" i="7"/>
  <c r="AO4" i="7"/>
  <c r="AP4" i="7"/>
  <c r="AQ4" i="7"/>
  <c r="AR4" i="7"/>
  <c r="AS4" i="7"/>
  <c r="AT4" i="7"/>
  <c r="AU4" i="7"/>
  <c r="AV4" i="7"/>
  <c r="AW4" i="7"/>
  <c r="AX4" i="7"/>
  <c r="AY4" i="7"/>
  <c r="AZ4" i="7"/>
  <c r="BA4" i="7"/>
  <c r="BB4" i="7"/>
  <c r="BC4" i="7"/>
  <c r="BD4" i="7"/>
  <c r="BE4" i="7"/>
  <c r="BF4" i="7"/>
  <c r="BG4" i="7"/>
  <c r="BH4" i="7"/>
  <c r="C5" i="7"/>
  <c r="D5" i="7"/>
  <c r="E5" i="7"/>
  <c r="F5" i="7"/>
  <c r="G5" i="7"/>
  <c r="H5" i="7"/>
  <c r="I5" i="7"/>
  <c r="J5" i="7"/>
  <c r="K5" i="7"/>
  <c r="L5" i="7"/>
  <c r="M5" i="7"/>
  <c r="N5" i="7"/>
  <c r="O5" i="7"/>
  <c r="P5" i="7"/>
  <c r="Q5" i="7"/>
  <c r="R5" i="7"/>
  <c r="S5" i="7"/>
  <c r="T5" i="7"/>
  <c r="U5" i="7"/>
  <c r="V5" i="7"/>
  <c r="W5" i="7"/>
  <c r="X5" i="7"/>
  <c r="Y5" i="7"/>
  <c r="Z5" i="7"/>
  <c r="AA5" i="7"/>
  <c r="AB5" i="7"/>
  <c r="AC5" i="7"/>
  <c r="AD5" i="7"/>
  <c r="AE5" i="7"/>
  <c r="AF5" i="7"/>
  <c r="AG5" i="7"/>
  <c r="AH5" i="7"/>
  <c r="AI5" i="7"/>
  <c r="AJ5" i="7"/>
  <c r="AK5" i="7"/>
  <c r="AL5" i="7"/>
  <c r="AM5" i="7"/>
  <c r="AN5" i="7"/>
  <c r="AO5" i="7"/>
  <c r="AP5" i="7"/>
  <c r="AQ5" i="7"/>
  <c r="AR5" i="7"/>
  <c r="AS5" i="7"/>
  <c r="AT5" i="7"/>
  <c r="AU5" i="7"/>
  <c r="AV5" i="7"/>
  <c r="AW5" i="7"/>
  <c r="AX5" i="7"/>
  <c r="AY5" i="7"/>
  <c r="AZ5" i="7"/>
  <c r="BA5" i="7"/>
  <c r="BB5" i="7"/>
  <c r="BC5" i="7"/>
  <c r="BD5" i="7"/>
  <c r="BE5" i="7"/>
  <c r="BF5" i="7"/>
  <c r="BG5" i="7"/>
  <c r="BH5" i="7"/>
  <c r="C6" i="7"/>
  <c r="D6" i="7"/>
  <c r="E6" i="7"/>
  <c r="F6" i="7"/>
  <c r="G6" i="7"/>
  <c r="H6" i="7"/>
  <c r="I6" i="7"/>
  <c r="J6" i="7"/>
  <c r="K6" i="7"/>
  <c r="L6" i="7"/>
  <c r="M6" i="7"/>
  <c r="N6" i="7"/>
  <c r="O6" i="7"/>
  <c r="P6" i="7"/>
  <c r="Q6" i="7"/>
  <c r="R6" i="7"/>
  <c r="S6" i="7"/>
  <c r="T6" i="7"/>
  <c r="U6" i="7"/>
  <c r="V6" i="7"/>
  <c r="W6" i="7"/>
  <c r="X6" i="7"/>
  <c r="Y6" i="7"/>
  <c r="Z6" i="7"/>
  <c r="AA6" i="7"/>
  <c r="AB6" i="7"/>
  <c r="AC6" i="7"/>
  <c r="AD6" i="7"/>
  <c r="AE6" i="7"/>
  <c r="AF6" i="7"/>
  <c r="AG6" i="7"/>
  <c r="AH6" i="7"/>
  <c r="AI6" i="7"/>
  <c r="AJ6" i="7"/>
  <c r="AK6" i="7"/>
  <c r="AL6" i="7"/>
  <c r="AM6" i="7"/>
  <c r="AN6" i="7"/>
  <c r="AO6" i="7"/>
  <c r="AP6" i="7"/>
  <c r="AQ6" i="7"/>
  <c r="AR6" i="7"/>
  <c r="AS6" i="7"/>
  <c r="AT6" i="7"/>
  <c r="AU6" i="7"/>
  <c r="AV6" i="7"/>
  <c r="AW6" i="7"/>
  <c r="AX6" i="7"/>
  <c r="AY6" i="7"/>
  <c r="AZ6" i="7"/>
  <c r="BA6" i="7"/>
  <c r="BB6" i="7"/>
  <c r="BC6" i="7"/>
  <c r="BD6" i="7"/>
  <c r="BE6" i="7"/>
  <c r="BF6" i="7"/>
  <c r="BG6" i="7"/>
  <c r="BH6" i="7"/>
  <c r="C7" i="7"/>
  <c r="D7" i="7"/>
  <c r="E7" i="7"/>
  <c r="F7" i="7"/>
  <c r="G7" i="7"/>
  <c r="H7" i="7"/>
  <c r="I7" i="7"/>
  <c r="J7" i="7"/>
  <c r="K7" i="7"/>
  <c r="L7" i="7"/>
  <c r="M7" i="7"/>
  <c r="N7" i="7"/>
  <c r="O7" i="7"/>
  <c r="P7" i="7"/>
  <c r="Q7" i="7"/>
  <c r="R7" i="7"/>
  <c r="S7" i="7"/>
  <c r="T7" i="7"/>
  <c r="U7" i="7"/>
  <c r="V7" i="7"/>
  <c r="W7" i="7"/>
  <c r="X7" i="7"/>
  <c r="Y7" i="7"/>
  <c r="Z7" i="7"/>
  <c r="AA7" i="7"/>
  <c r="AB7" i="7"/>
  <c r="AC7" i="7"/>
  <c r="AD7" i="7"/>
  <c r="AE7" i="7"/>
  <c r="AF7" i="7"/>
  <c r="AG7" i="7"/>
  <c r="AH7" i="7"/>
  <c r="AI7" i="7"/>
  <c r="AJ7" i="7"/>
  <c r="AK7" i="7"/>
  <c r="AL7" i="7"/>
  <c r="AM7" i="7"/>
  <c r="AN7" i="7"/>
  <c r="AO7" i="7"/>
  <c r="AP7" i="7"/>
  <c r="AQ7" i="7"/>
  <c r="AR7" i="7"/>
  <c r="AS7" i="7"/>
  <c r="AT7" i="7"/>
  <c r="AU7" i="7"/>
  <c r="AV7" i="7"/>
  <c r="AW7" i="7"/>
  <c r="AX7" i="7"/>
  <c r="AY7" i="7"/>
  <c r="AZ7" i="7"/>
  <c r="BA7" i="7"/>
  <c r="BB7" i="7"/>
  <c r="BC7" i="7"/>
  <c r="BD7" i="7"/>
  <c r="BE7" i="7"/>
  <c r="BF7" i="7"/>
  <c r="BG7" i="7"/>
  <c r="BH7" i="7"/>
  <c r="C8" i="7"/>
  <c r="D8" i="7"/>
  <c r="E8" i="7"/>
  <c r="H8" i="7" s="1"/>
  <c r="F8" i="7"/>
  <c r="G8" i="7"/>
  <c r="I8" i="7"/>
  <c r="J8" i="7"/>
  <c r="K8" i="7"/>
  <c r="L8" i="7"/>
  <c r="M8" i="7"/>
  <c r="N8" i="7"/>
  <c r="O8" i="7"/>
  <c r="P8" i="7"/>
  <c r="Q8" i="7"/>
  <c r="R8" i="7"/>
  <c r="S8" i="7"/>
  <c r="T8" i="7"/>
  <c r="U8" i="7"/>
  <c r="V8" i="7"/>
  <c r="W8" i="7"/>
  <c r="X8" i="7"/>
  <c r="Y8" i="7"/>
  <c r="Z8" i="7"/>
  <c r="AA8" i="7"/>
  <c r="AB8" i="7"/>
  <c r="AC8" i="7"/>
  <c r="AD8" i="7"/>
  <c r="AE8" i="7"/>
  <c r="AF8" i="7"/>
  <c r="AG8" i="7"/>
  <c r="AH8" i="7"/>
  <c r="AI8" i="7"/>
  <c r="AJ8" i="7"/>
  <c r="AK8" i="7"/>
  <c r="AL8" i="7"/>
  <c r="AM8" i="7"/>
  <c r="AN8" i="7"/>
  <c r="AO8" i="7"/>
  <c r="AP8" i="7"/>
  <c r="AQ8" i="7"/>
  <c r="AR8" i="7"/>
  <c r="AS8" i="7"/>
  <c r="AT8" i="7"/>
  <c r="AU8" i="7"/>
  <c r="AV8" i="7"/>
  <c r="AW8" i="7"/>
  <c r="AX8" i="7"/>
  <c r="AY8" i="7"/>
  <c r="AZ8" i="7"/>
  <c r="BA8" i="7"/>
  <c r="BB8" i="7"/>
  <c r="BC8" i="7"/>
  <c r="BD8" i="7"/>
  <c r="BE8" i="7"/>
  <c r="BF8" i="7"/>
  <c r="BG8" i="7"/>
  <c r="BH8" i="7"/>
  <c r="C9" i="7"/>
  <c r="D9" i="7"/>
  <c r="E9" i="7"/>
  <c r="F9" i="7"/>
  <c r="G9" i="7"/>
  <c r="H9" i="7"/>
  <c r="I9" i="7"/>
  <c r="J9" i="7"/>
  <c r="K9" i="7"/>
  <c r="L9" i="7"/>
  <c r="M9" i="7"/>
  <c r="N9" i="7"/>
  <c r="O9" i="7"/>
  <c r="P9" i="7"/>
  <c r="Q9" i="7"/>
  <c r="R9" i="7"/>
  <c r="S9" i="7"/>
  <c r="T9" i="7"/>
  <c r="U9" i="7"/>
  <c r="V9" i="7"/>
  <c r="W9" i="7"/>
  <c r="X9" i="7"/>
  <c r="Y9" i="7"/>
  <c r="Z9" i="7"/>
  <c r="AA9" i="7"/>
  <c r="AB9" i="7"/>
  <c r="AC9" i="7"/>
  <c r="AD9" i="7"/>
  <c r="AE9" i="7"/>
  <c r="AF9" i="7"/>
  <c r="AG9" i="7"/>
  <c r="AH9" i="7"/>
  <c r="AI9" i="7"/>
  <c r="AJ9" i="7"/>
  <c r="AK9" i="7"/>
  <c r="AL9" i="7"/>
  <c r="AM9" i="7"/>
  <c r="AN9" i="7"/>
  <c r="AO9" i="7"/>
  <c r="AP9" i="7"/>
  <c r="AQ9" i="7"/>
  <c r="AR9" i="7"/>
  <c r="AS9" i="7"/>
  <c r="AT9" i="7"/>
  <c r="AU9" i="7"/>
  <c r="AV9" i="7"/>
  <c r="AW9" i="7"/>
  <c r="AX9" i="7"/>
  <c r="AY9" i="7"/>
  <c r="AZ9" i="7"/>
  <c r="BA9" i="7"/>
  <c r="BB9" i="7"/>
  <c r="BC9" i="7"/>
  <c r="BD9" i="7"/>
  <c r="BE9" i="7"/>
  <c r="BF9" i="7"/>
  <c r="BG9" i="7"/>
  <c r="BH9" i="7"/>
  <c r="C10" i="7"/>
  <c r="D10" i="7"/>
  <c r="E10" i="7"/>
  <c r="F10" i="7"/>
  <c r="G10" i="7"/>
  <c r="H10" i="7"/>
  <c r="I10" i="7"/>
  <c r="J10" i="7"/>
  <c r="K10" i="7"/>
  <c r="L10" i="7"/>
  <c r="M10" i="7"/>
  <c r="N10" i="7"/>
  <c r="O10" i="7"/>
  <c r="P10" i="7"/>
  <c r="Q10" i="7"/>
  <c r="R10" i="7"/>
  <c r="S10" i="7"/>
  <c r="T10" i="7"/>
  <c r="U10" i="7"/>
  <c r="V10" i="7"/>
  <c r="W10" i="7"/>
  <c r="X10" i="7"/>
  <c r="Y10" i="7"/>
  <c r="Z10" i="7"/>
  <c r="AA10" i="7"/>
  <c r="AB10" i="7"/>
  <c r="AC10" i="7"/>
  <c r="AD10" i="7"/>
  <c r="AE10" i="7"/>
  <c r="AF10" i="7"/>
  <c r="AG10" i="7"/>
  <c r="AH10" i="7"/>
  <c r="AI10" i="7"/>
  <c r="AJ10" i="7"/>
  <c r="AK10" i="7"/>
  <c r="AL10" i="7"/>
  <c r="AM10" i="7"/>
  <c r="AN10" i="7"/>
  <c r="AO10" i="7"/>
  <c r="AP10" i="7"/>
  <c r="AQ10" i="7"/>
  <c r="AR10" i="7"/>
  <c r="AS10" i="7"/>
  <c r="AT10" i="7"/>
  <c r="AU10" i="7"/>
  <c r="AV10" i="7"/>
  <c r="AW10" i="7"/>
  <c r="AX10" i="7"/>
  <c r="AY10" i="7"/>
  <c r="AZ10" i="7"/>
  <c r="BA10" i="7"/>
  <c r="BB10" i="7"/>
  <c r="BC10" i="7"/>
  <c r="BD10" i="7"/>
  <c r="BE10" i="7"/>
  <c r="BF10" i="7"/>
  <c r="BG10" i="7"/>
  <c r="BH10" i="7"/>
  <c r="C11" i="7"/>
  <c r="D11" i="7"/>
  <c r="E11" i="7"/>
  <c r="F11" i="7"/>
  <c r="G11" i="7"/>
  <c r="K11" i="7" s="1"/>
  <c r="H11" i="7"/>
  <c r="I11" i="7"/>
  <c r="J11" i="7"/>
  <c r="L11" i="7"/>
  <c r="M11" i="7"/>
  <c r="N11" i="7"/>
  <c r="O11" i="7"/>
  <c r="P11" i="7"/>
  <c r="Q11" i="7"/>
  <c r="R11" i="7"/>
  <c r="S11" i="7"/>
  <c r="T11" i="7"/>
  <c r="U11" i="7"/>
  <c r="V11" i="7"/>
  <c r="W11" i="7"/>
  <c r="X11" i="7"/>
  <c r="Y11" i="7"/>
  <c r="Z11" i="7"/>
  <c r="AA11" i="7"/>
  <c r="AB11" i="7"/>
  <c r="AC11" i="7"/>
  <c r="AD11" i="7"/>
  <c r="AE11" i="7"/>
  <c r="AF11" i="7"/>
  <c r="AG11" i="7"/>
  <c r="AH11" i="7"/>
  <c r="AI11" i="7"/>
  <c r="AJ11" i="7"/>
  <c r="AK11" i="7"/>
  <c r="AL11" i="7"/>
  <c r="AM11" i="7"/>
  <c r="AN11" i="7"/>
  <c r="AO11" i="7"/>
  <c r="AP11" i="7"/>
  <c r="AQ11" i="7"/>
  <c r="AR11" i="7"/>
  <c r="AS11" i="7"/>
  <c r="AT11" i="7"/>
  <c r="AU11" i="7"/>
  <c r="AV11" i="7"/>
  <c r="AW11" i="7"/>
  <c r="AX11" i="7"/>
  <c r="AY11" i="7"/>
  <c r="AZ11" i="7"/>
  <c r="BA11" i="7"/>
  <c r="BB11" i="7"/>
  <c r="BC11" i="7"/>
  <c r="BD11" i="7"/>
  <c r="BE11" i="7"/>
  <c r="BF11" i="7"/>
  <c r="BG11" i="7"/>
  <c r="BH11" i="7"/>
  <c r="C12" i="7"/>
  <c r="D12" i="7"/>
  <c r="E12" i="7"/>
  <c r="L12" i="7" s="1"/>
  <c r="F12" i="7"/>
  <c r="G12" i="7"/>
  <c r="H12" i="7"/>
  <c r="I12" i="7"/>
  <c r="J12" i="7"/>
  <c r="K12" i="7"/>
  <c r="M12" i="7"/>
  <c r="N12" i="7"/>
  <c r="O12" i="7"/>
  <c r="P12" i="7"/>
  <c r="Q12" i="7"/>
  <c r="R12" i="7"/>
  <c r="S12" i="7"/>
  <c r="T12" i="7"/>
  <c r="U12" i="7"/>
  <c r="V12" i="7"/>
  <c r="W12" i="7"/>
  <c r="X12" i="7"/>
  <c r="Y12" i="7"/>
  <c r="Z12" i="7"/>
  <c r="AA12" i="7"/>
  <c r="AB12" i="7"/>
  <c r="AC12" i="7"/>
  <c r="AD12" i="7"/>
  <c r="AE12" i="7"/>
  <c r="AF12" i="7"/>
  <c r="AG12" i="7"/>
  <c r="AH12" i="7"/>
  <c r="AI12" i="7"/>
  <c r="AJ12" i="7"/>
  <c r="AK12" i="7"/>
  <c r="AL12" i="7"/>
  <c r="AM12" i="7"/>
  <c r="AN12" i="7"/>
  <c r="AO12" i="7"/>
  <c r="AP12" i="7"/>
  <c r="AQ12" i="7"/>
  <c r="AR12" i="7"/>
  <c r="AS12" i="7"/>
  <c r="AT12" i="7"/>
  <c r="AU12" i="7"/>
  <c r="AV12" i="7"/>
  <c r="AW12" i="7"/>
  <c r="AX12" i="7"/>
  <c r="AY12" i="7"/>
  <c r="AZ12" i="7"/>
  <c r="BA12" i="7"/>
  <c r="BB12" i="7"/>
  <c r="BC12" i="7"/>
  <c r="BD12" i="7"/>
  <c r="BE12" i="7"/>
  <c r="BF12" i="7"/>
  <c r="BG12" i="7"/>
  <c r="BH12" i="7"/>
  <c r="C13" i="7"/>
  <c r="D13" i="7"/>
  <c r="E13" i="7"/>
  <c r="F13" i="7"/>
  <c r="G13" i="7"/>
  <c r="H13" i="7"/>
  <c r="I13" i="7"/>
  <c r="J13" i="7"/>
  <c r="K13" i="7"/>
  <c r="L13" i="7"/>
  <c r="M13" i="7"/>
  <c r="N13" i="7"/>
  <c r="O13" i="7"/>
  <c r="P13" i="7"/>
  <c r="Q13" i="7"/>
  <c r="R13" i="7"/>
  <c r="S13" i="7"/>
  <c r="T13" i="7"/>
  <c r="U13" i="7"/>
  <c r="V13" i="7"/>
  <c r="W13" i="7"/>
  <c r="X13" i="7"/>
  <c r="Y13" i="7"/>
  <c r="Z13" i="7"/>
  <c r="AA13" i="7"/>
  <c r="AB13" i="7"/>
  <c r="AC13" i="7"/>
  <c r="AD13" i="7"/>
  <c r="AE13" i="7"/>
  <c r="AF13" i="7"/>
  <c r="AG13" i="7"/>
  <c r="AH13" i="7"/>
  <c r="AI13" i="7"/>
  <c r="AJ13" i="7"/>
  <c r="AK13" i="7"/>
  <c r="AL13" i="7"/>
  <c r="AM13" i="7"/>
  <c r="AN13" i="7"/>
  <c r="AO13" i="7"/>
  <c r="AP13" i="7"/>
  <c r="AQ13" i="7"/>
  <c r="AR13" i="7"/>
  <c r="AS13" i="7"/>
  <c r="AT13" i="7"/>
  <c r="AU13" i="7"/>
  <c r="AV13" i="7"/>
  <c r="AW13" i="7"/>
  <c r="AX13" i="7"/>
  <c r="AY13" i="7"/>
  <c r="AZ13" i="7"/>
  <c r="BA13" i="7"/>
  <c r="BB13" i="7"/>
  <c r="BC13" i="7"/>
  <c r="BD13" i="7"/>
  <c r="BE13" i="7"/>
  <c r="BF13" i="7"/>
  <c r="BG13" i="7"/>
  <c r="BH13" i="7"/>
  <c r="C14" i="7"/>
  <c r="D14" i="7"/>
  <c r="E14" i="7"/>
  <c r="F14" i="7"/>
  <c r="G14" i="7"/>
  <c r="H14" i="7"/>
  <c r="I14" i="7"/>
  <c r="N14" i="7" s="1"/>
  <c r="J14" i="7"/>
  <c r="K14" i="7"/>
  <c r="L14" i="7"/>
  <c r="M14" i="7"/>
  <c r="O14" i="7"/>
  <c r="P14" i="7"/>
  <c r="Q14" i="7"/>
  <c r="R14" i="7"/>
  <c r="S14" i="7"/>
  <c r="T14" i="7"/>
  <c r="U14" i="7"/>
  <c r="V14" i="7"/>
  <c r="W14" i="7"/>
  <c r="X14" i="7"/>
  <c r="Y14" i="7"/>
  <c r="Z14" i="7"/>
  <c r="AA14" i="7"/>
  <c r="AB14" i="7"/>
  <c r="AC14" i="7"/>
  <c r="AD14" i="7"/>
  <c r="AE14" i="7"/>
  <c r="AF14" i="7"/>
  <c r="AG14" i="7"/>
  <c r="AH14" i="7"/>
  <c r="AI14" i="7"/>
  <c r="AJ14" i="7"/>
  <c r="AK14" i="7"/>
  <c r="AL14" i="7"/>
  <c r="AM14" i="7"/>
  <c r="AN14" i="7"/>
  <c r="AO14" i="7"/>
  <c r="AP14" i="7"/>
  <c r="AQ14" i="7"/>
  <c r="AR14" i="7"/>
  <c r="AS14" i="7"/>
  <c r="AT14" i="7"/>
  <c r="AU14" i="7"/>
  <c r="AV14" i="7"/>
  <c r="AW14" i="7"/>
  <c r="AX14" i="7"/>
  <c r="AY14" i="7"/>
  <c r="AZ14" i="7"/>
  <c r="BA14" i="7"/>
  <c r="BB14" i="7"/>
  <c r="BC14" i="7"/>
  <c r="BD14" i="7"/>
  <c r="BE14" i="7"/>
  <c r="BF14" i="7"/>
  <c r="BG14" i="7"/>
  <c r="BH14" i="7"/>
  <c r="C15" i="7"/>
  <c r="D15" i="7"/>
  <c r="E15" i="7"/>
  <c r="F15" i="7"/>
  <c r="G15" i="7"/>
  <c r="H15" i="7"/>
  <c r="I15" i="7"/>
  <c r="J15" i="7"/>
  <c r="K15" i="7"/>
  <c r="L15" i="7"/>
  <c r="M15" i="7"/>
  <c r="N15" i="7"/>
  <c r="O15" i="7"/>
  <c r="P15" i="7"/>
  <c r="Q15" i="7"/>
  <c r="R15" i="7"/>
  <c r="S15" i="7"/>
  <c r="T15" i="7"/>
  <c r="U15" i="7"/>
  <c r="V15" i="7"/>
  <c r="W15" i="7"/>
  <c r="X15" i="7"/>
  <c r="Y15" i="7"/>
  <c r="Z15" i="7"/>
  <c r="AA15" i="7"/>
  <c r="AB15" i="7"/>
  <c r="AC15" i="7"/>
  <c r="AD15" i="7"/>
  <c r="AE15" i="7"/>
  <c r="AF15" i="7"/>
  <c r="AG15" i="7"/>
  <c r="AH15" i="7"/>
  <c r="AI15" i="7"/>
  <c r="AJ15" i="7"/>
  <c r="AK15" i="7"/>
  <c r="AL15" i="7"/>
  <c r="AM15" i="7"/>
  <c r="AN15" i="7"/>
  <c r="AO15" i="7"/>
  <c r="AP15" i="7"/>
  <c r="AQ15" i="7"/>
  <c r="AR15" i="7"/>
  <c r="AS15" i="7"/>
  <c r="AT15" i="7"/>
  <c r="AU15" i="7"/>
  <c r="AV15" i="7"/>
  <c r="AW15" i="7"/>
  <c r="AX15" i="7"/>
  <c r="AY15" i="7"/>
  <c r="AZ15" i="7"/>
  <c r="BA15" i="7"/>
  <c r="BB15" i="7"/>
  <c r="BC15" i="7"/>
  <c r="BD15" i="7"/>
  <c r="BE15" i="7"/>
  <c r="BF15" i="7"/>
  <c r="BG15" i="7"/>
  <c r="BH15" i="7"/>
  <c r="C16" i="7"/>
  <c r="D16" i="7"/>
  <c r="E16" i="7"/>
  <c r="P16" i="7" s="1"/>
  <c r="F16" i="7"/>
  <c r="G16" i="7"/>
  <c r="H16" i="7"/>
  <c r="I16" i="7"/>
  <c r="J16" i="7"/>
  <c r="K16" i="7"/>
  <c r="L16" i="7"/>
  <c r="M16" i="7"/>
  <c r="N16" i="7"/>
  <c r="O16" i="7"/>
  <c r="Q16" i="7"/>
  <c r="R16" i="7"/>
  <c r="S16" i="7"/>
  <c r="T16" i="7"/>
  <c r="U16" i="7"/>
  <c r="V16" i="7"/>
  <c r="W16" i="7"/>
  <c r="X16" i="7"/>
  <c r="Y16" i="7"/>
  <c r="Z16" i="7"/>
  <c r="AA16" i="7"/>
  <c r="AB16" i="7"/>
  <c r="AC16" i="7"/>
  <c r="AD16" i="7"/>
  <c r="AE16" i="7"/>
  <c r="AF16" i="7"/>
  <c r="AG16" i="7"/>
  <c r="AH16" i="7"/>
  <c r="AI16" i="7"/>
  <c r="AJ16" i="7"/>
  <c r="AK16" i="7"/>
  <c r="AL16" i="7"/>
  <c r="AM16" i="7"/>
  <c r="AN16" i="7"/>
  <c r="AO16" i="7"/>
  <c r="AP16" i="7"/>
  <c r="AQ16" i="7"/>
  <c r="AR16" i="7"/>
  <c r="AS16" i="7"/>
  <c r="AT16" i="7"/>
  <c r="AU16" i="7"/>
  <c r="AV16" i="7"/>
  <c r="AW16" i="7"/>
  <c r="AX16" i="7"/>
  <c r="AY16" i="7"/>
  <c r="AZ16" i="7"/>
  <c r="BA16" i="7"/>
  <c r="BB16" i="7"/>
  <c r="BC16" i="7"/>
  <c r="BD16" i="7"/>
  <c r="BE16" i="7"/>
  <c r="BF16" i="7"/>
  <c r="BG16" i="7"/>
  <c r="BH16" i="7"/>
  <c r="C17" i="7"/>
  <c r="Q17" i="7" s="1"/>
  <c r="D17" i="7"/>
  <c r="E17" i="7"/>
  <c r="F17" i="7"/>
  <c r="G17" i="7"/>
  <c r="H17" i="7"/>
  <c r="I17" i="7"/>
  <c r="J17" i="7"/>
  <c r="K17" i="7"/>
  <c r="L17" i="7"/>
  <c r="M17" i="7"/>
  <c r="N17" i="7"/>
  <c r="O17" i="7"/>
  <c r="P17" i="7"/>
  <c r="R17" i="7"/>
  <c r="S17" i="7"/>
  <c r="T17" i="7"/>
  <c r="U17" i="7"/>
  <c r="V17" i="7"/>
  <c r="W17" i="7"/>
  <c r="X17" i="7"/>
  <c r="Y17" i="7"/>
  <c r="Z17" i="7"/>
  <c r="AA17" i="7"/>
  <c r="AB17" i="7"/>
  <c r="AC17" i="7"/>
  <c r="AD17" i="7"/>
  <c r="AE17" i="7"/>
  <c r="AF17" i="7"/>
  <c r="AG17" i="7"/>
  <c r="AH17" i="7"/>
  <c r="AI17" i="7"/>
  <c r="AJ17" i="7"/>
  <c r="AK17" i="7"/>
  <c r="AL17" i="7"/>
  <c r="AM17" i="7"/>
  <c r="AN17" i="7"/>
  <c r="AO17" i="7"/>
  <c r="AP17" i="7"/>
  <c r="AQ17" i="7"/>
  <c r="AR17" i="7"/>
  <c r="AS17" i="7"/>
  <c r="AT17" i="7"/>
  <c r="AU17" i="7"/>
  <c r="AV17" i="7"/>
  <c r="AW17" i="7"/>
  <c r="AX17" i="7"/>
  <c r="AY17" i="7"/>
  <c r="AZ17" i="7"/>
  <c r="BA17" i="7"/>
  <c r="BB17" i="7"/>
  <c r="BC17" i="7"/>
  <c r="BD17" i="7"/>
  <c r="BE17" i="7"/>
  <c r="BF17" i="7"/>
  <c r="BG17" i="7"/>
  <c r="BH17" i="7"/>
  <c r="C18" i="7"/>
  <c r="D18" i="7"/>
  <c r="E18" i="7"/>
  <c r="F18" i="7"/>
  <c r="G18" i="7"/>
  <c r="H18" i="7"/>
  <c r="I18" i="7"/>
  <c r="J18" i="7"/>
  <c r="K18" i="7"/>
  <c r="L18" i="7"/>
  <c r="M18" i="7"/>
  <c r="N18" i="7"/>
  <c r="O18" i="7"/>
  <c r="P18" i="7"/>
  <c r="Q18" i="7"/>
  <c r="R18" i="7"/>
  <c r="S18" i="7"/>
  <c r="T18" i="7"/>
  <c r="U18" i="7"/>
  <c r="V18" i="7"/>
  <c r="W18" i="7"/>
  <c r="X18" i="7"/>
  <c r="Y18" i="7"/>
  <c r="Z18" i="7"/>
  <c r="AA18" i="7"/>
  <c r="AB18" i="7"/>
  <c r="AC18" i="7"/>
  <c r="AD18" i="7"/>
  <c r="AE18" i="7"/>
  <c r="AF18" i="7"/>
  <c r="AG18" i="7"/>
  <c r="AH18" i="7"/>
  <c r="AI18" i="7"/>
  <c r="AJ18" i="7"/>
  <c r="AK18" i="7"/>
  <c r="AL18" i="7"/>
  <c r="AM18" i="7"/>
  <c r="AN18" i="7"/>
  <c r="AO18" i="7"/>
  <c r="AP18" i="7"/>
  <c r="AQ18" i="7"/>
  <c r="AR18" i="7"/>
  <c r="AS18" i="7"/>
  <c r="AT18" i="7"/>
  <c r="AU18" i="7"/>
  <c r="AV18" i="7"/>
  <c r="AW18" i="7"/>
  <c r="AX18" i="7"/>
  <c r="AY18" i="7"/>
  <c r="AZ18" i="7"/>
  <c r="BA18" i="7"/>
  <c r="BB18" i="7"/>
  <c r="BC18" i="7"/>
  <c r="BD18" i="7"/>
  <c r="BE18" i="7"/>
  <c r="BF18" i="7"/>
  <c r="BG18" i="7"/>
  <c r="BH18" i="7"/>
  <c r="C19" i="7"/>
  <c r="D19" i="7"/>
  <c r="E19" i="7"/>
  <c r="F19" i="7"/>
  <c r="G19" i="7"/>
  <c r="S19" i="7" s="1"/>
  <c r="H19" i="7"/>
  <c r="I19" i="7"/>
  <c r="J19" i="7"/>
  <c r="K19" i="7"/>
  <c r="L19" i="7"/>
  <c r="M19" i="7"/>
  <c r="N19" i="7"/>
  <c r="O19" i="7"/>
  <c r="P19" i="7"/>
  <c r="Q19" i="7"/>
  <c r="R19" i="7"/>
  <c r="T19" i="7"/>
  <c r="U19" i="7"/>
  <c r="V19" i="7"/>
  <c r="W19" i="7"/>
  <c r="X19" i="7"/>
  <c r="Y19" i="7"/>
  <c r="Z19" i="7"/>
  <c r="AA19" i="7"/>
  <c r="AB19" i="7"/>
  <c r="AC19" i="7"/>
  <c r="AD19" i="7"/>
  <c r="AE19" i="7"/>
  <c r="AF19" i="7"/>
  <c r="AG19" i="7"/>
  <c r="AH19" i="7"/>
  <c r="AI19" i="7"/>
  <c r="AJ19" i="7"/>
  <c r="AK19" i="7"/>
  <c r="AL19" i="7"/>
  <c r="AM19" i="7"/>
  <c r="AN19" i="7"/>
  <c r="AO19" i="7"/>
  <c r="AP19" i="7"/>
  <c r="AQ19" i="7"/>
  <c r="AR19" i="7"/>
  <c r="AS19" i="7"/>
  <c r="AT19" i="7"/>
  <c r="AU19" i="7"/>
  <c r="AV19" i="7"/>
  <c r="AW19" i="7"/>
  <c r="AX19" i="7"/>
  <c r="AY19" i="7"/>
  <c r="AZ19" i="7"/>
  <c r="BA19" i="7"/>
  <c r="BB19" i="7"/>
  <c r="BC19" i="7"/>
  <c r="BD19" i="7"/>
  <c r="BE19" i="7"/>
  <c r="BF19" i="7"/>
  <c r="BG19" i="7"/>
  <c r="BH19" i="7"/>
  <c r="C20" i="7"/>
  <c r="D20" i="7"/>
  <c r="E20" i="7"/>
  <c r="T20" i="7" s="1"/>
  <c r="F20" i="7"/>
  <c r="G20" i="7"/>
  <c r="H20" i="7"/>
  <c r="I20" i="7"/>
  <c r="J20" i="7"/>
  <c r="K20" i="7"/>
  <c r="L20" i="7"/>
  <c r="M20" i="7"/>
  <c r="N20" i="7"/>
  <c r="O20" i="7"/>
  <c r="P20" i="7"/>
  <c r="Q20" i="7"/>
  <c r="R20" i="7"/>
  <c r="S20" i="7"/>
  <c r="U20" i="7"/>
  <c r="V20" i="7"/>
  <c r="W20" i="7"/>
  <c r="X20" i="7"/>
  <c r="Y20" i="7"/>
  <c r="Z20" i="7"/>
  <c r="AA20" i="7"/>
  <c r="AB20" i="7"/>
  <c r="AC20" i="7"/>
  <c r="AD20" i="7"/>
  <c r="AE20" i="7"/>
  <c r="AF20" i="7"/>
  <c r="AG20" i="7"/>
  <c r="AH20" i="7"/>
  <c r="AI20" i="7"/>
  <c r="AJ20" i="7"/>
  <c r="AK20" i="7"/>
  <c r="AL20" i="7"/>
  <c r="AM20" i="7"/>
  <c r="AN20" i="7"/>
  <c r="AO20" i="7"/>
  <c r="AP20" i="7"/>
  <c r="AQ20" i="7"/>
  <c r="AR20" i="7"/>
  <c r="AS20" i="7"/>
  <c r="AT20" i="7"/>
  <c r="AU20" i="7"/>
  <c r="AV20" i="7"/>
  <c r="AW20" i="7"/>
  <c r="AX20" i="7"/>
  <c r="AY20" i="7"/>
  <c r="AZ20" i="7"/>
  <c r="BA20" i="7"/>
  <c r="BB20" i="7"/>
  <c r="BC20" i="7"/>
  <c r="BD20" i="7"/>
  <c r="BE20" i="7"/>
  <c r="BF20" i="7"/>
  <c r="BG20" i="7"/>
  <c r="BH20" i="7"/>
  <c r="C21" i="7"/>
  <c r="U21" i="7" s="1"/>
  <c r="D21" i="7"/>
  <c r="E21" i="7"/>
  <c r="F21" i="7"/>
  <c r="G21" i="7"/>
  <c r="H21" i="7"/>
  <c r="I21" i="7"/>
  <c r="J21" i="7"/>
  <c r="K21" i="7"/>
  <c r="L21" i="7"/>
  <c r="M21" i="7"/>
  <c r="N21" i="7"/>
  <c r="O21" i="7"/>
  <c r="P21" i="7"/>
  <c r="Q21" i="7"/>
  <c r="R21" i="7"/>
  <c r="S21" i="7"/>
  <c r="T21" i="7"/>
  <c r="V21" i="7"/>
  <c r="W21" i="7"/>
  <c r="X21" i="7"/>
  <c r="Y21" i="7"/>
  <c r="Z21" i="7"/>
  <c r="AA21" i="7"/>
  <c r="AB21" i="7"/>
  <c r="AC21" i="7"/>
  <c r="AD21" i="7"/>
  <c r="AE21" i="7"/>
  <c r="AF21" i="7"/>
  <c r="AG21" i="7"/>
  <c r="AH21" i="7"/>
  <c r="AI21" i="7"/>
  <c r="AJ21" i="7"/>
  <c r="AK21" i="7"/>
  <c r="AL21" i="7"/>
  <c r="AM21" i="7"/>
  <c r="AN21" i="7"/>
  <c r="AO21" i="7"/>
  <c r="AP21" i="7"/>
  <c r="AQ21" i="7"/>
  <c r="AR21" i="7"/>
  <c r="AS21" i="7"/>
  <c r="AT21" i="7"/>
  <c r="AU21" i="7"/>
  <c r="AV21" i="7"/>
  <c r="AW21" i="7"/>
  <c r="AX21" i="7"/>
  <c r="AY21" i="7"/>
  <c r="AZ21" i="7"/>
  <c r="BA21" i="7"/>
  <c r="BB21" i="7"/>
  <c r="BC21" i="7"/>
  <c r="BD21" i="7"/>
  <c r="BE21" i="7"/>
  <c r="BF21" i="7"/>
  <c r="BG21" i="7"/>
  <c r="BH21" i="7"/>
  <c r="C22" i="7"/>
  <c r="D22" i="7"/>
  <c r="E22" i="7"/>
  <c r="F22" i="7"/>
  <c r="G22" i="7"/>
  <c r="H22" i="7"/>
  <c r="I22" i="7"/>
  <c r="V22" i="7" s="1"/>
  <c r="J22" i="7"/>
  <c r="K22" i="7"/>
  <c r="L22" i="7"/>
  <c r="M22" i="7"/>
  <c r="N22" i="7"/>
  <c r="O22" i="7"/>
  <c r="P22" i="7"/>
  <c r="Q22" i="7"/>
  <c r="R22" i="7"/>
  <c r="S22" i="7"/>
  <c r="T22" i="7"/>
  <c r="U22" i="7"/>
  <c r="W22" i="7"/>
  <c r="X22" i="7"/>
  <c r="Y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AY22" i="7"/>
  <c r="AZ22" i="7"/>
  <c r="BA22" i="7"/>
  <c r="BB22" i="7"/>
  <c r="BC22" i="7"/>
  <c r="BD22" i="7"/>
  <c r="BE22" i="7"/>
  <c r="BF22" i="7"/>
  <c r="BG22" i="7"/>
  <c r="BH22" i="7"/>
  <c r="C23" i="7"/>
  <c r="D23" i="7"/>
  <c r="E23" i="7"/>
  <c r="F23" i="7"/>
  <c r="G23" i="7"/>
  <c r="H23" i="7"/>
  <c r="I23" i="7"/>
  <c r="J23" i="7"/>
  <c r="K23" i="7"/>
  <c r="L23" i="7"/>
  <c r="M23" i="7"/>
  <c r="N23" i="7"/>
  <c r="O23" i="7"/>
  <c r="P23" i="7"/>
  <c r="Q23" i="7"/>
  <c r="R23" i="7"/>
  <c r="S23" i="7"/>
  <c r="T23" i="7"/>
  <c r="U23" i="7"/>
  <c r="V23" i="7"/>
  <c r="W23" i="7"/>
  <c r="X23" i="7"/>
  <c r="Y23" i="7"/>
  <c r="Z23" i="7"/>
  <c r="AA23" i="7"/>
  <c r="AB23" i="7"/>
  <c r="AC23" i="7"/>
  <c r="AD23" i="7"/>
  <c r="AE23" i="7"/>
  <c r="AF23" i="7"/>
  <c r="AG23" i="7"/>
  <c r="AH23" i="7"/>
  <c r="AI23" i="7"/>
  <c r="AJ23" i="7"/>
  <c r="AK23" i="7"/>
  <c r="AL23" i="7"/>
  <c r="AM23" i="7"/>
  <c r="AN23" i="7"/>
  <c r="AO23" i="7"/>
  <c r="AP23" i="7"/>
  <c r="AQ23" i="7"/>
  <c r="AR23" i="7"/>
  <c r="AS23" i="7"/>
  <c r="AT23" i="7"/>
  <c r="AU23" i="7"/>
  <c r="AV23" i="7"/>
  <c r="AW23" i="7"/>
  <c r="AX23" i="7"/>
  <c r="AY23" i="7"/>
  <c r="AZ23" i="7"/>
  <c r="BA23" i="7"/>
  <c r="BB23" i="7"/>
  <c r="BC23" i="7"/>
  <c r="BD23" i="7"/>
  <c r="BE23" i="7"/>
  <c r="BF23" i="7"/>
  <c r="BG23" i="7"/>
  <c r="BH23" i="7"/>
  <c r="C24" i="7"/>
  <c r="D24" i="7"/>
  <c r="E24" i="7"/>
  <c r="X24" i="7" s="1"/>
  <c r="F24" i="7"/>
  <c r="G24" i="7"/>
  <c r="H24" i="7"/>
  <c r="I24" i="7"/>
  <c r="J24" i="7"/>
  <c r="K24" i="7"/>
  <c r="L24" i="7"/>
  <c r="M24" i="7"/>
  <c r="N24" i="7"/>
  <c r="O24" i="7"/>
  <c r="P24" i="7"/>
  <c r="Q24" i="7"/>
  <c r="R24" i="7"/>
  <c r="S24" i="7"/>
  <c r="T24" i="7"/>
  <c r="U24" i="7"/>
  <c r="V24" i="7"/>
  <c r="W24" i="7"/>
  <c r="Y24" i="7"/>
  <c r="Z24" i="7"/>
  <c r="AA24" i="7"/>
  <c r="AB24" i="7"/>
  <c r="AC24" i="7"/>
  <c r="AD24" i="7"/>
  <c r="AE24" i="7"/>
  <c r="AF24" i="7"/>
  <c r="AG24" i="7"/>
  <c r="AH24" i="7"/>
  <c r="AI24" i="7"/>
  <c r="AJ24" i="7"/>
  <c r="AK24" i="7"/>
  <c r="AL24" i="7"/>
  <c r="AM24" i="7"/>
  <c r="AN24" i="7"/>
  <c r="AO24" i="7"/>
  <c r="AP24" i="7"/>
  <c r="AQ24" i="7"/>
  <c r="AR24" i="7"/>
  <c r="AS24" i="7"/>
  <c r="AT24" i="7"/>
  <c r="AU24" i="7"/>
  <c r="AV24" i="7"/>
  <c r="AW24" i="7"/>
  <c r="AX24" i="7"/>
  <c r="AY24" i="7"/>
  <c r="AZ24" i="7"/>
  <c r="BA24" i="7"/>
  <c r="BB24" i="7"/>
  <c r="BC24" i="7"/>
  <c r="BD24" i="7"/>
  <c r="BE24" i="7"/>
  <c r="BF24" i="7"/>
  <c r="BG24" i="7"/>
  <c r="BH24" i="7"/>
  <c r="C25" i="7"/>
  <c r="Y25" i="7" s="1"/>
  <c r="D25" i="7"/>
  <c r="E25" i="7"/>
  <c r="F25" i="7"/>
  <c r="G25" i="7"/>
  <c r="H25" i="7"/>
  <c r="I25" i="7"/>
  <c r="J25" i="7"/>
  <c r="K25" i="7"/>
  <c r="L25" i="7"/>
  <c r="M25" i="7"/>
  <c r="N25" i="7"/>
  <c r="O25" i="7"/>
  <c r="P25" i="7"/>
  <c r="Q25" i="7"/>
  <c r="R25" i="7"/>
  <c r="S25" i="7"/>
  <c r="T25" i="7"/>
  <c r="U25" i="7"/>
  <c r="V25" i="7"/>
  <c r="W25" i="7"/>
  <c r="X25" i="7"/>
  <c r="Z25" i="7"/>
  <c r="AA25" i="7"/>
  <c r="AB25" i="7"/>
  <c r="AC25" i="7"/>
  <c r="AD25" i="7"/>
  <c r="AE25" i="7"/>
  <c r="AF25" i="7"/>
  <c r="AG25" i="7"/>
  <c r="AH25" i="7"/>
  <c r="AI25" i="7"/>
  <c r="AJ25" i="7"/>
  <c r="AK25" i="7"/>
  <c r="AL25" i="7"/>
  <c r="AM25" i="7"/>
  <c r="AN25" i="7"/>
  <c r="AO25" i="7"/>
  <c r="AP25" i="7"/>
  <c r="AQ25" i="7"/>
  <c r="AR25" i="7"/>
  <c r="AS25" i="7"/>
  <c r="AT25" i="7"/>
  <c r="AU25" i="7"/>
  <c r="AV25" i="7"/>
  <c r="AW25" i="7"/>
  <c r="AX25" i="7"/>
  <c r="AY25" i="7"/>
  <c r="AZ25" i="7"/>
  <c r="BA25" i="7"/>
  <c r="BB25" i="7"/>
  <c r="BC25" i="7"/>
  <c r="BD25" i="7"/>
  <c r="BE25" i="7"/>
  <c r="BF25" i="7"/>
  <c r="BG25" i="7"/>
  <c r="BH25" i="7"/>
  <c r="C26" i="7"/>
  <c r="D26" i="7"/>
  <c r="E26"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C27" i="7"/>
  <c r="D27" i="7"/>
  <c r="E27" i="7"/>
  <c r="F27" i="7"/>
  <c r="G27" i="7"/>
  <c r="AA27" i="7" s="1"/>
  <c r="H27" i="7"/>
  <c r="I27" i="7"/>
  <c r="J27" i="7"/>
  <c r="K27" i="7"/>
  <c r="L27" i="7"/>
  <c r="M27" i="7"/>
  <c r="N27" i="7"/>
  <c r="O27" i="7"/>
  <c r="P27" i="7"/>
  <c r="Q27" i="7"/>
  <c r="R27" i="7"/>
  <c r="S27" i="7"/>
  <c r="T27" i="7"/>
  <c r="U27" i="7"/>
  <c r="V27" i="7"/>
  <c r="W27" i="7"/>
  <c r="X27" i="7"/>
  <c r="Y27" i="7"/>
  <c r="Z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C28" i="7"/>
  <c r="D28" i="7"/>
  <c r="E28" i="7"/>
  <c r="AB28" i="7" s="1"/>
  <c r="F28" i="7"/>
  <c r="G28" i="7"/>
  <c r="H28" i="7"/>
  <c r="I28" i="7"/>
  <c r="J28" i="7"/>
  <c r="K28" i="7"/>
  <c r="L28" i="7"/>
  <c r="M28" i="7"/>
  <c r="N28" i="7"/>
  <c r="O28" i="7"/>
  <c r="P28" i="7"/>
  <c r="Q28" i="7"/>
  <c r="R28" i="7"/>
  <c r="S28" i="7"/>
  <c r="T28" i="7"/>
  <c r="U28" i="7"/>
  <c r="V28" i="7"/>
  <c r="W28" i="7"/>
  <c r="X28" i="7"/>
  <c r="Y28" i="7"/>
  <c r="Z28" i="7"/>
  <c r="AA28" i="7"/>
  <c r="AC28" i="7"/>
  <c r="AD28" i="7"/>
  <c r="AE28" i="7"/>
  <c r="AF28" i="7"/>
  <c r="AG28" i="7"/>
  <c r="AH28" i="7"/>
  <c r="AI28" i="7"/>
  <c r="AJ28" i="7"/>
  <c r="AK28" i="7"/>
  <c r="AL28" i="7"/>
  <c r="AM28" i="7"/>
  <c r="AN28" i="7"/>
  <c r="AO28" i="7"/>
  <c r="AP28" i="7"/>
  <c r="AQ28" i="7"/>
  <c r="AR28" i="7"/>
  <c r="AS28" i="7"/>
  <c r="AT28" i="7"/>
  <c r="AU28" i="7"/>
  <c r="AV28" i="7"/>
  <c r="AW28" i="7"/>
  <c r="AX28" i="7"/>
  <c r="AY28" i="7"/>
  <c r="AZ28" i="7"/>
  <c r="BA28" i="7"/>
  <c r="BB28" i="7"/>
  <c r="BC28" i="7"/>
  <c r="BD28" i="7"/>
  <c r="BE28" i="7"/>
  <c r="BF28" i="7"/>
  <c r="BG28" i="7"/>
  <c r="BH28" i="7"/>
  <c r="C29" i="7"/>
  <c r="AC29" i="7" s="1"/>
  <c r="D29" i="7"/>
  <c r="E29" i="7"/>
  <c r="F29" i="7"/>
  <c r="G29" i="7"/>
  <c r="H29" i="7"/>
  <c r="I29" i="7"/>
  <c r="J29" i="7"/>
  <c r="K29" i="7"/>
  <c r="L29" i="7"/>
  <c r="M29" i="7"/>
  <c r="N29" i="7"/>
  <c r="O29" i="7"/>
  <c r="P29" i="7"/>
  <c r="Q29" i="7"/>
  <c r="R29" i="7"/>
  <c r="S29" i="7"/>
  <c r="T29" i="7"/>
  <c r="U29" i="7"/>
  <c r="V29" i="7"/>
  <c r="W29" i="7"/>
  <c r="X29" i="7"/>
  <c r="Y29" i="7"/>
  <c r="Z29" i="7"/>
  <c r="AA29" i="7"/>
  <c r="AB29" i="7"/>
  <c r="AD29" i="7"/>
  <c r="AE29" i="7"/>
  <c r="AF29" i="7"/>
  <c r="AG29" i="7"/>
  <c r="AH29" i="7"/>
  <c r="AI29" i="7"/>
  <c r="AJ29" i="7"/>
  <c r="AK29" i="7"/>
  <c r="AL29" i="7"/>
  <c r="AM29" i="7"/>
  <c r="AN29" i="7"/>
  <c r="AO29" i="7"/>
  <c r="AP29" i="7"/>
  <c r="AQ29" i="7"/>
  <c r="AR29" i="7"/>
  <c r="AS29" i="7"/>
  <c r="AT29" i="7"/>
  <c r="AU29" i="7"/>
  <c r="AV29" i="7"/>
  <c r="AW29" i="7"/>
  <c r="AX29" i="7"/>
  <c r="AY29" i="7"/>
  <c r="AZ29" i="7"/>
  <c r="BA29" i="7"/>
  <c r="BB29" i="7"/>
  <c r="BC29" i="7"/>
  <c r="BD29" i="7"/>
  <c r="BE29" i="7"/>
  <c r="BF29" i="7"/>
  <c r="BG29" i="7"/>
  <c r="BH29" i="7"/>
  <c r="C30" i="7"/>
  <c r="D30" i="7"/>
  <c r="AD30" i="7" s="1"/>
  <c r="E30" i="7"/>
  <c r="F30" i="7"/>
  <c r="G30" i="7"/>
  <c r="H30" i="7"/>
  <c r="I30" i="7"/>
  <c r="J30" i="7"/>
  <c r="K30" i="7"/>
  <c r="L30" i="7"/>
  <c r="M30" i="7"/>
  <c r="N30" i="7"/>
  <c r="O30" i="7"/>
  <c r="P30" i="7"/>
  <c r="Q30" i="7"/>
  <c r="R30" i="7"/>
  <c r="S30" i="7"/>
  <c r="T30" i="7"/>
  <c r="U30" i="7"/>
  <c r="V30" i="7"/>
  <c r="W30" i="7"/>
  <c r="X30" i="7"/>
  <c r="Y30" i="7"/>
  <c r="Z30" i="7"/>
  <c r="AA30" i="7"/>
  <c r="AB30" i="7"/>
  <c r="AC30" i="7"/>
  <c r="AE30" i="7"/>
  <c r="AF30" i="7"/>
  <c r="AG30" i="7"/>
  <c r="AH30" i="7"/>
  <c r="AI30" i="7"/>
  <c r="AJ30" i="7"/>
  <c r="AK30" i="7"/>
  <c r="AL30" i="7"/>
  <c r="AM30" i="7"/>
  <c r="AN30" i="7"/>
  <c r="AO30" i="7"/>
  <c r="AP30" i="7"/>
  <c r="AQ30" i="7"/>
  <c r="AR30" i="7"/>
  <c r="AS30" i="7"/>
  <c r="AT30" i="7"/>
  <c r="AU30" i="7"/>
  <c r="AV30" i="7"/>
  <c r="AW30" i="7"/>
  <c r="AX30" i="7"/>
  <c r="AY30" i="7"/>
  <c r="AZ30" i="7"/>
  <c r="BA30" i="7"/>
  <c r="BB30" i="7"/>
  <c r="BC30" i="7"/>
  <c r="BD30" i="7"/>
  <c r="BE30" i="7"/>
  <c r="BF30" i="7"/>
  <c r="BG30" i="7"/>
  <c r="BH30" i="7"/>
  <c r="C31" i="7"/>
  <c r="D31" i="7"/>
  <c r="E31" i="7"/>
  <c r="F31" i="7"/>
  <c r="G31" i="7"/>
  <c r="H31" i="7"/>
  <c r="I31" i="7"/>
  <c r="J31" i="7"/>
  <c r="K31" i="7"/>
  <c r="L31" i="7"/>
  <c r="M31" i="7"/>
  <c r="N31" i="7"/>
  <c r="O31" i="7"/>
  <c r="P31" i="7"/>
  <c r="Q31" i="7"/>
  <c r="R31" i="7"/>
  <c r="S31" i="7"/>
  <c r="T31" i="7"/>
  <c r="U31" i="7"/>
  <c r="V31" i="7"/>
  <c r="W31" i="7"/>
  <c r="X31" i="7"/>
  <c r="Y31" i="7"/>
  <c r="Z31" i="7"/>
  <c r="AA31" i="7"/>
  <c r="AB31" i="7"/>
  <c r="AC31" i="7"/>
  <c r="AD31" i="7"/>
  <c r="AE31" i="7"/>
  <c r="AF31" i="7"/>
  <c r="AG31" i="7"/>
  <c r="AH31" i="7"/>
  <c r="AI31" i="7"/>
  <c r="AJ31" i="7"/>
  <c r="AK31" i="7"/>
  <c r="AL31" i="7"/>
  <c r="AM31" i="7"/>
  <c r="AN31" i="7"/>
  <c r="AO31" i="7"/>
  <c r="AP31" i="7"/>
  <c r="AQ31" i="7"/>
  <c r="AR31" i="7"/>
  <c r="AS31" i="7"/>
  <c r="AT31" i="7"/>
  <c r="AU31" i="7"/>
  <c r="AV31" i="7"/>
  <c r="AW31" i="7"/>
  <c r="AX31" i="7"/>
  <c r="AY31" i="7"/>
  <c r="AZ31" i="7"/>
  <c r="BA31" i="7"/>
  <c r="BB31" i="7"/>
  <c r="BC31" i="7"/>
  <c r="BD31" i="7"/>
  <c r="BE31" i="7"/>
  <c r="BF31" i="7"/>
  <c r="BG31" i="7"/>
  <c r="BH31" i="7"/>
  <c r="C32" i="7"/>
  <c r="D32" i="7"/>
  <c r="E32" i="7"/>
  <c r="AF32" i="7" s="1"/>
  <c r="F32" i="7"/>
  <c r="G32" i="7"/>
  <c r="H32" i="7"/>
  <c r="I32" i="7"/>
  <c r="J32" i="7"/>
  <c r="K32" i="7"/>
  <c r="L32" i="7"/>
  <c r="M32" i="7"/>
  <c r="N32" i="7"/>
  <c r="O32" i="7"/>
  <c r="P32" i="7"/>
  <c r="Q32" i="7"/>
  <c r="R32" i="7"/>
  <c r="S32" i="7"/>
  <c r="T32" i="7"/>
  <c r="U32" i="7"/>
  <c r="V32" i="7"/>
  <c r="W32" i="7"/>
  <c r="X32" i="7"/>
  <c r="Y32" i="7"/>
  <c r="Z32" i="7"/>
  <c r="AA32" i="7"/>
  <c r="AB32" i="7"/>
  <c r="AC32" i="7"/>
  <c r="AD32" i="7"/>
  <c r="AE32" i="7"/>
  <c r="AG32" i="7"/>
  <c r="AH32" i="7"/>
  <c r="AI32" i="7"/>
  <c r="AJ32" i="7"/>
  <c r="AK32" i="7"/>
  <c r="AL32" i="7"/>
  <c r="AM32" i="7"/>
  <c r="AN32" i="7"/>
  <c r="AO32" i="7"/>
  <c r="AP32" i="7"/>
  <c r="AQ32" i="7"/>
  <c r="AR32" i="7"/>
  <c r="AS32" i="7"/>
  <c r="AT32" i="7"/>
  <c r="AU32" i="7"/>
  <c r="AV32" i="7"/>
  <c r="AW32" i="7"/>
  <c r="AX32" i="7"/>
  <c r="AY32" i="7"/>
  <c r="AZ32" i="7"/>
  <c r="BA32" i="7"/>
  <c r="BB32" i="7"/>
  <c r="BC32" i="7"/>
  <c r="BD32" i="7"/>
  <c r="BE32" i="7"/>
  <c r="BF32" i="7"/>
  <c r="BG32" i="7"/>
  <c r="BH32" i="7"/>
  <c r="C33" i="7"/>
  <c r="AG33" i="7" s="1"/>
  <c r="D33" i="7"/>
  <c r="E33" i="7"/>
  <c r="F33" i="7"/>
  <c r="G33" i="7"/>
  <c r="H33" i="7"/>
  <c r="I33" i="7"/>
  <c r="J33" i="7"/>
  <c r="K33" i="7"/>
  <c r="L33" i="7"/>
  <c r="M33" i="7"/>
  <c r="N33" i="7"/>
  <c r="O33" i="7"/>
  <c r="P33" i="7"/>
  <c r="Q33" i="7"/>
  <c r="R33" i="7"/>
  <c r="S33" i="7"/>
  <c r="T33" i="7"/>
  <c r="U33" i="7"/>
  <c r="V33" i="7"/>
  <c r="W33" i="7"/>
  <c r="X33" i="7"/>
  <c r="Y33" i="7"/>
  <c r="Z33" i="7"/>
  <c r="AA33" i="7"/>
  <c r="AB33" i="7"/>
  <c r="AC33" i="7"/>
  <c r="AD33" i="7"/>
  <c r="AE33" i="7"/>
  <c r="AF33" i="7"/>
  <c r="AH33" i="7"/>
  <c r="AI33" i="7"/>
  <c r="AJ33" i="7"/>
  <c r="AK33" i="7"/>
  <c r="AL33" i="7"/>
  <c r="AM33" i="7"/>
  <c r="AN33" i="7"/>
  <c r="AO33" i="7"/>
  <c r="AP33" i="7"/>
  <c r="AQ33" i="7"/>
  <c r="AR33" i="7"/>
  <c r="AS33" i="7"/>
  <c r="AT33" i="7"/>
  <c r="AU33" i="7"/>
  <c r="AV33" i="7"/>
  <c r="AW33" i="7"/>
  <c r="AX33" i="7"/>
  <c r="AY33" i="7"/>
  <c r="AZ33" i="7"/>
  <c r="BA33" i="7"/>
  <c r="BB33" i="7"/>
  <c r="BC33" i="7"/>
  <c r="BD33" i="7"/>
  <c r="BE33" i="7"/>
  <c r="BF33" i="7"/>
  <c r="BG33" i="7"/>
  <c r="BH33" i="7"/>
  <c r="C34" i="7"/>
  <c r="D34" i="7"/>
  <c r="E34" i="7"/>
  <c r="F34" i="7"/>
  <c r="G34" i="7"/>
  <c r="H34" i="7"/>
  <c r="I34" i="7"/>
  <c r="J34" i="7"/>
  <c r="K34" i="7"/>
  <c r="L34" i="7"/>
  <c r="M34" i="7"/>
  <c r="N34" i="7"/>
  <c r="O34" i="7"/>
  <c r="P34" i="7"/>
  <c r="Q34" i="7"/>
  <c r="R34" i="7"/>
  <c r="S34" i="7"/>
  <c r="T34" i="7"/>
  <c r="U34"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BB34" i="7"/>
  <c r="BC34" i="7"/>
  <c r="BD34" i="7"/>
  <c r="BE34" i="7"/>
  <c r="BF34" i="7"/>
  <c r="BG34" i="7"/>
  <c r="BH34" i="7"/>
  <c r="C35" i="7"/>
  <c r="D35" i="7"/>
  <c r="E35" i="7"/>
  <c r="F35" i="7"/>
  <c r="AI35" i="7" s="1"/>
  <c r="G35" i="7"/>
  <c r="H35" i="7"/>
  <c r="I35" i="7"/>
  <c r="J35" i="7"/>
  <c r="K35" i="7"/>
  <c r="L35" i="7"/>
  <c r="M35" i="7"/>
  <c r="N35" i="7"/>
  <c r="O35" i="7"/>
  <c r="P35" i="7"/>
  <c r="Q35" i="7"/>
  <c r="R35" i="7"/>
  <c r="S35" i="7"/>
  <c r="T35" i="7"/>
  <c r="U35" i="7"/>
  <c r="V35" i="7"/>
  <c r="W35" i="7"/>
  <c r="X35" i="7"/>
  <c r="Y35" i="7"/>
  <c r="Z35" i="7"/>
  <c r="AA35" i="7"/>
  <c r="AB35" i="7"/>
  <c r="AC35" i="7"/>
  <c r="AD35" i="7"/>
  <c r="AE35" i="7"/>
  <c r="AF35" i="7"/>
  <c r="AG35" i="7"/>
  <c r="AH35" i="7"/>
  <c r="AJ35" i="7"/>
  <c r="AK35" i="7"/>
  <c r="AL35" i="7"/>
  <c r="AM35" i="7"/>
  <c r="AN35" i="7"/>
  <c r="AO35" i="7"/>
  <c r="AP35" i="7"/>
  <c r="AQ35" i="7"/>
  <c r="AR35" i="7"/>
  <c r="AS35" i="7"/>
  <c r="AT35" i="7"/>
  <c r="AU35" i="7"/>
  <c r="AV35" i="7"/>
  <c r="AW35" i="7"/>
  <c r="AX35" i="7"/>
  <c r="AY35" i="7"/>
  <c r="AZ35" i="7"/>
  <c r="BA35" i="7"/>
  <c r="BB35" i="7"/>
  <c r="BC35" i="7"/>
  <c r="BD35" i="7"/>
  <c r="BE35" i="7"/>
  <c r="BF35" i="7"/>
  <c r="BG35" i="7"/>
  <c r="BH35" i="7"/>
  <c r="C36" i="7"/>
  <c r="D36" i="7"/>
  <c r="E36" i="7"/>
  <c r="AJ36" i="7" s="1"/>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AG36" i="7"/>
  <c r="AH36" i="7"/>
  <c r="AI36" i="7"/>
  <c r="AK36" i="7"/>
  <c r="AL36" i="7"/>
  <c r="AM36" i="7"/>
  <c r="AN36" i="7"/>
  <c r="AO36" i="7"/>
  <c r="AP36" i="7"/>
  <c r="AQ36" i="7"/>
  <c r="AR36" i="7"/>
  <c r="AS36" i="7"/>
  <c r="AT36" i="7"/>
  <c r="AU36" i="7"/>
  <c r="AV36" i="7"/>
  <c r="AW36" i="7"/>
  <c r="AX36" i="7"/>
  <c r="AY36" i="7"/>
  <c r="AZ36" i="7"/>
  <c r="BA36" i="7"/>
  <c r="BB36" i="7"/>
  <c r="BC36" i="7"/>
  <c r="BD36" i="7"/>
  <c r="BE36" i="7"/>
  <c r="BF36" i="7"/>
  <c r="BG36" i="7"/>
  <c r="BH36" i="7"/>
  <c r="C37" i="7"/>
  <c r="AK37" i="7" s="1"/>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AG37" i="7"/>
  <c r="AH37" i="7"/>
  <c r="AI37" i="7"/>
  <c r="AJ37" i="7"/>
  <c r="AL37" i="7"/>
  <c r="AM37" i="7"/>
  <c r="AN37" i="7"/>
  <c r="AO37" i="7"/>
  <c r="AP37" i="7"/>
  <c r="AQ37" i="7"/>
  <c r="AR37" i="7"/>
  <c r="AS37" i="7"/>
  <c r="AT37" i="7"/>
  <c r="AU37" i="7"/>
  <c r="AV37" i="7"/>
  <c r="AW37" i="7"/>
  <c r="AX37" i="7"/>
  <c r="AY37" i="7"/>
  <c r="AZ37" i="7"/>
  <c r="BA37" i="7"/>
  <c r="BB37" i="7"/>
  <c r="BC37" i="7"/>
  <c r="BD37" i="7"/>
  <c r="BE37" i="7"/>
  <c r="BF37" i="7"/>
  <c r="BG37" i="7"/>
  <c r="BH37" i="7"/>
  <c r="C38" i="7"/>
  <c r="D38" i="7"/>
  <c r="AL38" i="7" s="1"/>
  <c r="E38" i="7"/>
  <c r="F38" i="7"/>
  <c r="G38" i="7"/>
  <c r="H38" i="7"/>
  <c r="I38" i="7"/>
  <c r="J38" i="7"/>
  <c r="K38" i="7"/>
  <c r="L38" i="7"/>
  <c r="M38" i="7"/>
  <c r="N38" i="7"/>
  <c r="O38" i="7"/>
  <c r="P38" i="7"/>
  <c r="Q38" i="7"/>
  <c r="R38" i="7"/>
  <c r="S38" i="7"/>
  <c r="T38" i="7"/>
  <c r="U38" i="7"/>
  <c r="V38" i="7"/>
  <c r="W38" i="7"/>
  <c r="X38" i="7"/>
  <c r="Y38" i="7"/>
  <c r="Z38" i="7"/>
  <c r="AA38" i="7"/>
  <c r="AB38" i="7"/>
  <c r="AC38" i="7"/>
  <c r="AD38" i="7"/>
  <c r="AE38" i="7"/>
  <c r="AF38" i="7"/>
  <c r="AG38" i="7"/>
  <c r="AH38" i="7"/>
  <c r="AI38" i="7"/>
  <c r="AJ38" i="7"/>
  <c r="AK38" i="7"/>
  <c r="AM38" i="7"/>
  <c r="AN38" i="7"/>
  <c r="AO38" i="7"/>
  <c r="AP38" i="7"/>
  <c r="AQ38" i="7"/>
  <c r="AR38" i="7"/>
  <c r="AS38" i="7"/>
  <c r="AT38" i="7"/>
  <c r="AU38" i="7"/>
  <c r="AV38" i="7"/>
  <c r="AW38" i="7"/>
  <c r="AX38" i="7"/>
  <c r="AY38" i="7"/>
  <c r="AZ38" i="7"/>
  <c r="BA38" i="7"/>
  <c r="BB38" i="7"/>
  <c r="BC38" i="7"/>
  <c r="BD38" i="7"/>
  <c r="BE38" i="7"/>
  <c r="BF38" i="7"/>
  <c r="BG38" i="7"/>
  <c r="BH38" i="7"/>
  <c r="C39" i="7"/>
  <c r="D39" i="7"/>
  <c r="E39" i="7"/>
  <c r="F39" i="7"/>
  <c r="G39" i="7"/>
  <c r="H39" i="7"/>
  <c r="I39" i="7"/>
  <c r="J39" i="7"/>
  <c r="K39" i="7"/>
  <c r="L39" i="7"/>
  <c r="M39" i="7"/>
  <c r="N39" i="7"/>
  <c r="O39" i="7"/>
  <c r="P39" i="7"/>
  <c r="Q39" i="7"/>
  <c r="R39" i="7"/>
  <c r="S39" i="7"/>
  <c r="T39" i="7"/>
  <c r="U39" i="7"/>
  <c r="V39" i="7"/>
  <c r="W39" i="7"/>
  <c r="X39" i="7"/>
  <c r="Y39" i="7"/>
  <c r="Z39" i="7"/>
  <c r="AA39" i="7"/>
  <c r="AB39" i="7"/>
  <c r="AC39" i="7"/>
  <c r="AD39" i="7"/>
  <c r="AE39" i="7"/>
  <c r="AF39" i="7"/>
  <c r="AG39" i="7"/>
  <c r="AH39" i="7"/>
  <c r="AI39" i="7"/>
  <c r="AJ39" i="7"/>
  <c r="AK39" i="7"/>
  <c r="AL39" i="7"/>
  <c r="AM39" i="7"/>
  <c r="AN39" i="7"/>
  <c r="AO39" i="7"/>
  <c r="AP39" i="7"/>
  <c r="AQ39" i="7"/>
  <c r="AR39" i="7"/>
  <c r="AS39" i="7"/>
  <c r="AT39" i="7"/>
  <c r="AU39" i="7"/>
  <c r="AV39" i="7"/>
  <c r="AW39" i="7"/>
  <c r="AX39" i="7"/>
  <c r="AY39" i="7"/>
  <c r="AZ39" i="7"/>
  <c r="BA39" i="7"/>
  <c r="BB39" i="7"/>
  <c r="BC39" i="7"/>
  <c r="BD39" i="7"/>
  <c r="BE39" i="7"/>
  <c r="BF39" i="7"/>
  <c r="BG39" i="7"/>
  <c r="BH39" i="7"/>
  <c r="C40" i="7"/>
  <c r="D40" i="7"/>
  <c r="E40" i="7"/>
  <c r="AN40" i="7" s="1"/>
  <c r="F40" i="7"/>
  <c r="G40" i="7"/>
  <c r="H40" i="7"/>
  <c r="I40" i="7"/>
  <c r="J40" i="7"/>
  <c r="K40" i="7"/>
  <c r="L40" i="7"/>
  <c r="M40" i="7"/>
  <c r="N40" i="7"/>
  <c r="O40" i="7"/>
  <c r="P40" i="7"/>
  <c r="Q40" i="7"/>
  <c r="R40" i="7"/>
  <c r="S40" i="7"/>
  <c r="T40" i="7"/>
  <c r="U40" i="7"/>
  <c r="V40" i="7"/>
  <c r="W40" i="7"/>
  <c r="X40" i="7"/>
  <c r="Y40" i="7"/>
  <c r="Z40" i="7"/>
  <c r="AA40" i="7"/>
  <c r="AB40" i="7"/>
  <c r="AC40" i="7"/>
  <c r="AD40" i="7"/>
  <c r="AE40" i="7"/>
  <c r="AF40" i="7"/>
  <c r="AG40" i="7"/>
  <c r="AH40" i="7"/>
  <c r="AI40" i="7"/>
  <c r="AJ40" i="7"/>
  <c r="AK40" i="7"/>
  <c r="AL40" i="7"/>
  <c r="AM40" i="7"/>
  <c r="AO40" i="7"/>
  <c r="AP40" i="7"/>
  <c r="AQ40" i="7"/>
  <c r="AR40" i="7"/>
  <c r="AS40" i="7"/>
  <c r="AT40" i="7"/>
  <c r="AU40" i="7"/>
  <c r="AV40" i="7"/>
  <c r="AW40" i="7"/>
  <c r="AX40" i="7"/>
  <c r="AY40" i="7"/>
  <c r="AZ40" i="7"/>
  <c r="BA40" i="7"/>
  <c r="BB40" i="7"/>
  <c r="BC40" i="7"/>
  <c r="BD40" i="7"/>
  <c r="BE40" i="7"/>
  <c r="BF40" i="7"/>
  <c r="BG40" i="7"/>
  <c r="BH40" i="7"/>
  <c r="C41" i="7"/>
  <c r="AO41" i="7" s="1"/>
  <c r="D41" i="7"/>
  <c r="E41" i="7"/>
  <c r="F41" i="7"/>
  <c r="G41" i="7"/>
  <c r="H41" i="7"/>
  <c r="I41" i="7"/>
  <c r="J41" i="7"/>
  <c r="K41" i="7"/>
  <c r="L41" i="7"/>
  <c r="M41" i="7"/>
  <c r="N41" i="7"/>
  <c r="O41" i="7"/>
  <c r="P41" i="7"/>
  <c r="Q41" i="7"/>
  <c r="R41" i="7"/>
  <c r="S41" i="7"/>
  <c r="T41" i="7"/>
  <c r="U41" i="7"/>
  <c r="V41" i="7"/>
  <c r="W41" i="7"/>
  <c r="X41" i="7"/>
  <c r="Y41" i="7"/>
  <c r="Z41" i="7"/>
  <c r="AA41" i="7"/>
  <c r="AB41" i="7"/>
  <c r="AC41" i="7"/>
  <c r="AD41" i="7"/>
  <c r="AE41" i="7"/>
  <c r="AF41" i="7"/>
  <c r="AG41" i="7"/>
  <c r="AH41" i="7"/>
  <c r="AI41" i="7"/>
  <c r="AJ41" i="7"/>
  <c r="AK41" i="7"/>
  <c r="AL41" i="7"/>
  <c r="AM41" i="7"/>
  <c r="AN41" i="7"/>
  <c r="AP41" i="7"/>
  <c r="AQ41" i="7"/>
  <c r="AR41" i="7"/>
  <c r="AS41" i="7"/>
  <c r="AT41" i="7"/>
  <c r="AU41" i="7"/>
  <c r="AV41" i="7"/>
  <c r="AW41" i="7"/>
  <c r="AX41" i="7"/>
  <c r="AY41" i="7"/>
  <c r="AZ41" i="7"/>
  <c r="BA41" i="7"/>
  <c r="BB41" i="7"/>
  <c r="BC41" i="7"/>
  <c r="BD41" i="7"/>
  <c r="BE41" i="7"/>
  <c r="BF41" i="7"/>
  <c r="BG41" i="7"/>
  <c r="BH41" i="7"/>
  <c r="C42" i="7"/>
  <c r="D42" i="7"/>
  <c r="E42" i="7"/>
  <c r="F42" i="7"/>
  <c r="G42" i="7"/>
  <c r="H42" i="7"/>
  <c r="I42" i="7"/>
  <c r="J42" i="7"/>
  <c r="K42" i="7"/>
  <c r="L42" i="7"/>
  <c r="M42" i="7"/>
  <c r="N42"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C43" i="7"/>
  <c r="D43" i="7"/>
  <c r="E43" i="7"/>
  <c r="F43" i="7"/>
  <c r="AQ43" i="7" s="1"/>
  <c r="G43" i="7"/>
  <c r="H43" i="7"/>
  <c r="I43" i="7"/>
  <c r="J43" i="7"/>
  <c r="K43" i="7"/>
  <c r="L43" i="7"/>
  <c r="M43" i="7"/>
  <c r="N43"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O43" i="7"/>
  <c r="AP43" i="7"/>
  <c r="AR43" i="7"/>
  <c r="AS43" i="7"/>
  <c r="AT43" i="7"/>
  <c r="AU43" i="7"/>
  <c r="AV43" i="7"/>
  <c r="AW43" i="7"/>
  <c r="AX43" i="7"/>
  <c r="AY43" i="7"/>
  <c r="AZ43" i="7"/>
  <c r="BA43" i="7"/>
  <c r="BB43" i="7"/>
  <c r="BC43" i="7"/>
  <c r="BD43" i="7"/>
  <c r="BE43" i="7"/>
  <c r="BF43" i="7"/>
  <c r="BG43" i="7"/>
  <c r="BH43" i="7"/>
  <c r="C44" i="7"/>
  <c r="D44" i="7"/>
  <c r="E44" i="7"/>
  <c r="AR44" i="7" s="1"/>
  <c r="F44" i="7"/>
  <c r="G44" i="7"/>
  <c r="H44" i="7"/>
  <c r="I44" i="7"/>
  <c r="J44" i="7"/>
  <c r="K44" i="7"/>
  <c r="L44" i="7"/>
  <c r="M44" i="7"/>
  <c r="N44"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O44" i="7"/>
  <c r="AP44" i="7"/>
  <c r="AQ44" i="7"/>
  <c r="AS44" i="7"/>
  <c r="AT44" i="7"/>
  <c r="AU44" i="7"/>
  <c r="AV44" i="7"/>
  <c r="AW44" i="7"/>
  <c r="AX44" i="7"/>
  <c r="AY44" i="7"/>
  <c r="AZ44" i="7"/>
  <c r="BA44" i="7"/>
  <c r="BB44" i="7"/>
  <c r="BC44" i="7"/>
  <c r="BD44" i="7"/>
  <c r="BE44" i="7"/>
  <c r="BF44" i="7"/>
  <c r="BG44" i="7"/>
  <c r="BH44" i="7"/>
  <c r="C45" i="7"/>
  <c r="AS45" i="7" s="1"/>
  <c r="D45" i="7"/>
  <c r="E45" i="7"/>
  <c r="F45" i="7"/>
  <c r="G45" i="7"/>
  <c r="H45" i="7"/>
  <c r="I45" i="7"/>
  <c r="J45" i="7"/>
  <c r="K45" i="7"/>
  <c r="L45" i="7"/>
  <c r="M45" i="7"/>
  <c r="N45"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O45" i="7"/>
  <c r="AP45" i="7"/>
  <c r="AQ45" i="7"/>
  <c r="AR45" i="7"/>
  <c r="AT45" i="7"/>
  <c r="AU45" i="7"/>
  <c r="AV45" i="7"/>
  <c r="AW45" i="7"/>
  <c r="AX45" i="7"/>
  <c r="AY45" i="7"/>
  <c r="AZ45" i="7"/>
  <c r="BA45" i="7"/>
  <c r="BB45" i="7"/>
  <c r="BC45" i="7"/>
  <c r="BD45" i="7"/>
  <c r="BE45" i="7"/>
  <c r="BF45" i="7"/>
  <c r="BG45" i="7"/>
  <c r="BH45" i="7"/>
  <c r="C46" i="7"/>
  <c r="D46" i="7"/>
  <c r="AT46" i="7" s="1"/>
  <c r="E46" i="7"/>
  <c r="F46" i="7"/>
  <c r="G46" i="7"/>
  <c r="H46" i="7"/>
  <c r="I46" i="7"/>
  <c r="J46" i="7"/>
  <c r="K46" i="7"/>
  <c r="L46" i="7"/>
  <c r="M46" i="7"/>
  <c r="N46"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O46" i="7"/>
  <c r="AP46" i="7"/>
  <c r="AQ46" i="7"/>
  <c r="AR46" i="7"/>
  <c r="AS46" i="7"/>
  <c r="AU46" i="7"/>
  <c r="AV46" i="7"/>
  <c r="AW46" i="7"/>
  <c r="AX46" i="7"/>
  <c r="AY46" i="7"/>
  <c r="AZ46" i="7"/>
  <c r="BA46" i="7"/>
  <c r="BB46" i="7"/>
  <c r="BC46" i="7"/>
  <c r="BD46" i="7"/>
  <c r="BE46" i="7"/>
  <c r="BF46" i="7"/>
  <c r="BG46" i="7"/>
  <c r="BH46" i="7"/>
  <c r="C47" i="7"/>
  <c r="D47" i="7"/>
  <c r="E47" i="7"/>
  <c r="F47" i="7"/>
  <c r="G47" i="7"/>
  <c r="H47" i="7"/>
  <c r="I47" i="7"/>
  <c r="J47" i="7"/>
  <c r="K47" i="7"/>
  <c r="L47" i="7"/>
  <c r="M47" i="7"/>
  <c r="N47"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O47" i="7"/>
  <c r="AP47" i="7"/>
  <c r="AQ47" i="7"/>
  <c r="AR47" i="7"/>
  <c r="AS47" i="7"/>
  <c r="AT47" i="7"/>
  <c r="AU47" i="7"/>
  <c r="AV47" i="7"/>
  <c r="AW47" i="7"/>
  <c r="AX47" i="7"/>
  <c r="AY47" i="7"/>
  <c r="AZ47" i="7"/>
  <c r="BA47" i="7"/>
  <c r="BB47" i="7"/>
  <c r="BC47" i="7"/>
  <c r="BD47" i="7"/>
  <c r="BE47" i="7"/>
  <c r="BF47" i="7"/>
  <c r="BG47" i="7"/>
  <c r="BH47" i="7"/>
  <c r="C48" i="7"/>
  <c r="D48" i="7"/>
  <c r="E48" i="7"/>
  <c r="AV48" i="7" s="1"/>
  <c r="F48" i="7"/>
  <c r="G48" i="7"/>
  <c r="H48" i="7"/>
  <c r="I48" i="7"/>
  <c r="J48" i="7"/>
  <c r="K48" i="7"/>
  <c r="L48" i="7"/>
  <c r="M48" i="7"/>
  <c r="N48"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O48" i="7"/>
  <c r="AP48" i="7"/>
  <c r="AQ48" i="7"/>
  <c r="AR48" i="7"/>
  <c r="AS48" i="7"/>
  <c r="AT48" i="7"/>
  <c r="AU48" i="7"/>
  <c r="AW48" i="7"/>
  <c r="AX48" i="7"/>
  <c r="AY48" i="7"/>
  <c r="AZ48" i="7"/>
  <c r="BA48" i="7"/>
  <c r="BB48" i="7"/>
  <c r="BC48" i="7"/>
  <c r="BD48" i="7"/>
  <c r="BE48" i="7"/>
  <c r="BF48" i="7"/>
  <c r="BG48" i="7"/>
  <c r="BH48" i="7"/>
  <c r="C49" i="7"/>
  <c r="AW49" i="7" s="1"/>
  <c r="D49" i="7"/>
  <c r="E49" i="7"/>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X49" i="7"/>
  <c r="AY49" i="7"/>
  <c r="AZ49" i="7"/>
  <c r="BA49" i="7"/>
  <c r="BB49" i="7"/>
  <c r="BC49" i="7"/>
  <c r="BD49" i="7"/>
  <c r="BE49" i="7"/>
  <c r="BF49" i="7"/>
  <c r="BG49" i="7"/>
  <c r="BH49" i="7"/>
  <c r="C50" i="7"/>
  <c r="D50" i="7"/>
  <c r="E50" i="7"/>
  <c r="F50" i="7"/>
  <c r="G50" i="7"/>
  <c r="H50" i="7"/>
  <c r="I50" i="7"/>
  <c r="J50" i="7"/>
  <c r="K50" i="7"/>
  <c r="L50" i="7"/>
  <c r="M50" i="7"/>
  <c r="N50"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O50" i="7"/>
  <c r="AP50" i="7"/>
  <c r="AQ50" i="7"/>
  <c r="AR50" i="7"/>
  <c r="AS50" i="7"/>
  <c r="AT50" i="7"/>
  <c r="AU50" i="7"/>
  <c r="AV50" i="7"/>
  <c r="AW50" i="7"/>
  <c r="AX50" i="7"/>
  <c r="AY50" i="7"/>
  <c r="AZ50" i="7"/>
  <c r="BA50" i="7"/>
  <c r="BB50" i="7"/>
  <c r="BC50" i="7"/>
  <c r="BD50" i="7"/>
  <c r="BE50" i="7"/>
  <c r="BF50" i="7"/>
  <c r="BG50" i="7"/>
  <c r="BH50" i="7"/>
  <c r="C51" i="7"/>
  <c r="D51" i="7"/>
  <c r="E51" i="7"/>
  <c r="F51" i="7"/>
  <c r="AY51" i="7" s="1"/>
  <c r="G51" i="7"/>
  <c r="H51" i="7"/>
  <c r="I51" i="7"/>
  <c r="J51" i="7"/>
  <c r="K51" i="7"/>
  <c r="L51" i="7"/>
  <c r="M51" i="7"/>
  <c r="N51"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O51" i="7"/>
  <c r="AP51" i="7"/>
  <c r="AQ51" i="7"/>
  <c r="AR51" i="7"/>
  <c r="AS51" i="7"/>
  <c r="AT51" i="7"/>
  <c r="AU51" i="7"/>
  <c r="AV51" i="7"/>
  <c r="AW51" i="7"/>
  <c r="AX51" i="7"/>
  <c r="AZ51" i="7"/>
  <c r="BA51" i="7"/>
  <c r="BB51" i="7"/>
  <c r="BC51" i="7"/>
  <c r="BD51" i="7"/>
  <c r="BE51" i="7"/>
  <c r="BF51" i="7"/>
  <c r="BG51" i="7"/>
  <c r="BH51" i="7"/>
  <c r="C52" i="7"/>
  <c r="D52" i="7"/>
  <c r="E52" i="7"/>
  <c r="AZ52" i="7" s="1"/>
  <c r="F52" i="7"/>
  <c r="G52" i="7"/>
  <c r="H52" i="7"/>
  <c r="I52" i="7"/>
  <c r="J52" i="7"/>
  <c r="K52" i="7"/>
  <c r="L52" i="7"/>
  <c r="M52" i="7"/>
  <c r="N52"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O52" i="7"/>
  <c r="AP52" i="7"/>
  <c r="AQ52" i="7"/>
  <c r="AR52" i="7"/>
  <c r="AS52" i="7"/>
  <c r="AT52" i="7"/>
  <c r="AU52" i="7"/>
  <c r="AV52" i="7"/>
  <c r="AW52" i="7"/>
  <c r="AX52" i="7"/>
  <c r="AY52" i="7"/>
  <c r="BA52" i="7"/>
  <c r="BB52" i="7"/>
  <c r="BC52" i="7"/>
  <c r="BD52" i="7"/>
  <c r="BE52" i="7"/>
  <c r="BF52" i="7"/>
  <c r="BG52" i="7"/>
  <c r="BH52" i="7"/>
  <c r="C53" i="7"/>
  <c r="BA53" i="7" s="1"/>
  <c r="D53" i="7"/>
  <c r="E53" i="7"/>
  <c r="F53" i="7"/>
  <c r="G53" i="7"/>
  <c r="H53" i="7"/>
  <c r="I53" i="7"/>
  <c r="J53" i="7"/>
  <c r="K53" i="7"/>
  <c r="L53" i="7"/>
  <c r="M53" i="7"/>
  <c r="N53"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O53" i="7"/>
  <c r="AP53" i="7"/>
  <c r="AQ53" i="7"/>
  <c r="AR53" i="7"/>
  <c r="AS53" i="7"/>
  <c r="AT53" i="7"/>
  <c r="AU53" i="7"/>
  <c r="AV53" i="7"/>
  <c r="AW53" i="7"/>
  <c r="AX53" i="7"/>
  <c r="AY53" i="7"/>
  <c r="AZ53" i="7"/>
  <c r="BB53" i="7"/>
  <c r="BC53" i="7"/>
  <c r="BD53" i="7"/>
  <c r="BE53" i="7"/>
  <c r="BF53" i="7"/>
  <c r="BG53" i="7"/>
  <c r="BH53" i="7"/>
  <c r="C54" i="7"/>
  <c r="D54" i="7"/>
  <c r="BB54" i="7" s="1"/>
  <c r="E54" i="7"/>
  <c r="F54" i="7"/>
  <c r="G54" i="7"/>
  <c r="H54" i="7"/>
  <c r="I54" i="7"/>
  <c r="J54" i="7"/>
  <c r="K54" i="7"/>
  <c r="L54" i="7"/>
  <c r="M54" i="7"/>
  <c r="N54"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O54" i="7"/>
  <c r="AP54" i="7"/>
  <c r="AQ54" i="7"/>
  <c r="AR54" i="7"/>
  <c r="AS54" i="7"/>
  <c r="AT54" i="7"/>
  <c r="AU54" i="7"/>
  <c r="AV54" i="7"/>
  <c r="AW54" i="7"/>
  <c r="AX54" i="7"/>
  <c r="AY54" i="7"/>
  <c r="AZ54" i="7"/>
  <c r="BA54" i="7"/>
  <c r="BC54" i="7"/>
  <c r="BD54" i="7"/>
  <c r="BE54" i="7"/>
  <c r="BF54" i="7"/>
  <c r="BG54" i="7"/>
  <c r="BH54" i="7"/>
  <c r="C55" i="7"/>
  <c r="D55" i="7"/>
  <c r="E55" i="7"/>
  <c r="F55" i="7"/>
  <c r="G55" i="7"/>
  <c r="H55" i="7"/>
  <c r="I55" i="7"/>
  <c r="J55" i="7"/>
  <c r="K55" i="7"/>
  <c r="L55" i="7"/>
  <c r="M55" i="7"/>
  <c r="N55"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O55" i="7"/>
  <c r="AP55" i="7"/>
  <c r="AQ55" i="7"/>
  <c r="AR55" i="7"/>
  <c r="AS55" i="7"/>
  <c r="AT55" i="7"/>
  <c r="AU55" i="7"/>
  <c r="AV55" i="7"/>
  <c r="AW55" i="7"/>
  <c r="AX55" i="7"/>
  <c r="AY55" i="7"/>
  <c r="AZ55" i="7"/>
  <c r="BA55" i="7"/>
  <c r="BB55" i="7"/>
  <c r="BC55" i="7"/>
  <c r="BD55" i="7"/>
  <c r="BE55" i="7"/>
  <c r="BF55" i="7"/>
  <c r="BG55" i="7"/>
  <c r="BH55" i="7"/>
  <c r="C56" i="7"/>
  <c r="D56" i="7"/>
  <c r="E56" i="7"/>
  <c r="BD56" i="7" s="1"/>
  <c r="F56" i="7"/>
  <c r="G56" i="7"/>
  <c r="H56" i="7"/>
  <c r="I56" i="7"/>
  <c r="J56" i="7"/>
  <c r="K56" i="7"/>
  <c r="L56" i="7"/>
  <c r="M56" i="7"/>
  <c r="N56"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O56" i="7"/>
  <c r="AP56" i="7"/>
  <c r="AQ56" i="7"/>
  <c r="AR56" i="7"/>
  <c r="AS56" i="7"/>
  <c r="AT56" i="7"/>
  <c r="AU56" i="7"/>
  <c r="AV56" i="7"/>
  <c r="AW56" i="7"/>
  <c r="AX56" i="7"/>
  <c r="AY56" i="7"/>
  <c r="AZ56" i="7"/>
  <c r="BA56" i="7"/>
  <c r="BB56" i="7"/>
  <c r="BC56" i="7"/>
  <c r="BE56" i="7"/>
  <c r="BF56" i="7"/>
  <c r="BG56" i="7"/>
  <c r="BH56" i="7"/>
  <c r="C57" i="7"/>
  <c r="BE57" i="7" s="1"/>
  <c r="D57" i="7"/>
  <c r="E57" i="7"/>
  <c r="F57" i="7"/>
  <c r="G57" i="7"/>
  <c r="H57" i="7"/>
  <c r="I57" i="7"/>
  <c r="J57" i="7"/>
  <c r="K57" i="7"/>
  <c r="L57" i="7"/>
  <c r="M57" i="7"/>
  <c r="N57"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O57" i="7"/>
  <c r="AP57" i="7"/>
  <c r="AQ57" i="7"/>
  <c r="AR57" i="7"/>
  <c r="AS57" i="7"/>
  <c r="AT57" i="7"/>
  <c r="AU57" i="7"/>
  <c r="AV57" i="7"/>
  <c r="AW57" i="7"/>
  <c r="AX57" i="7"/>
  <c r="AY57" i="7"/>
  <c r="AZ57" i="7"/>
  <c r="BA57" i="7"/>
  <c r="BB57" i="7"/>
  <c r="BC57" i="7"/>
  <c r="BD57" i="7"/>
  <c r="BF57" i="7"/>
  <c r="BG57" i="7"/>
  <c r="BH57" i="7"/>
  <c r="C58" i="7"/>
  <c r="D58" i="7"/>
  <c r="E58" i="7"/>
  <c r="F58" i="7"/>
  <c r="G58" i="7"/>
  <c r="H58" i="7"/>
  <c r="I58" i="7"/>
  <c r="J58" i="7"/>
  <c r="K58" i="7"/>
  <c r="L58" i="7"/>
  <c r="M58" i="7"/>
  <c r="N58"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O58" i="7"/>
  <c r="AP58" i="7"/>
  <c r="AQ58" i="7"/>
  <c r="AR58" i="7"/>
  <c r="AS58" i="7"/>
  <c r="AT58" i="7"/>
  <c r="AU58" i="7"/>
  <c r="AV58" i="7"/>
  <c r="AW58" i="7"/>
  <c r="AX58" i="7"/>
  <c r="AY58" i="7"/>
  <c r="AZ58" i="7"/>
  <c r="BA58" i="7"/>
  <c r="BB58" i="7"/>
  <c r="BC58" i="7"/>
  <c r="BD58" i="7"/>
  <c r="BE58" i="7"/>
  <c r="BF58" i="7"/>
  <c r="BG58" i="7"/>
  <c r="BH58" i="7"/>
  <c r="C59" i="7"/>
  <c r="D59" i="7"/>
  <c r="E59" i="7"/>
  <c r="F59" i="7"/>
  <c r="BG59" i="7" s="1"/>
  <c r="G59" i="7"/>
  <c r="H59" i="7"/>
  <c r="I59" i="7"/>
  <c r="J59" i="7"/>
  <c r="K59" i="7"/>
  <c r="L59" i="7"/>
  <c r="M59" i="7"/>
  <c r="N59"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O59" i="7"/>
  <c r="AP59" i="7"/>
  <c r="AQ59" i="7"/>
  <c r="AR59" i="7"/>
  <c r="AS59" i="7"/>
  <c r="AT59" i="7"/>
  <c r="AU59" i="7"/>
  <c r="AV59" i="7"/>
  <c r="AW59" i="7"/>
  <c r="AX59" i="7"/>
  <c r="AY59" i="7"/>
  <c r="AZ59" i="7"/>
  <c r="BA59" i="7"/>
  <c r="BB59" i="7"/>
  <c r="BC59" i="7"/>
  <c r="BD59" i="7"/>
  <c r="BE59" i="7"/>
  <c r="BF59" i="7"/>
  <c r="BH59" i="7"/>
  <c r="C60" i="7"/>
  <c r="D60" i="7"/>
  <c r="E60" i="7"/>
  <c r="BH60" i="7" s="1"/>
  <c r="F60" i="7"/>
  <c r="G60" i="7"/>
  <c r="H60" i="7"/>
  <c r="I60" i="7"/>
  <c r="J60" i="7"/>
  <c r="K60"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AO60" i="7"/>
  <c r="AP60" i="7"/>
  <c r="AQ60" i="7"/>
  <c r="AR60" i="7"/>
  <c r="AS60" i="7"/>
  <c r="AT60" i="7"/>
  <c r="AU60" i="7"/>
  <c r="AV60" i="7"/>
  <c r="AW60" i="7"/>
  <c r="AX60" i="7"/>
  <c r="AY60" i="7"/>
  <c r="AZ60" i="7"/>
  <c r="BA60" i="7"/>
  <c r="BB60" i="7"/>
  <c r="BC60" i="7"/>
  <c r="BD60" i="7"/>
  <c r="BE60" i="7"/>
  <c r="BF60" i="7"/>
  <c r="BG60"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2" i="7"/>
  <c r="B1" i="7" a="1"/>
  <c r="B1" i="7" s="1"/>
  <c r="B1" i="6"/>
  <c r="D379" i="6" s="1"/>
  <c r="B386" i="6"/>
  <c r="B385" i="6"/>
  <c r="B384" i="6"/>
  <c r="B383" i="6"/>
  <c r="B382" i="6"/>
  <c r="B381" i="6"/>
  <c r="B380" i="6"/>
  <c r="B379" i="6"/>
  <c r="B378" i="6"/>
  <c r="B377" i="6"/>
  <c r="B376" i="6"/>
  <c r="B375" i="6"/>
  <c r="B374" i="6"/>
  <c r="B373" i="6"/>
  <c r="B372" i="6"/>
  <c r="B371" i="6"/>
  <c r="B370" i="6"/>
  <c r="B369" i="6"/>
  <c r="B368" i="6"/>
  <c r="B367" i="6"/>
  <c r="B366" i="6"/>
  <c r="B365" i="6"/>
  <c r="B364" i="6"/>
  <c r="B363" i="6"/>
  <c r="B362" i="6"/>
  <c r="B361" i="6"/>
  <c r="B360" i="6"/>
  <c r="B359" i="6"/>
  <c r="B358" i="6"/>
  <c r="B357" i="6"/>
  <c r="B356" i="6"/>
  <c r="B355" i="6"/>
  <c r="B354" i="6"/>
  <c r="B353" i="6"/>
  <c r="B352" i="6"/>
  <c r="B351" i="6"/>
  <c r="B350" i="6"/>
  <c r="B349" i="6"/>
  <c r="B348" i="6"/>
  <c r="B347" i="6"/>
  <c r="B346" i="6"/>
  <c r="B345" i="6"/>
  <c r="B344" i="6"/>
  <c r="B343" i="6"/>
  <c r="B342" i="6"/>
  <c r="B341" i="6"/>
  <c r="B340" i="6"/>
  <c r="B339" i="6"/>
  <c r="B338" i="6"/>
  <c r="B337" i="6"/>
  <c r="B336" i="6"/>
  <c r="B335" i="6"/>
  <c r="B334" i="6"/>
  <c r="B333" i="6"/>
  <c r="B332" i="6"/>
  <c r="B331" i="6"/>
  <c r="B330" i="6"/>
  <c r="B329" i="6"/>
  <c r="B328" i="6"/>
  <c r="B327" i="6"/>
  <c r="B326" i="6"/>
  <c r="B325" i="6"/>
  <c r="B324" i="6"/>
  <c r="B323" i="6"/>
  <c r="B322" i="6"/>
  <c r="B321" i="6"/>
  <c r="B320" i="6"/>
  <c r="B319" i="6"/>
  <c r="B318" i="6"/>
  <c r="B317" i="6"/>
  <c r="B316" i="6"/>
  <c r="B315" i="6"/>
  <c r="B314" i="6"/>
  <c r="B313" i="6"/>
  <c r="B312" i="6"/>
  <c r="B311" i="6"/>
  <c r="B310" i="6"/>
  <c r="B309" i="6"/>
  <c r="B308" i="6"/>
  <c r="B307" i="6"/>
  <c r="B306" i="6"/>
  <c r="B305" i="6"/>
  <c r="B304" i="6"/>
  <c r="B303" i="6"/>
  <c r="B302" i="6"/>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50" i="8" l="1"/>
  <c r="B18" i="8"/>
  <c r="B41" i="8"/>
  <c r="B9" i="8"/>
  <c r="B34" i="8"/>
  <c r="B33" i="8"/>
  <c r="B58" i="8"/>
  <c r="B26" i="8"/>
  <c r="B57" i="8"/>
  <c r="B25" i="8"/>
  <c r="B56" i="8"/>
  <c r="B48" i="8"/>
  <c r="B40" i="8"/>
  <c r="B32" i="8"/>
  <c r="B24" i="8"/>
  <c r="B16" i="8"/>
  <c r="B8" i="8"/>
  <c r="B55" i="8"/>
  <c r="B47" i="8"/>
  <c r="B39" i="8"/>
  <c r="B31" i="8"/>
  <c r="B23" i="8"/>
  <c r="B15" i="8"/>
  <c r="B7" i="8"/>
  <c r="B54" i="8"/>
  <c r="B46" i="8"/>
  <c r="B38" i="8"/>
  <c r="B30" i="8"/>
  <c r="B22" i="8"/>
  <c r="B14" i="8"/>
  <c r="B53" i="8"/>
  <c r="B45" i="8"/>
  <c r="B37" i="8"/>
  <c r="B29" i="8"/>
  <c r="B21" i="8"/>
  <c r="B13" i="8"/>
  <c r="B5" i="8"/>
  <c r="B60" i="8"/>
  <c r="B52" i="8"/>
  <c r="B44" i="8"/>
  <c r="B36" i="8"/>
  <c r="B28" i="8"/>
  <c r="B20" i="8"/>
  <c r="B12" i="8"/>
  <c r="B4" i="8"/>
  <c r="B59" i="8"/>
  <c r="B51" i="8"/>
  <c r="B43" i="8"/>
  <c r="B35" i="8"/>
  <c r="B27" i="8"/>
  <c r="B19" i="8"/>
  <c r="B11" i="8"/>
  <c r="B3" i="8"/>
  <c r="C3" i="8" s="1"/>
  <c r="B1" i="8"/>
  <c r="B2" i="6"/>
  <c r="B5" i="6" s="1"/>
  <c r="B3" i="6"/>
  <c r="B4" i="6" s="1"/>
  <c r="C91" i="6"/>
  <c r="C62" i="6"/>
  <c r="D41" i="6"/>
  <c r="D128" i="6"/>
  <c r="D56" i="6"/>
  <c r="C28" i="6"/>
  <c r="D152" i="6"/>
  <c r="D115" i="6"/>
  <c r="D27" i="6"/>
  <c r="C37" i="6"/>
  <c r="D80" i="6"/>
  <c r="C110" i="6"/>
  <c r="C147" i="6"/>
  <c r="D216" i="6"/>
  <c r="D45" i="6"/>
  <c r="C67" i="6"/>
  <c r="C32" i="6"/>
  <c r="D67" i="6"/>
  <c r="D104" i="6"/>
  <c r="C195" i="6"/>
  <c r="C33" i="6"/>
  <c r="D37" i="6"/>
  <c r="D42" i="6"/>
  <c r="C46" i="6"/>
  <c r="C51" i="6"/>
  <c r="C99" i="6"/>
  <c r="C123" i="6"/>
  <c r="C142" i="6"/>
  <c r="D147" i="6"/>
  <c r="D112" i="6"/>
  <c r="D136" i="6"/>
  <c r="D168" i="6"/>
  <c r="C211" i="6"/>
  <c r="D232" i="6"/>
  <c r="C275" i="6"/>
  <c r="D296" i="6"/>
  <c r="C339" i="6"/>
  <c r="D360" i="6"/>
  <c r="D29" i="6"/>
  <c r="D34" i="6"/>
  <c r="C38" i="6"/>
  <c r="D43" i="6"/>
  <c r="D64" i="6"/>
  <c r="D88" i="6"/>
  <c r="C131" i="6"/>
  <c r="C163" i="6"/>
  <c r="C323" i="6"/>
  <c r="D51" i="6"/>
  <c r="C75" i="6"/>
  <c r="D38" i="6"/>
  <c r="C44" i="6"/>
  <c r="C59" i="6"/>
  <c r="C83" i="6"/>
  <c r="C107" i="6"/>
  <c r="C126" i="6"/>
  <c r="D131" i="6"/>
  <c r="D144" i="6"/>
  <c r="D163" i="6"/>
  <c r="D184" i="6"/>
  <c r="C227" i="6"/>
  <c r="D248" i="6"/>
  <c r="C291" i="6"/>
  <c r="D312" i="6"/>
  <c r="C355" i="6"/>
  <c r="D376" i="6"/>
  <c r="C259" i="6"/>
  <c r="D46" i="6"/>
  <c r="D99" i="6"/>
  <c r="D26" i="6"/>
  <c r="C30" i="6"/>
  <c r="D35" i="6"/>
  <c r="D48" i="6"/>
  <c r="C54" i="6"/>
  <c r="D59" i="6"/>
  <c r="C78" i="6"/>
  <c r="D83" i="6"/>
  <c r="D96" i="6"/>
  <c r="D120" i="6"/>
  <c r="C158" i="6"/>
  <c r="D280" i="6"/>
  <c r="D344" i="6"/>
  <c r="C29" i="6"/>
  <c r="C94" i="6"/>
  <c r="D30" i="6"/>
  <c r="C36" i="6"/>
  <c r="C40" i="6"/>
  <c r="C45" i="6"/>
  <c r="D72" i="6"/>
  <c r="C115" i="6"/>
  <c r="C139" i="6"/>
  <c r="C179" i="6"/>
  <c r="D200" i="6"/>
  <c r="C243" i="6"/>
  <c r="D264" i="6"/>
  <c r="C307" i="6"/>
  <c r="D328" i="6"/>
  <c r="C371" i="6"/>
  <c r="C174" i="6"/>
  <c r="D179" i="6"/>
  <c r="C190" i="6"/>
  <c r="C206" i="6"/>
  <c r="D211" i="6"/>
  <c r="C222" i="6"/>
  <c r="D227" i="6"/>
  <c r="C238" i="6"/>
  <c r="D243" i="6"/>
  <c r="C254" i="6"/>
  <c r="D259" i="6"/>
  <c r="C270" i="6"/>
  <c r="D275" i="6"/>
  <c r="C286" i="6"/>
  <c r="D291" i="6"/>
  <c r="C302" i="6"/>
  <c r="D307" i="6"/>
  <c r="C318" i="6"/>
  <c r="D323" i="6"/>
  <c r="C334" i="6"/>
  <c r="D339" i="6"/>
  <c r="C350" i="6"/>
  <c r="D355" i="6"/>
  <c r="C366" i="6"/>
  <c r="D371" i="6"/>
  <c r="C382" i="6"/>
  <c r="C41" i="6"/>
  <c r="D33" i="6"/>
  <c r="D195" i="6"/>
  <c r="D28" i="6"/>
  <c r="C31" i="6"/>
  <c r="D36" i="6"/>
  <c r="C39" i="6"/>
  <c r="D44" i="6"/>
  <c r="D47" i="6"/>
  <c r="L7" i="6"/>
  <c r="C26" i="6"/>
  <c r="D31" i="6"/>
  <c r="C34" i="6"/>
  <c r="D39" i="6"/>
  <c r="C42" i="6"/>
  <c r="C155" i="6"/>
  <c r="D160" i="6"/>
  <c r="C171" i="6"/>
  <c r="D176" i="6"/>
  <c r="C187" i="6"/>
  <c r="D192" i="6"/>
  <c r="C203" i="6"/>
  <c r="D208" i="6"/>
  <c r="C219" i="6"/>
  <c r="D224" i="6"/>
  <c r="C235" i="6"/>
  <c r="D240" i="6"/>
  <c r="C251" i="6"/>
  <c r="D256" i="6"/>
  <c r="C267" i="6"/>
  <c r="D272" i="6"/>
  <c r="C283" i="6"/>
  <c r="D288" i="6"/>
  <c r="C299" i="6"/>
  <c r="D304" i="6"/>
  <c r="C315" i="6"/>
  <c r="D320" i="6"/>
  <c r="C331" i="6"/>
  <c r="D336" i="6"/>
  <c r="C347" i="6"/>
  <c r="D352" i="6"/>
  <c r="C363" i="6"/>
  <c r="D368" i="6"/>
  <c r="C379" i="6"/>
  <c r="D384" i="6"/>
  <c r="C70" i="6"/>
  <c r="D75" i="6"/>
  <c r="C86" i="6"/>
  <c r="D91" i="6"/>
  <c r="C102" i="6"/>
  <c r="D107" i="6"/>
  <c r="C118" i="6"/>
  <c r="D123" i="6"/>
  <c r="C134" i="6"/>
  <c r="D139" i="6"/>
  <c r="C150" i="6"/>
  <c r="D155" i="6"/>
  <c r="C166" i="6"/>
  <c r="D171" i="6"/>
  <c r="C182" i="6"/>
  <c r="D187" i="6"/>
  <c r="C198" i="6"/>
  <c r="D203" i="6"/>
  <c r="C214" i="6"/>
  <c r="D219" i="6"/>
  <c r="C230" i="6"/>
  <c r="D235" i="6"/>
  <c r="C246" i="6"/>
  <c r="D251" i="6"/>
  <c r="C262" i="6"/>
  <c r="D267" i="6"/>
  <c r="C278" i="6"/>
  <c r="D283" i="6"/>
  <c r="C294" i="6"/>
  <c r="D299" i="6"/>
  <c r="C310" i="6"/>
  <c r="D315" i="6"/>
  <c r="C326" i="6"/>
  <c r="D331" i="6"/>
  <c r="C342" i="6"/>
  <c r="D347" i="6"/>
  <c r="C358" i="6"/>
  <c r="D363" i="6"/>
  <c r="C374" i="6"/>
  <c r="D386" i="6"/>
  <c r="C381" i="6"/>
  <c r="D378" i="6"/>
  <c r="C373" i="6"/>
  <c r="D370" i="6"/>
  <c r="C365" i="6"/>
  <c r="D362" i="6"/>
  <c r="C357" i="6"/>
  <c r="D354" i="6"/>
  <c r="C349" i="6"/>
  <c r="D346" i="6"/>
  <c r="C341" i="6"/>
  <c r="D338" i="6"/>
  <c r="C333" i="6"/>
  <c r="D330" i="6"/>
  <c r="C325" i="6"/>
  <c r="D322" i="6"/>
  <c r="C317" i="6"/>
  <c r="D314" i="6"/>
  <c r="C309" i="6"/>
  <c r="D306" i="6"/>
  <c r="C301" i="6"/>
  <c r="D298" i="6"/>
  <c r="C293" i="6"/>
  <c r="D290" i="6"/>
  <c r="C285" i="6"/>
  <c r="D282" i="6"/>
  <c r="C277" i="6"/>
  <c r="D274" i="6"/>
  <c r="C269" i="6"/>
  <c r="D266" i="6"/>
  <c r="C261" i="6"/>
  <c r="D258" i="6"/>
  <c r="C253" i="6"/>
  <c r="D250" i="6"/>
  <c r="C245" i="6"/>
  <c r="D242" i="6"/>
  <c r="C237" i="6"/>
  <c r="D234" i="6"/>
  <c r="C229" i="6"/>
  <c r="D226" i="6"/>
  <c r="C221" i="6"/>
  <c r="D218" i="6"/>
  <c r="C213" i="6"/>
  <c r="D210" i="6"/>
  <c r="C205" i="6"/>
  <c r="D202" i="6"/>
  <c r="C197" i="6"/>
  <c r="D194" i="6"/>
  <c r="C189" i="6"/>
  <c r="D186" i="6"/>
  <c r="C181" i="6"/>
  <c r="D178" i="6"/>
  <c r="C173" i="6"/>
  <c r="D170" i="6"/>
  <c r="C165" i="6"/>
  <c r="D162" i="6"/>
  <c r="C157" i="6"/>
  <c r="D154" i="6"/>
  <c r="C149" i="6"/>
  <c r="D146" i="6"/>
  <c r="C141" i="6"/>
  <c r="D138" i="6"/>
  <c r="C133" i="6"/>
  <c r="D130" i="6"/>
  <c r="C125" i="6"/>
  <c r="D122" i="6"/>
  <c r="C117" i="6"/>
  <c r="D114" i="6"/>
  <c r="C109" i="6"/>
  <c r="D106" i="6"/>
  <c r="C101" i="6"/>
  <c r="D98" i="6"/>
  <c r="C93" i="6"/>
  <c r="D90" i="6"/>
  <c r="C85" i="6"/>
  <c r="D82" i="6"/>
  <c r="C77" i="6"/>
  <c r="D74" i="6"/>
  <c r="C69" i="6"/>
  <c r="D66" i="6"/>
  <c r="C61" i="6"/>
  <c r="D58" i="6"/>
  <c r="C53" i="6"/>
  <c r="D50" i="6"/>
  <c r="C386" i="6"/>
  <c r="D383" i="6"/>
  <c r="C378" i="6"/>
  <c r="D375" i="6"/>
  <c r="C370" i="6"/>
  <c r="D367" i="6"/>
  <c r="C362" i="6"/>
  <c r="D359" i="6"/>
  <c r="C354" i="6"/>
  <c r="D351" i="6"/>
  <c r="C346" i="6"/>
  <c r="D343" i="6"/>
  <c r="C338" i="6"/>
  <c r="D335" i="6"/>
  <c r="C330" i="6"/>
  <c r="D327" i="6"/>
  <c r="C322" i="6"/>
  <c r="D319" i="6"/>
  <c r="C314" i="6"/>
  <c r="D311" i="6"/>
  <c r="C306" i="6"/>
  <c r="D303" i="6"/>
  <c r="C298" i="6"/>
  <c r="D295" i="6"/>
  <c r="C290" i="6"/>
  <c r="D287" i="6"/>
  <c r="C282" i="6"/>
  <c r="D279" i="6"/>
  <c r="C274" i="6"/>
  <c r="D271" i="6"/>
  <c r="C266" i="6"/>
  <c r="D263" i="6"/>
  <c r="C258" i="6"/>
  <c r="D255" i="6"/>
  <c r="C250" i="6"/>
  <c r="D247" i="6"/>
  <c r="C242" i="6"/>
  <c r="D239" i="6"/>
  <c r="C234" i="6"/>
  <c r="D231" i="6"/>
  <c r="C226" i="6"/>
  <c r="D223" i="6"/>
  <c r="C218" i="6"/>
  <c r="D215" i="6"/>
  <c r="C210" i="6"/>
  <c r="D207" i="6"/>
  <c r="C202" i="6"/>
  <c r="D199" i="6"/>
  <c r="C194" i="6"/>
  <c r="D191" i="6"/>
  <c r="C186" i="6"/>
  <c r="D183" i="6"/>
  <c r="C178" i="6"/>
  <c r="D175" i="6"/>
  <c r="C170" i="6"/>
  <c r="D167" i="6"/>
  <c r="C162" i="6"/>
  <c r="D159" i="6"/>
  <c r="C154" i="6"/>
  <c r="D151" i="6"/>
  <c r="C146" i="6"/>
  <c r="D143" i="6"/>
  <c r="C138" i="6"/>
  <c r="D135" i="6"/>
  <c r="C130" i="6"/>
  <c r="D127" i="6"/>
  <c r="C122" i="6"/>
  <c r="D119" i="6"/>
  <c r="C114" i="6"/>
  <c r="D111" i="6"/>
  <c r="C106" i="6"/>
  <c r="D103" i="6"/>
  <c r="C98" i="6"/>
  <c r="D95" i="6"/>
  <c r="C90" i="6"/>
  <c r="D87" i="6"/>
  <c r="C82" i="6"/>
  <c r="D79" i="6"/>
  <c r="C74" i="6"/>
  <c r="D71" i="6"/>
  <c r="C66" i="6"/>
  <c r="D63" i="6"/>
  <c r="C58" i="6"/>
  <c r="D55" i="6"/>
  <c r="C50" i="6"/>
  <c r="C383" i="6"/>
  <c r="D380" i="6"/>
  <c r="C375" i="6"/>
  <c r="D372" i="6"/>
  <c r="C367" i="6"/>
  <c r="D364" i="6"/>
  <c r="C359" i="6"/>
  <c r="D356" i="6"/>
  <c r="C351" i="6"/>
  <c r="D348" i="6"/>
  <c r="C343" i="6"/>
  <c r="D340" i="6"/>
  <c r="C335" i="6"/>
  <c r="D332" i="6"/>
  <c r="C327" i="6"/>
  <c r="D324" i="6"/>
  <c r="C319" i="6"/>
  <c r="D316" i="6"/>
  <c r="C311" i="6"/>
  <c r="D308" i="6"/>
  <c r="C303" i="6"/>
  <c r="D300" i="6"/>
  <c r="C295" i="6"/>
  <c r="D292" i="6"/>
  <c r="C287" i="6"/>
  <c r="D284" i="6"/>
  <c r="C279" i="6"/>
  <c r="D276" i="6"/>
  <c r="C271" i="6"/>
  <c r="D268" i="6"/>
  <c r="C263" i="6"/>
  <c r="D260" i="6"/>
  <c r="C255" i="6"/>
  <c r="D252" i="6"/>
  <c r="C247" i="6"/>
  <c r="D244" i="6"/>
  <c r="C239" i="6"/>
  <c r="D236" i="6"/>
  <c r="C231" i="6"/>
  <c r="D228" i="6"/>
  <c r="C223" i="6"/>
  <c r="D220" i="6"/>
  <c r="C215" i="6"/>
  <c r="D212" i="6"/>
  <c r="C207" i="6"/>
  <c r="D204" i="6"/>
  <c r="C199" i="6"/>
  <c r="D196" i="6"/>
  <c r="C191" i="6"/>
  <c r="D188" i="6"/>
  <c r="C183" i="6"/>
  <c r="D180" i="6"/>
  <c r="C175" i="6"/>
  <c r="D172" i="6"/>
  <c r="C167" i="6"/>
  <c r="D164" i="6"/>
  <c r="C159" i="6"/>
  <c r="D156" i="6"/>
  <c r="C151" i="6"/>
  <c r="D148" i="6"/>
  <c r="C143" i="6"/>
  <c r="D140" i="6"/>
  <c r="C135" i="6"/>
  <c r="D132" i="6"/>
  <c r="C127" i="6"/>
  <c r="D124" i="6"/>
  <c r="C119" i="6"/>
  <c r="D116" i="6"/>
  <c r="C111" i="6"/>
  <c r="D108" i="6"/>
  <c r="C103" i="6"/>
  <c r="D100" i="6"/>
  <c r="C95" i="6"/>
  <c r="D92" i="6"/>
  <c r="C87" i="6"/>
  <c r="D84" i="6"/>
  <c r="C79" i="6"/>
  <c r="D76" i="6"/>
  <c r="C71" i="6"/>
  <c r="D68" i="6"/>
  <c r="C63" i="6"/>
  <c r="D60" i="6"/>
  <c r="C55" i="6"/>
  <c r="D52" i="6"/>
  <c r="C47" i="6"/>
  <c r="D385" i="6"/>
  <c r="C380" i="6"/>
  <c r="D377" i="6"/>
  <c r="C372" i="6"/>
  <c r="D369" i="6"/>
  <c r="C364" i="6"/>
  <c r="D361" i="6"/>
  <c r="C356" i="6"/>
  <c r="D353" i="6"/>
  <c r="C348" i="6"/>
  <c r="D345" i="6"/>
  <c r="C340" i="6"/>
  <c r="D337" i="6"/>
  <c r="C332" i="6"/>
  <c r="D329" i="6"/>
  <c r="C324" i="6"/>
  <c r="D321" i="6"/>
  <c r="C316" i="6"/>
  <c r="D313" i="6"/>
  <c r="C308" i="6"/>
  <c r="D305" i="6"/>
  <c r="C300" i="6"/>
  <c r="D297" i="6"/>
  <c r="C292" i="6"/>
  <c r="D289" i="6"/>
  <c r="C284" i="6"/>
  <c r="D281" i="6"/>
  <c r="C276" i="6"/>
  <c r="D273" i="6"/>
  <c r="C268" i="6"/>
  <c r="D265" i="6"/>
  <c r="C260" i="6"/>
  <c r="D257" i="6"/>
  <c r="C252" i="6"/>
  <c r="D249" i="6"/>
  <c r="C244" i="6"/>
  <c r="D241" i="6"/>
  <c r="C236" i="6"/>
  <c r="D233" i="6"/>
  <c r="C228" i="6"/>
  <c r="D225" i="6"/>
  <c r="C220" i="6"/>
  <c r="D217" i="6"/>
  <c r="C212" i="6"/>
  <c r="D209" i="6"/>
  <c r="C204" i="6"/>
  <c r="D201" i="6"/>
  <c r="C196" i="6"/>
  <c r="D193" i="6"/>
  <c r="C188" i="6"/>
  <c r="D185" i="6"/>
  <c r="C180" i="6"/>
  <c r="D177" i="6"/>
  <c r="C172" i="6"/>
  <c r="D169" i="6"/>
  <c r="C164" i="6"/>
  <c r="D161" i="6"/>
  <c r="C156" i="6"/>
  <c r="D153" i="6"/>
  <c r="C148" i="6"/>
  <c r="D145" i="6"/>
  <c r="C140" i="6"/>
  <c r="D137" i="6"/>
  <c r="C132" i="6"/>
  <c r="D129" i="6"/>
  <c r="C124" i="6"/>
  <c r="D121" i="6"/>
  <c r="C116" i="6"/>
  <c r="D113" i="6"/>
  <c r="C108" i="6"/>
  <c r="D105" i="6"/>
  <c r="C100" i="6"/>
  <c r="D97" i="6"/>
  <c r="C92" i="6"/>
  <c r="D89" i="6"/>
  <c r="C84" i="6"/>
  <c r="D81" i="6"/>
  <c r="C76" i="6"/>
  <c r="D73" i="6"/>
  <c r="C68" i="6"/>
  <c r="D65" i="6"/>
  <c r="C60" i="6"/>
  <c r="D57" i="6"/>
  <c r="C52" i="6"/>
  <c r="D49" i="6"/>
  <c r="C385" i="6"/>
  <c r="D382" i="6"/>
  <c r="C377" i="6"/>
  <c r="D374" i="6"/>
  <c r="C369" i="6"/>
  <c r="D366" i="6"/>
  <c r="C361" i="6"/>
  <c r="D358" i="6"/>
  <c r="C353" i="6"/>
  <c r="D350" i="6"/>
  <c r="C345" i="6"/>
  <c r="D342" i="6"/>
  <c r="C337" i="6"/>
  <c r="D334" i="6"/>
  <c r="C329" i="6"/>
  <c r="D326" i="6"/>
  <c r="C321" i="6"/>
  <c r="D318" i="6"/>
  <c r="C313" i="6"/>
  <c r="D310" i="6"/>
  <c r="C305" i="6"/>
  <c r="D302" i="6"/>
  <c r="C297" i="6"/>
  <c r="D294" i="6"/>
  <c r="C289" i="6"/>
  <c r="D286" i="6"/>
  <c r="C281" i="6"/>
  <c r="D278" i="6"/>
  <c r="C273" i="6"/>
  <c r="D270" i="6"/>
  <c r="C265" i="6"/>
  <c r="D262" i="6"/>
  <c r="C257" i="6"/>
  <c r="D254" i="6"/>
  <c r="C249" i="6"/>
  <c r="D246" i="6"/>
  <c r="C241" i="6"/>
  <c r="D238" i="6"/>
  <c r="C233" i="6"/>
  <c r="D230" i="6"/>
  <c r="C225" i="6"/>
  <c r="D222" i="6"/>
  <c r="C217" i="6"/>
  <c r="D214" i="6"/>
  <c r="C209" i="6"/>
  <c r="D206" i="6"/>
  <c r="C201" i="6"/>
  <c r="D198" i="6"/>
  <c r="C193" i="6"/>
  <c r="D190" i="6"/>
  <c r="C185" i="6"/>
  <c r="D182" i="6"/>
  <c r="C177" i="6"/>
  <c r="D174" i="6"/>
  <c r="C169" i="6"/>
  <c r="D166" i="6"/>
  <c r="C161" i="6"/>
  <c r="D158" i="6"/>
  <c r="C153" i="6"/>
  <c r="D150" i="6"/>
  <c r="C145" i="6"/>
  <c r="D142" i="6"/>
  <c r="C137" i="6"/>
  <c r="D134" i="6"/>
  <c r="C129" i="6"/>
  <c r="D126" i="6"/>
  <c r="C121" i="6"/>
  <c r="D118" i="6"/>
  <c r="C113" i="6"/>
  <c r="D110" i="6"/>
  <c r="C105" i="6"/>
  <c r="D102" i="6"/>
  <c r="C97" i="6"/>
  <c r="D94" i="6"/>
  <c r="C89" i="6"/>
  <c r="D86" i="6"/>
  <c r="C81" i="6"/>
  <c r="D78" i="6"/>
  <c r="C73" i="6"/>
  <c r="D70" i="6"/>
  <c r="C65" i="6"/>
  <c r="D62" i="6"/>
  <c r="C57" i="6"/>
  <c r="D54" i="6"/>
  <c r="C49" i="6"/>
  <c r="C384" i="6"/>
  <c r="D381" i="6"/>
  <c r="C376" i="6"/>
  <c r="D373" i="6"/>
  <c r="C368" i="6"/>
  <c r="D365" i="6"/>
  <c r="C360" i="6"/>
  <c r="D357" i="6"/>
  <c r="C352" i="6"/>
  <c r="D349" i="6"/>
  <c r="C344" i="6"/>
  <c r="D341" i="6"/>
  <c r="C336" i="6"/>
  <c r="D333" i="6"/>
  <c r="C328" i="6"/>
  <c r="D325" i="6"/>
  <c r="C320" i="6"/>
  <c r="D317" i="6"/>
  <c r="C312" i="6"/>
  <c r="D309" i="6"/>
  <c r="C304" i="6"/>
  <c r="D301" i="6"/>
  <c r="C296" i="6"/>
  <c r="D293" i="6"/>
  <c r="C288" i="6"/>
  <c r="D285" i="6"/>
  <c r="C280" i="6"/>
  <c r="D277" i="6"/>
  <c r="C272" i="6"/>
  <c r="D269" i="6"/>
  <c r="C264" i="6"/>
  <c r="D261" i="6"/>
  <c r="C256" i="6"/>
  <c r="D253" i="6"/>
  <c r="C248" i="6"/>
  <c r="D245" i="6"/>
  <c r="C240" i="6"/>
  <c r="D237" i="6"/>
  <c r="C232" i="6"/>
  <c r="D229" i="6"/>
  <c r="C224" i="6"/>
  <c r="D221" i="6"/>
  <c r="C216" i="6"/>
  <c r="D213" i="6"/>
  <c r="C208" i="6"/>
  <c r="D205" i="6"/>
  <c r="C200" i="6"/>
  <c r="D197" i="6"/>
  <c r="C192" i="6"/>
  <c r="D189" i="6"/>
  <c r="C184" i="6"/>
  <c r="D181" i="6"/>
  <c r="C176" i="6"/>
  <c r="D173" i="6"/>
  <c r="C168" i="6"/>
  <c r="D165" i="6"/>
  <c r="C160" i="6"/>
  <c r="D157" i="6"/>
  <c r="C152" i="6"/>
  <c r="D149" i="6"/>
  <c r="C144" i="6"/>
  <c r="D141" i="6"/>
  <c r="C136" i="6"/>
  <c r="D133" i="6"/>
  <c r="C128" i="6"/>
  <c r="D125" i="6"/>
  <c r="C120" i="6"/>
  <c r="D117" i="6"/>
  <c r="C112" i="6"/>
  <c r="D109" i="6"/>
  <c r="C104" i="6"/>
  <c r="D101" i="6"/>
  <c r="C96" i="6"/>
  <c r="D93" i="6"/>
  <c r="C88" i="6"/>
  <c r="D85" i="6"/>
  <c r="C80" i="6"/>
  <c r="D77" i="6"/>
  <c r="C72" i="6"/>
  <c r="D69" i="6"/>
  <c r="C64" i="6"/>
  <c r="D61" i="6"/>
  <c r="C56" i="6"/>
  <c r="D53" i="6"/>
  <c r="C48" i="6"/>
  <c r="C27" i="6"/>
  <c r="D32" i="6"/>
  <c r="C35" i="6"/>
  <c r="D40" i="6"/>
  <c r="C43" i="6"/>
  <c r="D1" i="4"/>
  <c r="B1" i="4"/>
  <c r="B8" i="3" a="1"/>
  <c r="B8" i="3" s="1"/>
  <c r="A2" i="2" a="1"/>
  <c r="A2" i="2" s="1"/>
  <c r="B7" i="3" s="1" a="1"/>
  <c r="B7" i="3" s="1"/>
  <c r="C6" i="8" l="1"/>
  <c r="C10" i="8"/>
  <c r="C14" i="8"/>
  <c r="C18" i="8"/>
  <c r="C22" i="8"/>
  <c r="C26" i="8"/>
  <c r="C30" i="8"/>
  <c r="C34" i="8"/>
  <c r="C38" i="8"/>
  <c r="C7" i="8"/>
  <c r="C11" i="8"/>
  <c r="C15" i="8"/>
  <c r="C19" i="8"/>
  <c r="C23" i="8"/>
  <c r="C27" i="8"/>
  <c r="C31" i="8"/>
  <c r="C4" i="8"/>
  <c r="C8" i="8"/>
  <c r="C12" i="8"/>
  <c r="C16" i="8"/>
  <c r="C20" i="8"/>
  <c r="C24" i="8"/>
  <c r="C28" i="8"/>
  <c r="C32" i="8"/>
  <c r="C36" i="8"/>
  <c r="C5" i="8"/>
  <c r="C9" i="8"/>
  <c r="C13" i="8"/>
  <c r="C17" i="8"/>
  <c r="C21" i="8"/>
  <c r="C25" i="8"/>
  <c r="C29" i="8"/>
  <c r="C33" i="8"/>
  <c r="C37" i="8"/>
  <c r="C42" i="8"/>
  <c r="C46" i="8"/>
  <c r="C43" i="8"/>
  <c r="C47" i="8"/>
  <c r="C35" i="8"/>
  <c r="C39" i="8"/>
  <c r="C41" i="8"/>
  <c r="C40" i="8"/>
  <c r="C49" i="8"/>
  <c r="C51" i="8"/>
  <c r="C52" i="8"/>
  <c r="C56" i="8"/>
  <c r="C44" i="8"/>
  <c r="C48" i="8"/>
  <c r="C45" i="8"/>
  <c r="C50" i="8"/>
  <c r="C53" i="8"/>
  <c r="C57" i="8"/>
  <c r="C54" i="8"/>
  <c r="C55" i="8"/>
  <c r="C60" i="8"/>
  <c r="C58" i="8"/>
  <c r="C59" i="8"/>
  <c r="D4" i="8"/>
  <c r="F2" i="4"/>
  <c r="L17" i="6"/>
  <c r="L18" i="6"/>
  <c r="C2" i="6"/>
  <c r="C5" i="6" s="1"/>
  <c r="L19" i="6"/>
  <c r="C3" i="6"/>
  <c r="C4" i="6" s="1"/>
  <c r="M19" i="6" s="1"/>
  <c r="B6" i="3" a="1"/>
  <c r="B6" i="3" s="1"/>
  <c r="G1" i="4"/>
  <c r="A4" i="4"/>
  <c r="B4" i="4"/>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D6" i="8" l="1"/>
  <c r="D10" i="8"/>
  <c r="D14" i="8"/>
  <c r="D18" i="8"/>
  <c r="D7" i="8"/>
  <c r="D11" i="8"/>
  <c r="D15" i="8"/>
  <c r="D19" i="8"/>
  <c r="D23" i="8"/>
  <c r="D27" i="8"/>
  <c r="D31" i="8"/>
  <c r="D35" i="8"/>
  <c r="D39" i="8"/>
  <c r="D8" i="8"/>
  <c r="D12" i="8"/>
  <c r="D16" i="8"/>
  <c r="D20" i="8"/>
  <c r="D24" i="8"/>
  <c r="D28" i="8"/>
  <c r="D32" i="8"/>
  <c r="D36" i="8"/>
  <c r="D26" i="8"/>
  <c r="D41" i="8"/>
  <c r="D17" i="8"/>
  <c r="D22" i="8"/>
  <c r="D34" i="8"/>
  <c r="D38" i="8"/>
  <c r="D42" i="8"/>
  <c r="D5" i="8"/>
  <c r="E5" i="8" s="1"/>
  <c r="D9" i="8"/>
  <c r="D30" i="8"/>
  <c r="D43" i="8"/>
  <c r="D47" i="8"/>
  <c r="D21" i="8"/>
  <c r="D25" i="8"/>
  <c r="D33" i="8"/>
  <c r="D13" i="8"/>
  <c r="D40" i="8"/>
  <c r="D49" i="8"/>
  <c r="D51" i="8"/>
  <c r="D55" i="8"/>
  <c r="D52" i="8"/>
  <c r="D56" i="8"/>
  <c r="D60" i="8"/>
  <c r="D37" i="8"/>
  <c r="D44" i="8"/>
  <c r="D48" i="8"/>
  <c r="D54" i="8"/>
  <c r="D50" i="8"/>
  <c r="D59" i="8"/>
  <c r="D29" i="8"/>
  <c r="D57" i="8"/>
  <c r="D46" i="8"/>
  <c r="D53" i="8"/>
  <c r="D45" i="8"/>
  <c r="D58" i="8"/>
  <c r="M17" i="6"/>
  <c r="L3" i="6" s="1"/>
  <c r="M18" i="6"/>
  <c r="L4" i="6" s="1"/>
  <c r="L6" i="6"/>
  <c r="J11" i="6" s="1"/>
  <c r="C4" i="4"/>
  <c r="B5" i="4" s="1"/>
  <c r="A6" i="4" s="1"/>
  <c r="A5" i="4"/>
  <c r="C2" i="2" a="1"/>
  <c r="C2" i="2" s="1"/>
  <c r="B4" i="3" s="1" a="1"/>
  <c r="B4" i="3" s="1"/>
  <c r="J2" i="1" a="1"/>
  <c r="J2" i="1" s="1"/>
  <c r="P2" i="1" s="1" a="1"/>
  <c r="P2" i="1" s="1"/>
  <c r="M2" i="1" a="1"/>
  <c r="M2" i="1" s="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2" i="1"/>
  <c r="D3" i="1" a="1"/>
  <c r="D3" i="1" s="1"/>
  <c r="D4" i="1" a="1"/>
  <c r="D4" i="1" s="1"/>
  <c r="D5" i="1" a="1"/>
  <c r="D5" i="1" s="1"/>
  <c r="D6" i="1" a="1"/>
  <c r="D6" i="1"/>
  <c r="D7" i="1" a="1"/>
  <c r="D7" i="1" s="1"/>
  <c r="D8" i="1" a="1"/>
  <c r="D8" i="1" s="1"/>
  <c r="D9" i="1" a="1"/>
  <c r="D9" i="1" s="1"/>
  <c r="D10" i="1" a="1"/>
  <c r="D10" i="1"/>
  <c r="D11" i="1" a="1"/>
  <c r="D11" i="1" s="1"/>
  <c r="D12" i="1" a="1"/>
  <c r="D12" i="1" s="1"/>
  <c r="D13" i="1" a="1"/>
  <c r="D13" i="1" s="1"/>
  <c r="D14" i="1" a="1"/>
  <c r="D14" i="1"/>
  <c r="D15" i="1" a="1"/>
  <c r="D15" i="1" s="1"/>
  <c r="D16" i="1" a="1"/>
  <c r="D16" i="1" s="1"/>
  <c r="D17" i="1" a="1"/>
  <c r="D17" i="1" s="1"/>
  <c r="D18" i="1" a="1"/>
  <c r="D18" i="1"/>
  <c r="D19" i="1" a="1"/>
  <c r="D19" i="1" s="1"/>
  <c r="D20" i="1" a="1"/>
  <c r="D20" i="1" s="1"/>
  <c r="D21" i="1" a="1"/>
  <c r="D21" i="1" s="1"/>
  <c r="D22" i="1" a="1"/>
  <c r="D22" i="1"/>
  <c r="D23" i="1" a="1"/>
  <c r="D23" i="1" s="1"/>
  <c r="D24" i="1" a="1"/>
  <c r="D24" i="1" s="1"/>
  <c r="D25" i="1" a="1"/>
  <c r="D25" i="1" s="1"/>
  <c r="D26" i="1" a="1"/>
  <c r="D26" i="1"/>
  <c r="D27" i="1" a="1"/>
  <c r="D27" i="1" s="1"/>
  <c r="D28" i="1" a="1"/>
  <c r="D28" i="1" s="1"/>
  <c r="D29" i="1" a="1"/>
  <c r="D29" i="1" s="1"/>
  <c r="D30" i="1" a="1"/>
  <c r="D30" i="1" s="1"/>
  <c r="D31" i="1" a="1"/>
  <c r="D31" i="1" s="1"/>
  <c r="D32" i="1" a="1"/>
  <c r="D32" i="1" s="1"/>
  <c r="D33" i="1" a="1"/>
  <c r="D33" i="1" s="1"/>
  <c r="D34" i="1" a="1"/>
  <c r="D34" i="1" s="1"/>
  <c r="D35" i="1" a="1"/>
  <c r="D35" i="1" s="1"/>
  <c r="D36" i="1" a="1"/>
  <c r="D36" i="1" s="1"/>
  <c r="D37" i="1" a="1"/>
  <c r="D37" i="1" s="1"/>
  <c r="D38" i="1" a="1"/>
  <c r="D38" i="1" s="1"/>
  <c r="D39" i="1" a="1"/>
  <c r="D39" i="1" s="1"/>
  <c r="D40" i="1" a="1"/>
  <c r="D40" i="1" s="1"/>
  <c r="D41" i="1" a="1"/>
  <c r="D41" i="1" s="1"/>
  <c r="D42" i="1" a="1"/>
  <c r="D42" i="1" s="1"/>
  <c r="D43" i="1" a="1"/>
  <c r="D43" i="1" s="1"/>
  <c r="D44" i="1" a="1"/>
  <c r="D44" i="1" s="1"/>
  <c r="D45" i="1" a="1"/>
  <c r="D45" i="1" s="1"/>
  <c r="D46" i="1" a="1"/>
  <c r="D46" i="1" s="1"/>
  <c r="D47" i="1" a="1"/>
  <c r="D47" i="1" s="1"/>
  <c r="D48" i="1" a="1"/>
  <c r="D48" i="1" s="1"/>
  <c r="D49" i="1" a="1"/>
  <c r="D49" i="1" s="1"/>
  <c r="D50" i="1" a="1"/>
  <c r="D50" i="1" s="1"/>
  <c r="D51" i="1" a="1"/>
  <c r="D51" i="1" s="1"/>
  <c r="D52" i="1" a="1"/>
  <c r="D52" i="1" s="1"/>
  <c r="D53" i="1" a="1"/>
  <c r="D53" i="1" s="1"/>
  <c r="D54" i="1" a="1"/>
  <c r="D54" i="1" s="1"/>
  <c r="D55" i="1" a="1"/>
  <c r="D55" i="1" s="1"/>
  <c r="D56" i="1" a="1"/>
  <c r="D56" i="1" s="1"/>
  <c r="D57" i="1" a="1"/>
  <c r="D57" i="1" s="1"/>
  <c r="D58" i="1" a="1"/>
  <c r="D58" i="1" s="1"/>
  <c r="D59" i="1" a="1"/>
  <c r="D59" i="1" s="1"/>
  <c r="D60" i="1" a="1"/>
  <c r="D60" i="1" s="1"/>
  <c r="D61" i="1" a="1"/>
  <c r="D61" i="1" s="1"/>
  <c r="D62" i="1" a="1"/>
  <c r="D62" i="1" s="1"/>
  <c r="D63" i="1" a="1"/>
  <c r="D63" i="1" s="1"/>
  <c r="D64" i="1" a="1"/>
  <c r="D64" i="1" s="1"/>
  <c r="D65" i="1" a="1"/>
  <c r="D65" i="1" s="1"/>
  <c r="D66" i="1" a="1"/>
  <c r="D66" i="1" s="1"/>
  <c r="D67" i="1" a="1"/>
  <c r="D67" i="1" s="1"/>
  <c r="D68" i="1" a="1"/>
  <c r="D68" i="1" s="1"/>
  <c r="D69" i="1" a="1"/>
  <c r="D69" i="1" s="1"/>
  <c r="D70" i="1" a="1"/>
  <c r="D70" i="1" s="1"/>
  <c r="D71" i="1" a="1"/>
  <c r="D71" i="1" s="1"/>
  <c r="D72" i="1" a="1"/>
  <c r="D72" i="1" s="1"/>
  <c r="D73" i="1" a="1"/>
  <c r="D73" i="1" s="1"/>
  <c r="D74" i="1" a="1"/>
  <c r="D74" i="1" s="1"/>
  <c r="D75" i="1" a="1"/>
  <c r="D75" i="1" s="1"/>
  <c r="D76" i="1" a="1"/>
  <c r="D76" i="1" s="1"/>
  <c r="D77" i="1" a="1"/>
  <c r="D77" i="1" s="1"/>
  <c r="D78" i="1" a="1"/>
  <c r="D78" i="1" s="1"/>
  <c r="D79" i="1" a="1"/>
  <c r="D79" i="1" s="1"/>
  <c r="D80" i="1" a="1"/>
  <c r="D80" i="1" s="1"/>
  <c r="D81" i="1" a="1"/>
  <c r="D81" i="1" s="1"/>
  <c r="D82" i="1" a="1"/>
  <c r="D82" i="1" s="1"/>
  <c r="D83" i="1" a="1"/>
  <c r="D83" i="1" s="1"/>
  <c r="D84" i="1" a="1"/>
  <c r="D84" i="1" s="1"/>
  <c r="D85" i="1" a="1"/>
  <c r="D85" i="1" s="1"/>
  <c r="D86" i="1" a="1"/>
  <c r="D86" i="1" s="1"/>
  <c r="D87" i="1" a="1"/>
  <c r="D87" i="1" s="1"/>
  <c r="D88" i="1" a="1"/>
  <c r="D88" i="1" s="1"/>
  <c r="D89" i="1" a="1"/>
  <c r="D89" i="1" s="1"/>
  <c r="D90" i="1" a="1"/>
  <c r="D90" i="1" s="1"/>
  <c r="D91" i="1" a="1"/>
  <c r="D91" i="1" s="1"/>
  <c r="D92" i="1" a="1"/>
  <c r="D92" i="1" s="1"/>
  <c r="D93" i="1" a="1"/>
  <c r="D93" i="1" s="1"/>
  <c r="D94" i="1" a="1"/>
  <c r="D94" i="1" s="1"/>
  <c r="D95" i="1" a="1"/>
  <c r="D95" i="1" s="1"/>
  <c r="D96" i="1" a="1"/>
  <c r="D96" i="1" s="1"/>
  <c r="D97" i="1" a="1"/>
  <c r="D97" i="1" s="1"/>
  <c r="D98" i="1" a="1"/>
  <c r="D98" i="1" s="1"/>
  <c r="D99" i="1" a="1"/>
  <c r="D99" i="1" s="1"/>
  <c r="D100" i="1" a="1"/>
  <c r="D100" i="1" s="1"/>
  <c r="D101" i="1" a="1"/>
  <c r="D101" i="1" s="1"/>
  <c r="D102" i="1" a="1"/>
  <c r="D102" i="1" s="1"/>
  <c r="D103" i="1" a="1"/>
  <c r="D103" i="1" s="1"/>
  <c r="D104" i="1" a="1"/>
  <c r="D104" i="1" s="1"/>
  <c r="D105" i="1" a="1"/>
  <c r="D105" i="1" s="1"/>
  <c r="D106" i="1" a="1"/>
  <c r="D106" i="1" s="1"/>
  <c r="D107" i="1" a="1"/>
  <c r="D107" i="1" s="1"/>
  <c r="D108" i="1" a="1"/>
  <c r="D108" i="1" s="1"/>
  <c r="D109" i="1" a="1"/>
  <c r="D109" i="1" s="1"/>
  <c r="D110" i="1" a="1"/>
  <c r="D110" i="1" s="1"/>
  <c r="D111" i="1" a="1"/>
  <c r="D111" i="1" s="1"/>
  <c r="D112" i="1" a="1"/>
  <c r="D112" i="1" s="1"/>
  <c r="D113" i="1" a="1"/>
  <c r="D113" i="1" s="1"/>
  <c r="D114" i="1" a="1"/>
  <c r="D114" i="1" s="1"/>
  <c r="D115" i="1" a="1"/>
  <c r="D115" i="1" s="1"/>
  <c r="D116" i="1" a="1"/>
  <c r="D116" i="1" s="1"/>
  <c r="D117" i="1" a="1"/>
  <c r="D117" i="1" s="1"/>
  <c r="D118" i="1" a="1"/>
  <c r="D118" i="1" s="1"/>
  <c r="D119" i="1" a="1"/>
  <c r="D119" i="1" s="1"/>
  <c r="D120" i="1" a="1"/>
  <c r="D120" i="1" s="1"/>
  <c r="D121" i="1" a="1"/>
  <c r="D121" i="1" s="1"/>
  <c r="D122" i="1" a="1"/>
  <c r="D122" i="1" s="1"/>
  <c r="D123" i="1" a="1"/>
  <c r="D123" i="1" s="1"/>
  <c r="D124" i="1" a="1"/>
  <c r="D124" i="1" s="1"/>
  <c r="D125" i="1" a="1"/>
  <c r="D125" i="1" s="1"/>
  <c r="D126" i="1" a="1"/>
  <c r="D126" i="1" s="1"/>
  <c r="D127" i="1" a="1"/>
  <c r="D127" i="1" s="1"/>
  <c r="D128" i="1" a="1"/>
  <c r="D128" i="1" s="1"/>
  <c r="D129" i="1" a="1"/>
  <c r="D129" i="1" s="1"/>
  <c r="D130" i="1" a="1"/>
  <c r="D130" i="1" s="1"/>
  <c r="D131" i="1" a="1"/>
  <c r="D131" i="1" s="1"/>
  <c r="D132" i="1" a="1"/>
  <c r="D132" i="1" s="1"/>
  <c r="D133" i="1" a="1"/>
  <c r="D133" i="1" s="1"/>
  <c r="D134" i="1" a="1"/>
  <c r="D134" i="1" s="1"/>
  <c r="D135" i="1" a="1"/>
  <c r="D135" i="1" s="1"/>
  <c r="D136" i="1" a="1"/>
  <c r="D136" i="1" s="1"/>
  <c r="D137" i="1" a="1"/>
  <c r="D137" i="1" s="1"/>
  <c r="D138" i="1" a="1"/>
  <c r="D138" i="1" s="1"/>
  <c r="D139" i="1" a="1"/>
  <c r="D139" i="1" s="1"/>
  <c r="D140" i="1" a="1"/>
  <c r="D140" i="1" s="1"/>
  <c r="D141" i="1" a="1"/>
  <c r="D141" i="1" s="1"/>
  <c r="D142" i="1" a="1"/>
  <c r="D142" i="1" s="1"/>
  <c r="D143" i="1" a="1"/>
  <c r="D143" i="1" s="1"/>
  <c r="D144" i="1" a="1"/>
  <c r="D144" i="1" s="1"/>
  <c r="D145" i="1" a="1"/>
  <c r="D145" i="1" s="1"/>
  <c r="D146" i="1" a="1"/>
  <c r="D146" i="1" s="1"/>
  <c r="D147" i="1" a="1"/>
  <c r="D147" i="1" s="1"/>
  <c r="D148" i="1" a="1"/>
  <c r="D148" i="1" s="1"/>
  <c r="D149" i="1" a="1"/>
  <c r="D149" i="1" s="1"/>
  <c r="D150" i="1" a="1"/>
  <c r="D150" i="1" s="1"/>
  <c r="D151" i="1" a="1"/>
  <c r="D151" i="1" s="1"/>
  <c r="D152" i="1" a="1"/>
  <c r="D152" i="1" s="1"/>
  <c r="D153" i="1" a="1"/>
  <c r="D153" i="1" s="1"/>
  <c r="D154" i="1" a="1"/>
  <c r="D154" i="1" s="1"/>
  <c r="D155" i="1" a="1"/>
  <c r="D155" i="1" s="1"/>
  <c r="D156" i="1" a="1"/>
  <c r="D156" i="1" s="1"/>
  <c r="D157" i="1" a="1"/>
  <c r="D157" i="1" s="1"/>
  <c r="D158" i="1" a="1"/>
  <c r="D158" i="1" s="1"/>
  <c r="D159" i="1" a="1"/>
  <c r="D159" i="1" s="1"/>
  <c r="D160" i="1" a="1"/>
  <c r="D160" i="1" s="1"/>
  <c r="D161" i="1" a="1"/>
  <c r="D161" i="1" s="1"/>
  <c r="D162" i="1" a="1"/>
  <c r="D162" i="1" s="1"/>
  <c r="D163" i="1" a="1"/>
  <c r="D163" i="1" s="1"/>
  <c r="D164" i="1" a="1"/>
  <c r="D164" i="1" s="1"/>
  <c r="D165" i="1" a="1"/>
  <c r="D165" i="1" s="1"/>
  <c r="D166" i="1" a="1"/>
  <c r="D166" i="1" s="1"/>
  <c r="D167" i="1" a="1"/>
  <c r="D167" i="1"/>
  <c r="D168" i="1" a="1"/>
  <c r="D168" i="1" s="1"/>
  <c r="D169" i="1" a="1"/>
  <c r="D169" i="1" s="1"/>
  <c r="D170" i="1" a="1"/>
  <c r="D170" i="1" s="1"/>
  <c r="D171" i="1" a="1"/>
  <c r="D171" i="1" s="1"/>
  <c r="D172" i="1" a="1"/>
  <c r="D172" i="1" s="1"/>
  <c r="D173" i="1" a="1"/>
  <c r="D173" i="1" s="1"/>
  <c r="D174" i="1" a="1"/>
  <c r="D174" i="1" s="1"/>
  <c r="D175" i="1" a="1"/>
  <c r="D175" i="1"/>
  <c r="D176" i="1" a="1"/>
  <c r="D176" i="1" s="1"/>
  <c r="D177" i="1" a="1"/>
  <c r="D177" i="1" s="1"/>
  <c r="D178" i="1" a="1"/>
  <c r="D178" i="1" s="1"/>
  <c r="D179" i="1" a="1"/>
  <c r="D179" i="1" s="1"/>
  <c r="D180" i="1" a="1"/>
  <c r="D180" i="1" s="1"/>
  <c r="D181" i="1" a="1"/>
  <c r="D181" i="1" s="1"/>
  <c r="D182" i="1" a="1"/>
  <c r="D182" i="1" s="1"/>
  <c r="D183" i="1" a="1"/>
  <c r="D183" i="1"/>
  <c r="D184" i="1" a="1"/>
  <c r="D184" i="1" s="1"/>
  <c r="D185" i="1" a="1"/>
  <c r="D185" i="1" s="1"/>
  <c r="D186" i="1" a="1"/>
  <c r="D186" i="1" s="1"/>
  <c r="D187" i="1" a="1"/>
  <c r="D187" i="1" s="1"/>
  <c r="D188" i="1" a="1"/>
  <c r="D188" i="1" s="1"/>
  <c r="D189" i="1" a="1"/>
  <c r="D189" i="1" s="1"/>
  <c r="D190" i="1" a="1"/>
  <c r="D190" i="1" s="1"/>
  <c r="D191" i="1" a="1"/>
  <c r="D191" i="1" s="1"/>
  <c r="D192" i="1" a="1"/>
  <c r="D192" i="1" s="1"/>
  <c r="D193" i="1" a="1"/>
  <c r="D193" i="1" s="1"/>
  <c r="D194" i="1" a="1"/>
  <c r="D194" i="1" s="1"/>
  <c r="D195" i="1" a="1"/>
  <c r="D195" i="1"/>
  <c r="D196" i="1" a="1"/>
  <c r="D196" i="1" s="1"/>
  <c r="D197" i="1" a="1"/>
  <c r="D197" i="1" s="1"/>
  <c r="D198" i="1" a="1"/>
  <c r="D198" i="1" s="1"/>
  <c r="D199" i="1" a="1"/>
  <c r="D199" i="1"/>
  <c r="D200" i="1" a="1"/>
  <c r="D200" i="1" s="1"/>
  <c r="D201" i="1" a="1"/>
  <c r="D201" i="1" s="1"/>
  <c r="D202" i="1" a="1"/>
  <c r="D202" i="1" s="1"/>
  <c r="D203" i="1" a="1"/>
  <c r="D203" i="1" s="1"/>
  <c r="D204" i="1" a="1"/>
  <c r="D204" i="1" s="1"/>
  <c r="D205" i="1" a="1"/>
  <c r="D205" i="1" s="1"/>
  <c r="D206" i="1" a="1"/>
  <c r="D206" i="1" s="1"/>
  <c r="D207" i="1" a="1"/>
  <c r="D207" i="1"/>
  <c r="D208" i="1" a="1"/>
  <c r="D208" i="1" s="1"/>
  <c r="D209" i="1" a="1"/>
  <c r="D209" i="1" s="1"/>
  <c r="D210" i="1" a="1"/>
  <c r="D210" i="1" s="1"/>
  <c r="D211" i="1" a="1"/>
  <c r="D211" i="1" s="1"/>
  <c r="D212" i="1" a="1"/>
  <c r="D212" i="1" s="1"/>
  <c r="D213" i="1" a="1"/>
  <c r="D213" i="1" s="1"/>
  <c r="D214" i="1" a="1"/>
  <c r="D214" i="1" s="1"/>
  <c r="D215" i="1" a="1"/>
  <c r="D215" i="1"/>
  <c r="D216" i="1" a="1"/>
  <c r="D216" i="1" s="1"/>
  <c r="D217" i="1" a="1"/>
  <c r="D217" i="1" s="1"/>
  <c r="D218" i="1" a="1"/>
  <c r="D218" i="1" s="1"/>
  <c r="D219" i="1" a="1"/>
  <c r="D219" i="1" s="1"/>
  <c r="D220" i="1" a="1"/>
  <c r="D220" i="1" s="1"/>
  <c r="D221" i="1" a="1"/>
  <c r="D221" i="1" s="1"/>
  <c r="D222" i="1" a="1"/>
  <c r="D222" i="1" s="1"/>
  <c r="D223" i="1" a="1"/>
  <c r="D223" i="1" s="1"/>
  <c r="D224" i="1" a="1"/>
  <c r="D224" i="1" s="1"/>
  <c r="D225" i="1" a="1"/>
  <c r="D225" i="1" s="1"/>
  <c r="D226" i="1" a="1"/>
  <c r="D226" i="1" s="1"/>
  <c r="D227" i="1" a="1"/>
  <c r="D227" i="1"/>
  <c r="D228" i="1" a="1"/>
  <c r="D228" i="1" s="1"/>
  <c r="D229" i="1" a="1"/>
  <c r="D229" i="1" s="1"/>
  <c r="D230" i="1" a="1"/>
  <c r="D230" i="1" s="1"/>
  <c r="D231" i="1" a="1"/>
  <c r="D231" i="1"/>
  <c r="D232" i="1" a="1"/>
  <c r="D232" i="1" s="1"/>
  <c r="D233" i="1" a="1"/>
  <c r="D233" i="1" s="1"/>
  <c r="D234" i="1" a="1"/>
  <c r="D234" i="1" s="1"/>
  <c r="D235" i="1" a="1"/>
  <c r="D235" i="1"/>
  <c r="D236" i="1" a="1"/>
  <c r="D236" i="1" s="1"/>
  <c r="D237" i="1" a="1"/>
  <c r="D237" i="1" s="1"/>
  <c r="D238" i="1" a="1"/>
  <c r="D238" i="1" s="1"/>
  <c r="D239" i="1" a="1"/>
  <c r="D239" i="1"/>
  <c r="D240" i="1" a="1"/>
  <c r="D240" i="1" s="1"/>
  <c r="D241" i="1" a="1"/>
  <c r="D241" i="1" s="1"/>
  <c r="D242" i="1" a="1"/>
  <c r="D242" i="1" s="1"/>
  <c r="D243" i="1" a="1"/>
  <c r="D243" i="1" s="1"/>
  <c r="D244" i="1" a="1"/>
  <c r="D244" i="1" s="1"/>
  <c r="D245" i="1" a="1"/>
  <c r="D245" i="1" s="1"/>
  <c r="D246" i="1" a="1"/>
  <c r="D246" i="1" s="1"/>
  <c r="D247" i="1" a="1"/>
  <c r="D247" i="1" s="1"/>
  <c r="D248" i="1" a="1"/>
  <c r="D248" i="1" s="1"/>
  <c r="D249" i="1" a="1"/>
  <c r="D249" i="1" s="1"/>
  <c r="D250" i="1" a="1"/>
  <c r="D250" i="1" s="1"/>
  <c r="D251" i="1" a="1"/>
  <c r="D251" i="1" s="1"/>
  <c r="D252" i="1" a="1"/>
  <c r="D252" i="1" s="1"/>
  <c r="D253" i="1" a="1"/>
  <c r="D253" i="1" s="1"/>
  <c r="D254" i="1" a="1"/>
  <c r="D254" i="1" s="1"/>
  <c r="D255" i="1" a="1"/>
  <c r="D255" i="1" s="1"/>
  <c r="D256" i="1" a="1"/>
  <c r="D256" i="1" s="1"/>
  <c r="D257" i="1" a="1"/>
  <c r="D257" i="1" s="1"/>
  <c r="D258" i="1" a="1"/>
  <c r="D258" i="1" s="1"/>
  <c r="D259" i="1" a="1"/>
  <c r="D259" i="1"/>
  <c r="D260" i="1" a="1"/>
  <c r="D260" i="1" s="1"/>
  <c r="D261" i="1" a="1"/>
  <c r="D261" i="1" s="1"/>
  <c r="D262" i="1" a="1"/>
  <c r="D262" i="1" s="1"/>
  <c r="D263" i="1" a="1"/>
  <c r="D263" i="1" s="1"/>
  <c r="D264" i="1" a="1"/>
  <c r="D264" i="1" s="1"/>
  <c r="D265" i="1" a="1"/>
  <c r="D265" i="1" s="1"/>
  <c r="D266" i="1" a="1"/>
  <c r="D266" i="1" s="1"/>
  <c r="D267" i="1" a="1"/>
  <c r="D267" i="1" s="1"/>
  <c r="D268" i="1" a="1"/>
  <c r="D268" i="1" s="1"/>
  <c r="D269" i="1" a="1"/>
  <c r="D269" i="1" s="1"/>
  <c r="D270" i="1" a="1"/>
  <c r="D270" i="1" s="1"/>
  <c r="D271" i="1" a="1"/>
  <c r="D271" i="1"/>
  <c r="D272" i="1" a="1"/>
  <c r="D272" i="1" s="1"/>
  <c r="D273" i="1" a="1"/>
  <c r="D273" i="1" s="1"/>
  <c r="D274" i="1" a="1"/>
  <c r="D274" i="1" s="1"/>
  <c r="D275" i="1" a="1"/>
  <c r="D275" i="1" s="1"/>
  <c r="D276" i="1" a="1"/>
  <c r="D276" i="1" s="1"/>
  <c r="D277" i="1" a="1"/>
  <c r="D277" i="1" s="1"/>
  <c r="D278" i="1" a="1"/>
  <c r="D278" i="1" s="1"/>
  <c r="D279" i="1" a="1"/>
  <c r="D279" i="1" s="1"/>
  <c r="D280" i="1" a="1"/>
  <c r="D280" i="1" s="1"/>
  <c r="D281" i="1" a="1"/>
  <c r="D281" i="1" s="1"/>
  <c r="D282" i="1" a="1"/>
  <c r="D282" i="1"/>
  <c r="D283" i="1" a="1"/>
  <c r="D283" i="1" s="1"/>
  <c r="D284" i="1" a="1"/>
  <c r="D284" i="1" s="1"/>
  <c r="D285" i="1" a="1"/>
  <c r="D285" i="1" s="1"/>
  <c r="D286" i="1" a="1"/>
  <c r="D286" i="1" s="1"/>
  <c r="D287" i="1" a="1"/>
  <c r="D287" i="1" s="1"/>
  <c r="D288" i="1" a="1"/>
  <c r="D288" i="1" s="1"/>
  <c r="D289" i="1" a="1"/>
  <c r="D289" i="1" s="1"/>
  <c r="D290" i="1" a="1"/>
  <c r="D290" i="1" s="1"/>
  <c r="D291" i="1" a="1"/>
  <c r="D291" i="1" s="1"/>
  <c r="D292" i="1" a="1"/>
  <c r="D292" i="1" s="1"/>
  <c r="D293" i="1" a="1"/>
  <c r="D293" i="1" s="1"/>
  <c r="D294" i="1" a="1"/>
  <c r="D294" i="1" s="1"/>
  <c r="D295" i="1" a="1"/>
  <c r="D295" i="1" s="1"/>
  <c r="D296" i="1" a="1"/>
  <c r="D296" i="1" s="1"/>
  <c r="D297" i="1" a="1"/>
  <c r="D297" i="1" s="1"/>
  <c r="D298" i="1" a="1"/>
  <c r="D298" i="1" s="1"/>
  <c r="D299" i="1" a="1"/>
  <c r="D299" i="1" s="1"/>
  <c r="D300" i="1" a="1"/>
  <c r="D300" i="1" s="1"/>
  <c r="D301" i="1" a="1"/>
  <c r="D301" i="1" s="1"/>
  <c r="D302" i="1" a="1"/>
  <c r="D302" i="1" s="1"/>
  <c r="D303" i="1" a="1"/>
  <c r="D303" i="1"/>
  <c r="D304" i="1" a="1"/>
  <c r="D304" i="1" s="1"/>
  <c r="D305" i="1" a="1"/>
  <c r="D305" i="1" s="1"/>
  <c r="D306" i="1" a="1"/>
  <c r="D306" i="1" s="1"/>
  <c r="D307" i="1" a="1"/>
  <c r="D307" i="1" s="1"/>
  <c r="D308" i="1" a="1"/>
  <c r="D308" i="1" s="1"/>
  <c r="D309" i="1" a="1"/>
  <c r="D309" i="1" s="1"/>
  <c r="D310" i="1" a="1"/>
  <c r="D310" i="1" s="1"/>
  <c r="D311" i="1" a="1"/>
  <c r="D311" i="1" s="1"/>
  <c r="D312" i="1" a="1"/>
  <c r="D312" i="1" s="1"/>
  <c r="D313" i="1" a="1"/>
  <c r="D313" i="1" s="1"/>
  <c r="D314" i="1" a="1"/>
  <c r="D314" i="1"/>
  <c r="D315" i="1" a="1"/>
  <c r="D315" i="1" s="1"/>
  <c r="D316" i="1" a="1"/>
  <c r="D316" i="1" s="1"/>
  <c r="D317" i="1" a="1"/>
  <c r="D317" i="1" s="1"/>
  <c r="D318" i="1" a="1"/>
  <c r="D318" i="1" s="1"/>
  <c r="D319" i="1" a="1"/>
  <c r="D319" i="1" s="1"/>
  <c r="D320" i="1" a="1"/>
  <c r="D320" i="1" s="1"/>
  <c r="D321" i="1" a="1"/>
  <c r="D321" i="1" s="1"/>
  <c r="D322" i="1" a="1"/>
  <c r="D322" i="1" s="1"/>
  <c r="D323" i="1" a="1"/>
  <c r="D323" i="1" s="1"/>
  <c r="D324" i="1" a="1"/>
  <c r="D324" i="1" s="1"/>
  <c r="D325" i="1" a="1"/>
  <c r="D325" i="1" s="1"/>
  <c r="D326" i="1" a="1"/>
  <c r="D326" i="1" s="1"/>
  <c r="D327" i="1" a="1"/>
  <c r="D327" i="1" s="1"/>
  <c r="D328" i="1" a="1"/>
  <c r="D328" i="1" s="1"/>
  <c r="D329" i="1" a="1"/>
  <c r="D329" i="1" s="1"/>
  <c r="D330" i="1" a="1"/>
  <c r="D330" i="1" s="1"/>
  <c r="D331" i="1" a="1"/>
  <c r="D331" i="1" s="1"/>
  <c r="D332" i="1" a="1"/>
  <c r="D332" i="1" s="1"/>
  <c r="D333" i="1" a="1"/>
  <c r="D333" i="1" s="1"/>
  <c r="D334" i="1" a="1"/>
  <c r="D334" i="1" s="1"/>
  <c r="D335" i="1" a="1"/>
  <c r="D335" i="1"/>
  <c r="D336" i="1" a="1"/>
  <c r="D336" i="1" s="1"/>
  <c r="D337" i="1" a="1"/>
  <c r="D337" i="1" s="1"/>
  <c r="D338" i="1" a="1"/>
  <c r="D338" i="1" s="1"/>
  <c r="D339" i="1" a="1"/>
  <c r="D339" i="1" s="1"/>
  <c r="D340" i="1" a="1"/>
  <c r="D340" i="1" s="1"/>
  <c r="D341" i="1" a="1"/>
  <c r="D341" i="1" s="1"/>
  <c r="D342" i="1" a="1"/>
  <c r="D342" i="1" s="1"/>
  <c r="D343" i="1" a="1"/>
  <c r="D343" i="1" s="1"/>
  <c r="D344" i="1" a="1"/>
  <c r="D344" i="1" s="1"/>
  <c r="D345" i="1" a="1"/>
  <c r="D345" i="1"/>
  <c r="D346" i="1" a="1"/>
  <c r="D346" i="1" s="1"/>
  <c r="D347" i="1" a="1"/>
  <c r="D347" i="1" s="1"/>
  <c r="D348" i="1" a="1"/>
  <c r="D348" i="1" s="1"/>
  <c r="D349" i="1" a="1"/>
  <c r="D349" i="1"/>
  <c r="D350" i="1" a="1"/>
  <c r="D350" i="1" s="1"/>
  <c r="D351" i="1" a="1"/>
  <c r="D351" i="1" s="1"/>
  <c r="D352" i="1" a="1"/>
  <c r="D352" i="1" s="1"/>
  <c r="D353" i="1" a="1"/>
  <c r="D353" i="1" s="1"/>
  <c r="D354" i="1" a="1"/>
  <c r="D354" i="1" s="1"/>
  <c r="D355" i="1" a="1"/>
  <c r="D355" i="1" s="1"/>
  <c r="D356" i="1" a="1"/>
  <c r="D356" i="1" s="1"/>
  <c r="D357" i="1" a="1"/>
  <c r="D357" i="1" s="1"/>
  <c r="D358" i="1" a="1"/>
  <c r="D358" i="1" s="1"/>
  <c r="D359" i="1" a="1"/>
  <c r="D359" i="1" s="1"/>
  <c r="D360" i="1" a="1"/>
  <c r="D360" i="1" s="1"/>
  <c r="D361" i="1" a="1"/>
  <c r="D361" i="1"/>
  <c r="D362" i="1" a="1"/>
  <c r="D362" i="1" s="1"/>
  <c r="D363" i="1" a="1"/>
  <c r="D363" i="1" s="1"/>
  <c r="D364" i="1" a="1"/>
  <c r="D364" i="1" s="1"/>
  <c r="D365" i="1" a="1"/>
  <c r="D365" i="1"/>
  <c r="D366" i="1" a="1"/>
  <c r="D366" i="1" s="1"/>
  <c r="D367" i="1" a="1"/>
  <c r="D367" i="1" s="1"/>
  <c r="D368" i="1" a="1"/>
  <c r="D368" i="1" s="1"/>
  <c r="D369" i="1" a="1"/>
  <c r="D369" i="1"/>
  <c r="D370" i="1" a="1"/>
  <c r="D370" i="1" s="1"/>
  <c r="D371" i="1" a="1"/>
  <c r="D371" i="1" s="1"/>
  <c r="D372" i="1" a="1"/>
  <c r="D372" i="1" s="1"/>
  <c r="D373" i="1" a="1"/>
  <c r="D373" i="1" s="1"/>
  <c r="D374" i="1" a="1"/>
  <c r="D374" i="1" s="1"/>
  <c r="D375" i="1" a="1"/>
  <c r="D375" i="1" s="1"/>
  <c r="D376" i="1" a="1"/>
  <c r="D376" i="1" s="1"/>
  <c r="D377" i="1" a="1"/>
  <c r="D377" i="1"/>
  <c r="D378" i="1" a="1"/>
  <c r="D378" i="1" s="1"/>
  <c r="D379" i="1" a="1"/>
  <c r="D379" i="1" s="1"/>
  <c r="D380" i="1" a="1"/>
  <c r="D380" i="1" s="1"/>
  <c r="D381" i="1" a="1"/>
  <c r="D381" i="1"/>
  <c r="D382" i="1" a="1"/>
  <c r="D382" i="1" s="1"/>
  <c r="D383" i="1" a="1"/>
  <c r="D383" i="1" s="1"/>
  <c r="D384" i="1" a="1"/>
  <c r="D384" i="1" s="1"/>
  <c r="D385" i="1" a="1"/>
  <c r="D385" i="1" s="1"/>
  <c r="D386" i="1" a="1"/>
  <c r="D386" i="1" s="1"/>
  <c r="D387" i="1" a="1"/>
  <c r="D387" i="1" s="1"/>
  <c r="D388" i="1" a="1"/>
  <c r="D388" i="1" s="1"/>
  <c r="D389" i="1" a="1"/>
  <c r="D389" i="1" s="1"/>
  <c r="D390" i="1" a="1"/>
  <c r="D390" i="1" s="1"/>
  <c r="D391" i="1" a="1"/>
  <c r="D391" i="1" s="1"/>
  <c r="D392" i="1" a="1"/>
  <c r="D392" i="1" s="1"/>
  <c r="D393" i="1" a="1"/>
  <c r="D393" i="1"/>
  <c r="D394" i="1" a="1"/>
  <c r="D394" i="1" s="1"/>
  <c r="D395" i="1" a="1"/>
  <c r="D395" i="1" s="1"/>
  <c r="D396" i="1" a="1"/>
  <c r="D396" i="1" s="1"/>
  <c r="D397" i="1" a="1"/>
  <c r="D397" i="1"/>
  <c r="D398" i="1" a="1"/>
  <c r="D398" i="1" s="1"/>
  <c r="D399" i="1" a="1"/>
  <c r="D399" i="1" s="1"/>
  <c r="D400" i="1" a="1"/>
  <c r="D400" i="1" s="1"/>
  <c r="D401" i="1" a="1"/>
  <c r="D401" i="1"/>
  <c r="D402" i="1" a="1"/>
  <c r="D402" i="1" s="1"/>
  <c r="D403" i="1" a="1"/>
  <c r="D403" i="1" s="1"/>
  <c r="D404" i="1" a="1"/>
  <c r="D404" i="1" s="1"/>
  <c r="D405" i="1" a="1"/>
  <c r="D405" i="1" s="1"/>
  <c r="D406" i="1" a="1"/>
  <c r="D406" i="1" s="1"/>
  <c r="D407" i="1" a="1"/>
  <c r="D407" i="1" s="1"/>
  <c r="D408" i="1" a="1"/>
  <c r="D408" i="1" s="1"/>
  <c r="D409" i="1" a="1"/>
  <c r="D409" i="1"/>
  <c r="D410" i="1" a="1"/>
  <c r="D410" i="1" s="1"/>
  <c r="D411" i="1" a="1"/>
  <c r="D411" i="1" s="1"/>
  <c r="D412" i="1" a="1"/>
  <c r="D412" i="1" s="1"/>
  <c r="D413" i="1" a="1"/>
  <c r="D413" i="1"/>
  <c r="D414" i="1" a="1"/>
  <c r="D414" i="1" s="1"/>
  <c r="D415" i="1" a="1"/>
  <c r="D415" i="1" s="1"/>
  <c r="D416" i="1" a="1"/>
  <c r="D416" i="1" s="1"/>
  <c r="D417" i="1" a="1"/>
  <c r="D417" i="1" s="1"/>
  <c r="D418" i="1" a="1"/>
  <c r="D418" i="1" s="1"/>
  <c r="D419" i="1" a="1"/>
  <c r="D419" i="1" s="1"/>
  <c r="D420" i="1" a="1"/>
  <c r="D420" i="1" s="1"/>
  <c r="D421" i="1" a="1"/>
  <c r="D421" i="1" s="1"/>
  <c r="D422" i="1" a="1"/>
  <c r="D422" i="1" s="1"/>
  <c r="D423" i="1" a="1"/>
  <c r="D423" i="1" s="1"/>
  <c r="D424" i="1" a="1"/>
  <c r="D424" i="1" s="1"/>
  <c r="D425" i="1" a="1"/>
  <c r="D425" i="1"/>
  <c r="D426" i="1" a="1"/>
  <c r="D426" i="1" s="1"/>
  <c r="D427" i="1" a="1"/>
  <c r="D427" i="1" s="1"/>
  <c r="D428" i="1" a="1"/>
  <c r="D428" i="1" s="1"/>
  <c r="D429" i="1" a="1"/>
  <c r="D429" i="1"/>
  <c r="D430" i="1" a="1"/>
  <c r="D430" i="1" s="1"/>
  <c r="D431" i="1" a="1"/>
  <c r="D431" i="1" s="1"/>
  <c r="D432" i="1" a="1"/>
  <c r="D432" i="1" s="1"/>
  <c r="D433" i="1" a="1"/>
  <c r="D433" i="1"/>
  <c r="D434" i="1" a="1"/>
  <c r="D434" i="1" s="1"/>
  <c r="D435" i="1" a="1"/>
  <c r="D435" i="1" s="1"/>
  <c r="D436" i="1" a="1"/>
  <c r="D436" i="1" s="1"/>
  <c r="D437" i="1" a="1"/>
  <c r="D437" i="1" s="1"/>
  <c r="D438" i="1" a="1"/>
  <c r="D438" i="1" s="1"/>
  <c r="D439" i="1" a="1"/>
  <c r="D439" i="1" s="1"/>
  <c r="D440" i="1" a="1"/>
  <c r="D440" i="1" s="1"/>
  <c r="D441" i="1" a="1"/>
  <c r="D441" i="1"/>
  <c r="D442" i="1" a="1"/>
  <c r="D442" i="1" s="1"/>
  <c r="D443" i="1" a="1"/>
  <c r="D443" i="1" s="1"/>
  <c r="D444" i="1" a="1"/>
  <c r="D444" i="1" s="1"/>
  <c r="D445" i="1" a="1"/>
  <c r="D445" i="1"/>
  <c r="D446" i="1" a="1"/>
  <c r="D446" i="1" s="1"/>
  <c r="D447" i="1" a="1"/>
  <c r="D447" i="1" s="1"/>
  <c r="D448" i="1" a="1"/>
  <c r="D448" i="1" s="1"/>
  <c r="D449" i="1" a="1"/>
  <c r="D449" i="1" s="1"/>
  <c r="D450" i="1" a="1"/>
  <c r="D450" i="1" s="1"/>
  <c r="D451" i="1" a="1"/>
  <c r="D451" i="1" s="1"/>
  <c r="D452" i="1" a="1"/>
  <c r="D452" i="1" s="1"/>
  <c r="D453" i="1" a="1"/>
  <c r="D453" i="1" s="1"/>
  <c r="D454" i="1" a="1"/>
  <c r="D454" i="1" s="1"/>
  <c r="D455" i="1" a="1"/>
  <c r="D455" i="1" s="1"/>
  <c r="D456" i="1" a="1"/>
  <c r="D456" i="1" s="1"/>
  <c r="D457" i="1" a="1"/>
  <c r="D457" i="1"/>
  <c r="D458" i="1" a="1"/>
  <c r="D458" i="1" s="1"/>
  <c r="D459" i="1" a="1"/>
  <c r="D459" i="1" s="1"/>
  <c r="D460" i="1" a="1"/>
  <c r="D460" i="1" s="1"/>
  <c r="D461" i="1" a="1"/>
  <c r="D461" i="1"/>
  <c r="D462" i="1" a="1"/>
  <c r="D462" i="1" s="1"/>
  <c r="D463" i="1" a="1"/>
  <c r="D463" i="1" s="1"/>
  <c r="D464" i="1" a="1"/>
  <c r="D464" i="1" s="1"/>
  <c r="D465" i="1" a="1"/>
  <c r="D465" i="1"/>
  <c r="D466" i="1" a="1"/>
  <c r="D466" i="1" s="1"/>
  <c r="D467" i="1" a="1"/>
  <c r="D467" i="1" s="1"/>
  <c r="D468" i="1" a="1"/>
  <c r="D468" i="1" s="1"/>
  <c r="D469" i="1" a="1"/>
  <c r="D469" i="1" s="1"/>
  <c r="D470" i="1" a="1"/>
  <c r="D470" i="1" s="1"/>
  <c r="D471" i="1" a="1"/>
  <c r="D471" i="1" s="1"/>
  <c r="D472" i="1" a="1"/>
  <c r="D472" i="1" s="1"/>
  <c r="D473" i="1" a="1"/>
  <c r="D473" i="1"/>
  <c r="D474" i="1" a="1"/>
  <c r="D474" i="1" s="1"/>
  <c r="D475" i="1" a="1"/>
  <c r="D475" i="1" s="1"/>
  <c r="D476" i="1" a="1"/>
  <c r="D476" i="1" s="1"/>
  <c r="D477" i="1" a="1"/>
  <c r="D477" i="1"/>
  <c r="D478" i="1" a="1"/>
  <c r="D478" i="1" s="1"/>
  <c r="D479" i="1" a="1"/>
  <c r="D479" i="1" s="1"/>
  <c r="D480" i="1" a="1"/>
  <c r="D480" i="1" s="1"/>
  <c r="D481" i="1" a="1"/>
  <c r="D481" i="1" s="1"/>
  <c r="D482" i="1" a="1"/>
  <c r="D482" i="1" s="1"/>
  <c r="D483" i="1" a="1"/>
  <c r="D483" i="1" s="1"/>
  <c r="D484" i="1" a="1"/>
  <c r="D484" i="1" s="1"/>
  <c r="D485" i="1" a="1"/>
  <c r="D485" i="1" s="1"/>
  <c r="D486" i="1" a="1"/>
  <c r="D486" i="1" s="1"/>
  <c r="D487" i="1" a="1"/>
  <c r="D487" i="1" s="1"/>
  <c r="D488" i="1" a="1"/>
  <c r="D488" i="1" s="1"/>
  <c r="D489" i="1" a="1"/>
  <c r="D489" i="1"/>
  <c r="D490" i="1" a="1"/>
  <c r="D490" i="1" s="1"/>
  <c r="D491" i="1" a="1"/>
  <c r="D491" i="1" s="1"/>
  <c r="D492" i="1" a="1"/>
  <c r="D492" i="1" s="1"/>
  <c r="D493" i="1" a="1"/>
  <c r="D493" i="1"/>
  <c r="D494" i="1" a="1"/>
  <c r="D494" i="1" s="1"/>
  <c r="D495" i="1" a="1"/>
  <c r="D495" i="1" s="1"/>
  <c r="D496" i="1" a="1"/>
  <c r="D496" i="1" s="1"/>
  <c r="D497" i="1" a="1"/>
  <c r="D497" i="1"/>
  <c r="D498" i="1" a="1"/>
  <c r="D498" i="1" s="1"/>
  <c r="D499" i="1" a="1"/>
  <c r="D499" i="1" s="1"/>
  <c r="D500" i="1" a="1"/>
  <c r="D500" i="1" s="1"/>
  <c r="D501" i="1" a="1"/>
  <c r="D501" i="1" s="1"/>
  <c r="D502" i="1" a="1"/>
  <c r="D502" i="1" s="1"/>
  <c r="D503" i="1" a="1"/>
  <c r="D503" i="1" s="1"/>
  <c r="D504" i="1" a="1"/>
  <c r="D504" i="1" s="1"/>
  <c r="D505" i="1" a="1"/>
  <c r="D505" i="1"/>
  <c r="D506" i="1" a="1"/>
  <c r="D506" i="1" s="1"/>
  <c r="D507" i="1" a="1"/>
  <c r="D507" i="1" s="1"/>
  <c r="D508" i="1" a="1"/>
  <c r="D508" i="1" s="1"/>
  <c r="D509" i="1" a="1"/>
  <c r="D509" i="1"/>
  <c r="D510" i="1" a="1"/>
  <c r="D510" i="1" s="1"/>
  <c r="D511" i="1" a="1"/>
  <c r="D511" i="1" s="1"/>
  <c r="D512" i="1" a="1"/>
  <c r="D512" i="1" s="1"/>
  <c r="D513" i="1" a="1"/>
  <c r="D513" i="1" s="1"/>
  <c r="D514" i="1" a="1"/>
  <c r="D514" i="1" s="1"/>
  <c r="D515" i="1" a="1"/>
  <c r="D515" i="1" s="1"/>
  <c r="D516" i="1" a="1"/>
  <c r="D516" i="1" s="1"/>
  <c r="D517" i="1" a="1"/>
  <c r="D517" i="1" s="1"/>
  <c r="D518" i="1" a="1"/>
  <c r="D518" i="1" s="1"/>
  <c r="D519" i="1" a="1"/>
  <c r="D519" i="1" s="1"/>
  <c r="D520" i="1" a="1"/>
  <c r="D520" i="1" s="1"/>
  <c r="D521" i="1" a="1"/>
  <c r="D521" i="1"/>
  <c r="D522" i="1" a="1"/>
  <c r="D522" i="1" s="1"/>
  <c r="D523" i="1" a="1"/>
  <c r="D523" i="1" s="1"/>
  <c r="D524" i="1" a="1"/>
  <c r="D524" i="1" s="1"/>
  <c r="D525" i="1" a="1"/>
  <c r="D525" i="1"/>
  <c r="D526" i="1" a="1"/>
  <c r="D526" i="1" s="1"/>
  <c r="D527" i="1" a="1"/>
  <c r="D527" i="1" s="1"/>
  <c r="D528" i="1" a="1"/>
  <c r="D528" i="1" s="1"/>
  <c r="D529" i="1" a="1"/>
  <c r="D529" i="1"/>
  <c r="D530" i="1" a="1"/>
  <c r="D530" i="1" s="1"/>
  <c r="D531" i="1" a="1"/>
  <c r="D531" i="1" s="1"/>
  <c r="D532" i="1" a="1"/>
  <c r="D532" i="1" s="1"/>
  <c r="D533" i="1" a="1"/>
  <c r="D533" i="1" s="1"/>
  <c r="D534" i="1" a="1"/>
  <c r="D534" i="1" s="1"/>
  <c r="D535" i="1" a="1"/>
  <c r="D535" i="1" s="1"/>
  <c r="D536" i="1" a="1"/>
  <c r="D536" i="1" s="1"/>
  <c r="D537" i="1" a="1"/>
  <c r="D537" i="1"/>
  <c r="D538" i="1" a="1"/>
  <c r="D538" i="1" s="1"/>
  <c r="D539" i="1" a="1"/>
  <c r="D539" i="1" s="1"/>
  <c r="D540" i="1" a="1"/>
  <c r="D540" i="1" s="1"/>
  <c r="D541" i="1" a="1"/>
  <c r="D541" i="1"/>
  <c r="D542" i="1" a="1"/>
  <c r="D542" i="1" s="1"/>
  <c r="D543" i="1" a="1"/>
  <c r="D543" i="1" s="1"/>
  <c r="D544" i="1" a="1"/>
  <c r="D544" i="1" s="1"/>
  <c r="D545" i="1" a="1"/>
  <c r="D545" i="1" s="1"/>
  <c r="D546" i="1" a="1"/>
  <c r="D546" i="1" s="1"/>
  <c r="D547" i="1" a="1"/>
  <c r="D547" i="1" s="1"/>
  <c r="D548" i="1" a="1"/>
  <c r="D548" i="1" s="1"/>
  <c r="D549" i="1" a="1"/>
  <c r="D549" i="1" s="1"/>
  <c r="D550" i="1" a="1"/>
  <c r="D550" i="1" s="1"/>
  <c r="D551" i="1" a="1"/>
  <c r="D551" i="1" s="1"/>
  <c r="D552" i="1" a="1"/>
  <c r="D552" i="1" s="1"/>
  <c r="D553" i="1" a="1"/>
  <c r="D553" i="1"/>
  <c r="D554" i="1" a="1"/>
  <c r="D554" i="1" s="1"/>
  <c r="D555" i="1" a="1"/>
  <c r="D555" i="1" s="1"/>
  <c r="D556" i="1" a="1"/>
  <c r="D556" i="1" s="1"/>
  <c r="D557" i="1" a="1"/>
  <c r="D557" i="1"/>
  <c r="D558" i="1" a="1"/>
  <c r="D558" i="1" s="1"/>
  <c r="D559" i="1" a="1"/>
  <c r="D559" i="1" s="1"/>
  <c r="D560" i="1" a="1"/>
  <c r="D560" i="1" s="1"/>
  <c r="D561" i="1" a="1"/>
  <c r="D561" i="1"/>
  <c r="D562" i="1" a="1"/>
  <c r="D562" i="1" s="1"/>
  <c r="D563" i="1" a="1"/>
  <c r="D563" i="1" s="1"/>
  <c r="D564" i="1" a="1"/>
  <c r="D564" i="1" s="1"/>
  <c r="D565" i="1" a="1"/>
  <c r="D565" i="1" s="1"/>
  <c r="D566" i="1" a="1"/>
  <c r="D566" i="1" s="1"/>
  <c r="D567" i="1" a="1"/>
  <c r="D567" i="1" s="1"/>
  <c r="D568" i="1" a="1"/>
  <c r="D568" i="1" s="1"/>
  <c r="D569" i="1" a="1"/>
  <c r="D569" i="1"/>
  <c r="D570" i="1" a="1"/>
  <c r="D570" i="1" s="1"/>
  <c r="D571" i="1" a="1"/>
  <c r="D571" i="1" s="1"/>
  <c r="D572" i="1" a="1"/>
  <c r="D572" i="1" s="1"/>
  <c r="D573" i="1" a="1"/>
  <c r="D573" i="1"/>
  <c r="D574" i="1" a="1"/>
  <c r="D574" i="1" s="1"/>
  <c r="D575" i="1" a="1"/>
  <c r="D575" i="1" s="1"/>
  <c r="D576" i="1" a="1"/>
  <c r="D576" i="1" s="1"/>
  <c r="D577" i="1" a="1"/>
  <c r="D577" i="1" s="1"/>
  <c r="D578" i="1" a="1"/>
  <c r="D578" i="1" s="1"/>
  <c r="D579" i="1" a="1"/>
  <c r="D579" i="1" s="1"/>
  <c r="D580" i="1" a="1"/>
  <c r="D580" i="1" s="1"/>
  <c r="D581" i="1" a="1"/>
  <c r="D581" i="1" s="1"/>
  <c r="D582" i="1" a="1"/>
  <c r="D582" i="1" s="1"/>
  <c r="D583" i="1" a="1"/>
  <c r="D583" i="1" s="1"/>
  <c r="D584" i="1" a="1"/>
  <c r="D584" i="1" s="1"/>
  <c r="D585" i="1" a="1"/>
  <c r="D585" i="1"/>
  <c r="D586" i="1" a="1"/>
  <c r="D586" i="1" s="1"/>
  <c r="D587" i="1" a="1"/>
  <c r="D587" i="1" s="1"/>
  <c r="D588" i="1" a="1"/>
  <c r="D588" i="1" s="1"/>
  <c r="D589" i="1" a="1"/>
  <c r="D589" i="1"/>
  <c r="D590" i="1" a="1"/>
  <c r="D590" i="1" s="1"/>
  <c r="D591" i="1" a="1"/>
  <c r="D591" i="1" s="1"/>
  <c r="D592" i="1" a="1"/>
  <c r="D592" i="1" s="1"/>
  <c r="D593" i="1" a="1"/>
  <c r="D593" i="1"/>
  <c r="D594" i="1" a="1"/>
  <c r="D594" i="1" s="1"/>
  <c r="D595" i="1" a="1"/>
  <c r="D595" i="1" s="1"/>
  <c r="D596" i="1" a="1"/>
  <c r="D596" i="1" s="1"/>
  <c r="D597" i="1" a="1"/>
  <c r="D597" i="1" s="1"/>
  <c r="D598" i="1" a="1"/>
  <c r="D598" i="1" s="1"/>
  <c r="D599" i="1" a="1"/>
  <c r="D599" i="1" s="1"/>
  <c r="D600" i="1" a="1"/>
  <c r="D600" i="1" s="1"/>
  <c r="D601" i="1" a="1"/>
  <c r="D601" i="1"/>
  <c r="D602" i="1" a="1"/>
  <c r="D602" i="1" s="1"/>
  <c r="D603" i="1" a="1"/>
  <c r="D603" i="1" s="1"/>
  <c r="D604" i="1" a="1"/>
  <c r="D604" i="1" s="1"/>
  <c r="D605" i="1" a="1"/>
  <c r="D605" i="1"/>
  <c r="D606" i="1" a="1"/>
  <c r="D606" i="1" s="1"/>
  <c r="D607" i="1" a="1"/>
  <c r="D607" i="1" s="1"/>
  <c r="D608" i="1" a="1"/>
  <c r="D608" i="1" s="1"/>
  <c r="D609" i="1" a="1"/>
  <c r="D609" i="1" s="1"/>
  <c r="D610" i="1" a="1"/>
  <c r="D610" i="1" s="1"/>
  <c r="D611" i="1" a="1"/>
  <c r="D611" i="1" s="1"/>
  <c r="D612" i="1" a="1"/>
  <c r="D612" i="1" s="1"/>
  <c r="D613" i="1" a="1"/>
  <c r="D613" i="1" s="1"/>
  <c r="D614" i="1" a="1"/>
  <c r="D614" i="1" s="1"/>
  <c r="D615" i="1" a="1"/>
  <c r="D615" i="1" s="1"/>
  <c r="D616" i="1" a="1"/>
  <c r="D616" i="1" s="1"/>
  <c r="D617" i="1" a="1"/>
  <c r="D617" i="1"/>
  <c r="D618" i="1" a="1"/>
  <c r="D618" i="1" s="1"/>
  <c r="D619" i="1" a="1"/>
  <c r="D619" i="1" s="1"/>
  <c r="D620" i="1" a="1"/>
  <c r="D620" i="1" s="1"/>
  <c r="D621" i="1" a="1"/>
  <c r="D621" i="1"/>
  <c r="D622" i="1" a="1"/>
  <c r="D622" i="1" s="1"/>
  <c r="D623" i="1" a="1"/>
  <c r="D623" i="1" s="1"/>
  <c r="D624" i="1" a="1"/>
  <c r="D624" i="1" s="1"/>
  <c r="D625" i="1" a="1"/>
  <c r="D625" i="1"/>
  <c r="D626" i="1" a="1"/>
  <c r="D626" i="1" s="1"/>
  <c r="D627" i="1" a="1"/>
  <c r="D627" i="1" s="1"/>
  <c r="D628" i="1" a="1"/>
  <c r="D628" i="1" s="1"/>
  <c r="D629" i="1" a="1"/>
  <c r="D629" i="1" s="1"/>
  <c r="D630" i="1" a="1"/>
  <c r="D630" i="1" s="1"/>
  <c r="D631" i="1" a="1"/>
  <c r="D631" i="1" s="1"/>
  <c r="D632" i="1" a="1"/>
  <c r="D632" i="1" s="1"/>
  <c r="D633" i="1" a="1"/>
  <c r="D633" i="1"/>
  <c r="D634" i="1" a="1"/>
  <c r="D634" i="1" s="1"/>
  <c r="D635" i="1" a="1"/>
  <c r="D635" i="1"/>
  <c r="D636" i="1" a="1"/>
  <c r="D636" i="1"/>
  <c r="D637" i="1" a="1"/>
  <c r="D637" i="1"/>
  <c r="D638" i="1" a="1"/>
  <c r="D638" i="1" s="1"/>
  <c r="D639" i="1" a="1"/>
  <c r="D639" i="1" s="1"/>
  <c r="D640" i="1" a="1"/>
  <c r="D640" i="1"/>
  <c r="D641" i="1" a="1"/>
  <c r="D641" i="1"/>
  <c r="D642" i="1" a="1"/>
  <c r="D642" i="1" s="1"/>
  <c r="D643" i="1" a="1"/>
  <c r="D643" i="1" s="1"/>
  <c r="D644" i="1" a="1"/>
  <c r="D644" i="1"/>
  <c r="D645" i="1" a="1"/>
  <c r="D645" i="1"/>
  <c r="D646" i="1" a="1"/>
  <c r="D646" i="1" s="1"/>
  <c r="D647" i="1" a="1"/>
  <c r="D647" i="1" s="1"/>
  <c r="D648" i="1" a="1"/>
  <c r="D648" i="1"/>
  <c r="D649" i="1" a="1"/>
  <c r="D649" i="1"/>
  <c r="D650" i="1" a="1"/>
  <c r="D650" i="1" s="1"/>
  <c r="D651" i="1" a="1"/>
  <c r="D651" i="1" s="1"/>
  <c r="D652" i="1" a="1"/>
  <c r="D652" i="1"/>
  <c r="D653" i="1" a="1"/>
  <c r="D653" i="1"/>
  <c r="D654" i="1" a="1"/>
  <c r="D654" i="1" s="1"/>
  <c r="D655" i="1" a="1"/>
  <c r="D655" i="1" s="1"/>
  <c r="D656" i="1" a="1"/>
  <c r="D656" i="1"/>
  <c r="D657" i="1" a="1"/>
  <c r="D657" i="1"/>
  <c r="D658" i="1" a="1"/>
  <c r="D658" i="1" s="1"/>
  <c r="D659" i="1" a="1"/>
  <c r="D659" i="1" s="1"/>
  <c r="D660" i="1" a="1"/>
  <c r="D660" i="1"/>
  <c r="D661" i="1" a="1"/>
  <c r="D661" i="1"/>
  <c r="D662" i="1" a="1"/>
  <c r="D662" i="1" s="1"/>
  <c r="D663" i="1" a="1"/>
  <c r="D663" i="1" s="1"/>
  <c r="D664" i="1" a="1"/>
  <c r="D664" i="1"/>
  <c r="D665" i="1" a="1"/>
  <c r="D665" i="1"/>
  <c r="D666" i="1" a="1"/>
  <c r="D666" i="1" s="1"/>
  <c r="D667" i="1" a="1"/>
  <c r="D667" i="1" s="1"/>
  <c r="D668" i="1" a="1"/>
  <c r="D668" i="1"/>
  <c r="D669" i="1" a="1"/>
  <c r="D669" i="1"/>
  <c r="D670" i="1" a="1"/>
  <c r="D670" i="1" s="1"/>
  <c r="D671" i="1" a="1"/>
  <c r="D671" i="1" s="1"/>
  <c r="D672" i="1" a="1"/>
  <c r="D672" i="1"/>
  <c r="D673" i="1" a="1"/>
  <c r="D673" i="1"/>
  <c r="D674" i="1" a="1"/>
  <c r="D674" i="1" s="1"/>
  <c r="D675" i="1" a="1"/>
  <c r="D675" i="1" s="1"/>
  <c r="D676" i="1" a="1"/>
  <c r="D676" i="1"/>
  <c r="D677" i="1" a="1"/>
  <c r="D677" i="1"/>
  <c r="D678" i="1" a="1"/>
  <c r="D678" i="1" s="1"/>
  <c r="D679" i="1" a="1"/>
  <c r="D679" i="1" s="1"/>
  <c r="D680" i="1" a="1"/>
  <c r="D680" i="1"/>
  <c r="D681" i="1" a="1"/>
  <c r="D681" i="1"/>
  <c r="D682" i="1" a="1"/>
  <c r="D682" i="1" s="1"/>
  <c r="D683" i="1" a="1"/>
  <c r="D683" i="1" s="1"/>
  <c r="D684" i="1" a="1"/>
  <c r="D684" i="1"/>
  <c r="D685" i="1" a="1"/>
  <c r="D685" i="1"/>
  <c r="D686" i="1" a="1"/>
  <c r="D686" i="1" s="1"/>
  <c r="D687" i="1" a="1"/>
  <c r="D687" i="1" s="1"/>
  <c r="D688" i="1" a="1"/>
  <c r="D688" i="1"/>
  <c r="D689" i="1" a="1"/>
  <c r="D689" i="1"/>
  <c r="D690" i="1" a="1"/>
  <c r="D690" i="1" s="1"/>
  <c r="D691" i="1" a="1"/>
  <c r="D691" i="1" s="1"/>
  <c r="D692" i="1" a="1"/>
  <c r="D692" i="1"/>
  <c r="D693" i="1" a="1"/>
  <c r="D693" i="1"/>
  <c r="D694" i="1" a="1"/>
  <c r="D694" i="1" s="1"/>
  <c r="D695" i="1" a="1"/>
  <c r="D695" i="1" s="1"/>
  <c r="D696" i="1" a="1"/>
  <c r="D696" i="1"/>
  <c r="D697" i="1" a="1"/>
  <c r="D697" i="1"/>
  <c r="D698" i="1" a="1"/>
  <c r="D698" i="1" s="1"/>
  <c r="D699" i="1" a="1"/>
  <c r="D699" i="1" s="1"/>
  <c r="D700" i="1" a="1"/>
  <c r="D700" i="1"/>
  <c r="D701" i="1" a="1"/>
  <c r="D701" i="1"/>
  <c r="D702" i="1" a="1"/>
  <c r="D702" i="1" s="1"/>
  <c r="D703" i="1" a="1"/>
  <c r="D703" i="1" s="1"/>
  <c r="D704" i="1" a="1"/>
  <c r="D704" i="1"/>
  <c r="D705" i="1" a="1"/>
  <c r="D705" i="1"/>
  <c r="D706" i="1" a="1"/>
  <c r="D706" i="1" s="1"/>
  <c r="D707" i="1" a="1"/>
  <c r="D707" i="1" s="1"/>
  <c r="D708" i="1" a="1"/>
  <c r="D708" i="1"/>
  <c r="D709" i="1" a="1"/>
  <c r="D709" i="1"/>
  <c r="D710" i="1" a="1"/>
  <c r="D710" i="1" s="1"/>
  <c r="D711" i="1" a="1"/>
  <c r="D711" i="1" s="1"/>
  <c r="D712" i="1" a="1"/>
  <c r="D712" i="1"/>
  <c r="D713" i="1" a="1"/>
  <c r="D713" i="1"/>
  <c r="D714" i="1" a="1"/>
  <c r="D714" i="1" s="1"/>
  <c r="D715" i="1" a="1"/>
  <c r="D715" i="1" s="1"/>
  <c r="D716" i="1" a="1"/>
  <c r="D716" i="1"/>
  <c r="D717" i="1" a="1"/>
  <c r="D717" i="1"/>
  <c r="D718" i="1" a="1"/>
  <c r="D718" i="1" s="1"/>
  <c r="D719" i="1" a="1"/>
  <c r="D719" i="1" s="1"/>
  <c r="D720" i="1" a="1"/>
  <c r="D720" i="1"/>
  <c r="D721" i="1" a="1"/>
  <c r="D721" i="1"/>
  <c r="D722" i="1" a="1"/>
  <c r="D722" i="1" s="1"/>
  <c r="D723" i="1" a="1"/>
  <c r="D723" i="1" s="1"/>
  <c r="D724" i="1" a="1"/>
  <c r="D724" i="1"/>
  <c r="D725" i="1" a="1"/>
  <c r="D725" i="1"/>
  <c r="D726" i="1" a="1"/>
  <c r="D726" i="1" s="1"/>
  <c r="D727" i="1" a="1"/>
  <c r="D727" i="1" s="1"/>
  <c r="D728" i="1" a="1"/>
  <c r="D728" i="1"/>
  <c r="D729" i="1" a="1"/>
  <c r="D729" i="1"/>
  <c r="D730" i="1" a="1"/>
  <c r="D730" i="1" s="1"/>
  <c r="D731" i="1" a="1"/>
  <c r="D731" i="1" s="1"/>
  <c r="D732" i="1" a="1"/>
  <c r="D732" i="1"/>
  <c r="D733" i="1" a="1"/>
  <c r="D733" i="1"/>
  <c r="D734" i="1" a="1"/>
  <c r="D734" i="1" s="1"/>
  <c r="D735" i="1" a="1"/>
  <c r="D735" i="1" s="1"/>
  <c r="D736" i="1" a="1"/>
  <c r="D736" i="1"/>
  <c r="D737" i="1" a="1"/>
  <c r="D737" i="1"/>
  <c r="D738" i="1" a="1"/>
  <c r="D738" i="1" s="1"/>
  <c r="D739" i="1" a="1"/>
  <c r="D739" i="1" s="1"/>
  <c r="D740" i="1" a="1"/>
  <c r="D740" i="1"/>
  <c r="D741" i="1" a="1"/>
  <c r="D741" i="1"/>
  <c r="D742" i="1" a="1"/>
  <c r="D742" i="1" s="1"/>
  <c r="D743" i="1" a="1"/>
  <c r="D743" i="1" s="1"/>
  <c r="D744" i="1" a="1"/>
  <c r="D744" i="1"/>
  <c r="D745" i="1" a="1"/>
  <c r="D745" i="1"/>
  <c r="D746" i="1" a="1"/>
  <c r="D746" i="1" s="1"/>
  <c r="D747" i="1" a="1"/>
  <c r="D747" i="1" s="1"/>
  <c r="D748" i="1" a="1"/>
  <c r="D748" i="1"/>
  <c r="D749" i="1" a="1"/>
  <c r="D749" i="1"/>
  <c r="D750" i="1" a="1"/>
  <c r="D750" i="1" s="1"/>
  <c r="D751" i="1" a="1"/>
  <c r="D751" i="1" s="1"/>
  <c r="D752" i="1" a="1"/>
  <c r="D752" i="1"/>
  <c r="D753" i="1" a="1"/>
  <c r="D753" i="1"/>
  <c r="D754" i="1" a="1"/>
  <c r="D754" i="1" s="1"/>
  <c r="D755" i="1" a="1"/>
  <c r="D755" i="1" s="1"/>
  <c r="D756" i="1" a="1"/>
  <c r="D756" i="1"/>
  <c r="D757" i="1" a="1"/>
  <c r="D757" i="1"/>
  <c r="D758" i="1" a="1"/>
  <c r="D758" i="1" s="1"/>
  <c r="D759" i="1" a="1"/>
  <c r="D759" i="1" s="1"/>
  <c r="D760" i="1" a="1"/>
  <c r="D760" i="1"/>
  <c r="D761" i="1" a="1"/>
  <c r="D761" i="1"/>
  <c r="D762" i="1" a="1"/>
  <c r="D762" i="1" s="1"/>
  <c r="D763" i="1" a="1"/>
  <c r="D763" i="1" s="1"/>
  <c r="D764" i="1" a="1"/>
  <c r="D764" i="1"/>
  <c r="D765" i="1" a="1"/>
  <c r="D765" i="1"/>
  <c r="D766" i="1" a="1"/>
  <c r="D766" i="1" s="1"/>
  <c r="D767" i="1" a="1"/>
  <c r="D767" i="1" s="1"/>
  <c r="D768" i="1" a="1"/>
  <c r="D768" i="1"/>
  <c r="D769" i="1" a="1"/>
  <c r="D769" i="1"/>
  <c r="D770" i="1" a="1"/>
  <c r="D770" i="1" s="1"/>
  <c r="D771" i="1" a="1"/>
  <c r="D771" i="1" s="1"/>
  <c r="D772" i="1" a="1"/>
  <c r="D772" i="1"/>
  <c r="D773" i="1" a="1"/>
  <c r="D773" i="1"/>
  <c r="D774" i="1" a="1"/>
  <c r="D774" i="1" s="1"/>
  <c r="D775" i="1" a="1"/>
  <c r="D775" i="1" s="1"/>
  <c r="D776" i="1" a="1"/>
  <c r="D776" i="1"/>
  <c r="D777" i="1" a="1"/>
  <c r="D777" i="1"/>
  <c r="D778" i="1" a="1"/>
  <c r="D778" i="1" s="1"/>
  <c r="D779" i="1" a="1"/>
  <c r="D779" i="1" s="1"/>
  <c r="D780" i="1" a="1"/>
  <c r="D780" i="1"/>
  <c r="D781" i="1" a="1"/>
  <c r="D781" i="1"/>
  <c r="D782" i="1" a="1"/>
  <c r="D782" i="1" s="1"/>
  <c r="D783" i="1" a="1"/>
  <c r="D783" i="1" s="1"/>
  <c r="D784" i="1" a="1"/>
  <c r="D784" i="1"/>
  <c r="D785" i="1" a="1"/>
  <c r="D785" i="1"/>
  <c r="D786" i="1" a="1"/>
  <c r="D786" i="1" s="1"/>
  <c r="D787" i="1" a="1"/>
  <c r="D787" i="1" s="1"/>
  <c r="D788" i="1" a="1"/>
  <c r="D788" i="1"/>
  <c r="D789" i="1" a="1"/>
  <c r="D789" i="1"/>
  <c r="D790" i="1" a="1"/>
  <c r="D790" i="1" s="1"/>
  <c r="D791" i="1" a="1"/>
  <c r="D791" i="1" s="1"/>
  <c r="D792" i="1" a="1"/>
  <c r="D792" i="1"/>
  <c r="D793" i="1" a="1"/>
  <c r="D793" i="1"/>
  <c r="D794" i="1" a="1"/>
  <c r="D794" i="1" s="1"/>
  <c r="D795" i="1" a="1"/>
  <c r="D795" i="1" s="1"/>
  <c r="D796" i="1" a="1"/>
  <c r="D796" i="1"/>
  <c r="D797" i="1" a="1"/>
  <c r="D797" i="1"/>
  <c r="D798" i="1" a="1"/>
  <c r="D798" i="1" s="1"/>
  <c r="D799" i="1" a="1"/>
  <c r="D799" i="1" s="1"/>
  <c r="D800" i="1" a="1"/>
  <c r="D800" i="1"/>
  <c r="D801" i="1" a="1"/>
  <c r="D801" i="1"/>
  <c r="D802" i="1" a="1"/>
  <c r="D802" i="1" s="1"/>
  <c r="D803" i="1" a="1"/>
  <c r="D803" i="1" s="1"/>
  <c r="D804" i="1" a="1"/>
  <c r="D804" i="1"/>
  <c r="D805" i="1" a="1"/>
  <c r="D805" i="1"/>
  <c r="D806" i="1" a="1"/>
  <c r="D806" i="1" s="1"/>
  <c r="D807" i="1" a="1"/>
  <c r="D807" i="1" s="1"/>
  <c r="D808" i="1" a="1"/>
  <c r="D808" i="1"/>
  <c r="D809" i="1" a="1"/>
  <c r="D809" i="1"/>
  <c r="D810" i="1" a="1"/>
  <c r="D810" i="1" s="1"/>
  <c r="D811" i="1" a="1"/>
  <c r="D811" i="1" s="1"/>
  <c r="D812" i="1" a="1"/>
  <c r="D812" i="1"/>
  <c r="D813" i="1" a="1"/>
  <c r="D813" i="1"/>
  <c r="D814" i="1" a="1"/>
  <c r="D814" i="1" s="1"/>
  <c r="D815" i="1" a="1"/>
  <c r="D815" i="1" s="1"/>
  <c r="D816" i="1" a="1"/>
  <c r="D816" i="1"/>
  <c r="D817" i="1" a="1"/>
  <c r="D817" i="1"/>
  <c r="D818" i="1" a="1"/>
  <c r="D818" i="1" s="1"/>
  <c r="D819" i="1" a="1"/>
  <c r="D819" i="1" s="1"/>
  <c r="D820" i="1" a="1"/>
  <c r="D820" i="1"/>
  <c r="D821" i="1" a="1"/>
  <c r="D821" i="1"/>
  <c r="D822" i="1" a="1"/>
  <c r="D822" i="1" s="1"/>
  <c r="D823" i="1" a="1"/>
  <c r="D823" i="1" s="1"/>
  <c r="D824" i="1" a="1"/>
  <c r="D824" i="1"/>
  <c r="D825" i="1" a="1"/>
  <c r="D825" i="1"/>
  <c r="D826" i="1" a="1"/>
  <c r="D826" i="1" s="1"/>
  <c r="D827" i="1" a="1"/>
  <c r="D827" i="1" s="1"/>
  <c r="D828" i="1" a="1"/>
  <c r="D828" i="1"/>
  <c r="D829" i="1" a="1"/>
  <c r="D829" i="1"/>
  <c r="D830" i="1" a="1"/>
  <c r="D830" i="1" s="1"/>
  <c r="D831" i="1" a="1"/>
  <c r="D831" i="1" s="1"/>
  <c r="D832" i="1" a="1"/>
  <c r="D832" i="1"/>
  <c r="D2" i="1" a="1"/>
  <c r="D2" i="1" s="1"/>
  <c r="C3" i="1" a="1"/>
  <c r="C3" i="1" s="1"/>
  <c r="C4" i="1" a="1"/>
  <c r="C4" i="1" s="1"/>
  <c r="C5" i="1" a="1"/>
  <c r="C5" i="1" s="1"/>
  <c r="C6" i="1" a="1"/>
  <c r="C6" i="1" s="1"/>
  <c r="C7" i="1" a="1"/>
  <c r="C7" i="1" s="1"/>
  <c r="C8" i="1" a="1"/>
  <c r="C8" i="1" s="1"/>
  <c r="C9" i="1" a="1"/>
  <c r="C9" i="1" s="1"/>
  <c r="C10" i="1" a="1"/>
  <c r="C10" i="1" s="1"/>
  <c r="C11" i="1" a="1"/>
  <c r="C11" i="1" s="1"/>
  <c r="C12" i="1" a="1"/>
  <c r="C12" i="1" s="1"/>
  <c r="C13" i="1" a="1"/>
  <c r="C13" i="1" s="1"/>
  <c r="C14" i="1" a="1"/>
  <c r="C14" i="1" s="1"/>
  <c r="C15" i="1" a="1"/>
  <c r="C15" i="1" s="1"/>
  <c r="C16" i="1" a="1"/>
  <c r="C16" i="1" s="1"/>
  <c r="C17" i="1" a="1"/>
  <c r="C17" i="1" s="1"/>
  <c r="C18" i="1" a="1"/>
  <c r="C18" i="1" s="1"/>
  <c r="C19" i="1" a="1"/>
  <c r="C19" i="1" s="1"/>
  <c r="C20" i="1" a="1"/>
  <c r="C20" i="1" s="1"/>
  <c r="C21" i="1" a="1"/>
  <c r="C21" i="1" s="1"/>
  <c r="C22" i="1" a="1"/>
  <c r="C22" i="1" s="1"/>
  <c r="C23" i="1" a="1"/>
  <c r="C23" i="1" s="1"/>
  <c r="C24" i="1" a="1"/>
  <c r="C24" i="1" s="1"/>
  <c r="C25" i="1" a="1"/>
  <c r="C25" i="1" s="1"/>
  <c r="C26" i="1" a="1"/>
  <c r="C26" i="1" s="1"/>
  <c r="C27" i="1" a="1"/>
  <c r="C27" i="1" s="1"/>
  <c r="C28" i="1" a="1"/>
  <c r="C28" i="1" s="1"/>
  <c r="C29" i="1" a="1"/>
  <c r="C29" i="1" s="1"/>
  <c r="C30" i="1" a="1"/>
  <c r="C30" i="1" s="1"/>
  <c r="C31" i="1" a="1"/>
  <c r="C31" i="1" s="1"/>
  <c r="C32" i="1" a="1"/>
  <c r="C32" i="1" s="1"/>
  <c r="C33" i="1" a="1"/>
  <c r="C33" i="1" s="1"/>
  <c r="C34" i="1" a="1"/>
  <c r="C34" i="1" s="1"/>
  <c r="C35" i="1" a="1"/>
  <c r="C35" i="1" s="1"/>
  <c r="C36" i="1" a="1"/>
  <c r="C36" i="1" s="1"/>
  <c r="C37" i="1" a="1"/>
  <c r="C37" i="1" s="1"/>
  <c r="C38" i="1" a="1"/>
  <c r="C38" i="1" s="1"/>
  <c r="C39" i="1" a="1"/>
  <c r="C39" i="1" s="1"/>
  <c r="C40" i="1" a="1"/>
  <c r="C40" i="1" s="1"/>
  <c r="C41" i="1" a="1"/>
  <c r="C41" i="1" s="1"/>
  <c r="C42" i="1" a="1"/>
  <c r="C42" i="1" s="1"/>
  <c r="C43" i="1" a="1"/>
  <c r="C43" i="1" s="1"/>
  <c r="C44" i="1" a="1"/>
  <c r="C44" i="1" s="1"/>
  <c r="C45" i="1" a="1"/>
  <c r="C45" i="1" s="1"/>
  <c r="C46" i="1" a="1"/>
  <c r="C46" i="1" s="1"/>
  <c r="C47" i="1" a="1"/>
  <c r="C47" i="1" s="1"/>
  <c r="C48" i="1" a="1"/>
  <c r="C48" i="1" s="1"/>
  <c r="C49" i="1" a="1"/>
  <c r="C49" i="1" s="1"/>
  <c r="C50" i="1" a="1"/>
  <c r="C50" i="1" s="1"/>
  <c r="C51" i="1" a="1"/>
  <c r="C51" i="1" s="1"/>
  <c r="C52" i="1" a="1"/>
  <c r="C52" i="1" s="1"/>
  <c r="C53" i="1" a="1"/>
  <c r="C53" i="1" s="1"/>
  <c r="C54" i="1" a="1"/>
  <c r="C54" i="1" s="1"/>
  <c r="C55" i="1" a="1"/>
  <c r="C55" i="1" s="1"/>
  <c r="C56" i="1" a="1"/>
  <c r="C56" i="1" s="1"/>
  <c r="C57" i="1" a="1"/>
  <c r="C57" i="1" s="1"/>
  <c r="C58" i="1" a="1"/>
  <c r="C58" i="1" s="1"/>
  <c r="C59" i="1" a="1"/>
  <c r="C59" i="1" s="1"/>
  <c r="C60" i="1" a="1"/>
  <c r="C60" i="1" s="1"/>
  <c r="C61" i="1" a="1"/>
  <c r="C61" i="1" s="1"/>
  <c r="C62" i="1" a="1"/>
  <c r="C62" i="1" s="1"/>
  <c r="C63" i="1" a="1"/>
  <c r="C63" i="1" s="1"/>
  <c r="C64" i="1" a="1"/>
  <c r="C64" i="1" s="1"/>
  <c r="C65" i="1" a="1"/>
  <c r="C65" i="1" s="1"/>
  <c r="C66" i="1" a="1"/>
  <c r="C66" i="1" s="1"/>
  <c r="C67" i="1" a="1"/>
  <c r="C67" i="1" s="1"/>
  <c r="C68" i="1" a="1"/>
  <c r="C68" i="1" s="1"/>
  <c r="C69" i="1" a="1"/>
  <c r="C69" i="1" s="1"/>
  <c r="C70" i="1" a="1"/>
  <c r="C70" i="1" s="1"/>
  <c r="C71" i="1" a="1"/>
  <c r="C71" i="1" s="1"/>
  <c r="C72" i="1" a="1"/>
  <c r="C72" i="1" s="1"/>
  <c r="C73" i="1" a="1"/>
  <c r="C73" i="1" s="1"/>
  <c r="C74" i="1" a="1"/>
  <c r="C74" i="1" s="1"/>
  <c r="C75" i="1" a="1"/>
  <c r="C75" i="1" s="1"/>
  <c r="C76" i="1" a="1"/>
  <c r="C76" i="1" s="1"/>
  <c r="C77" i="1" a="1"/>
  <c r="C77" i="1" s="1"/>
  <c r="C78" i="1" a="1"/>
  <c r="C78" i="1" s="1"/>
  <c r="C79" i="1" a="1"/>
  <c r="C79" i="1" s="1"/>
  <c r="C80" i="1" a="1"/>
  <c r="C80" i="1" s="1"/>
  <c r="C81" i="1" a="1"/>
  <c r="C81" i="1" s="1"/>
  <c r="C82" i="1" a="1"/>
  <c r="C82" i="1" s="1"/>
  <c r="C83" i="1" a="1"/>
  <c r="C83" i="1" s="1"/>
  <c r="C84" i="1" a="1"/>
  <c r="C84" i="1" s="1"/>
  <c r="C85" i="1" a="1"/>
  <c r="C85" i="1" s="1"/>
  <c r="C86" i="1" a="1"/>
  <c r="C86" i="1" s="1"/>
  <c r="C87" i="1" a="1"/>
  <c r="C87" i="1" s="1"/>
  <c r="C88" i="1" a="1"/>
  <c r="C88" i="1" s="1"/>
  <c r="C89" i="1" a="1"/>
  <c r="C89" i="1" s="1"/>
  <c r="C90" i="1" a="1"/>
  <c r="C90" i="1" s="1"/>
  <c r="C91" i="1" a="1"/>
  <c r="C91" i="1" s="1"/>
  <c r="C92" i="1" a="1"/>
  <c r="C92" i="1" s="1"/>
  <c r="C93" i="1" a="1"/>
  <c r="C93" i="1" s="1"/>
  <c r="C94" i="1" a="1"/>
  <c r="C94" i="1" s="1"/>
  <c r="C95" i="1" a="1"/>
  <c r="C95" i="1" s="1"/>
  <c r="C96" i="1" a="1"/>
  <c r="C96" i="1" s="1"/>
  <c r="C97" i="1" a="1"/>
  <c r="C97" i="1" s="1"/>
  <c r="C98" i="1" a="1"/>
  <c r="C98" i="1" s="1"/>
  <c r="C99" i="1" a="1"/>
  <c r="C99" i="1" s="1"/>
  <c r="C100" i="1" a="1"/>
  <c r="C100" i="1" s="1"/>
  <c r="C101" i="1" a="1"/>
  <c r="C101" i="1" s="1"/>
  <c r="C102" i="1" a="1"/>
  <c r="C102" i="1" s="1"/>
  <c r="C103" i="1" a="1"/>
  <c r="C103" i="1" s="1"/>
  <c r="C104" i="1" a="1"/>
  <c r="C104" i="1" s="1"/>
  <c r="C105" i="1" a="1"/>
  <c r="C105" i="1" s="1"/>
  <c r="C106" i="1" a="1"/>
  <c r="C106" i="1" s="1"/>
  <c r="C107" i="1" a="1"/>
  <c r="C107" i="1" s="1"/>
  <c r="C108" i="1" a="1"/>
  <c r="C108" i="1" s="1"/>
  <c r="C109" i="1" a="1"/>
  <c r="C109" i="1" s="1"/>
  <c r="C110" i="1" a="1"/>
  <c r="C110" i="1" s="1"/>
  <c r="C111" i="1" a="1"/>
  <c r="C111" i="1" s="1"/>
  <c r="C112" i="1" a="1"/>
  <c r="C112" i="1" s="1"/>
  <c r="C113" i="1" a="1"/>
  <c r="C113" i="1" s="1"/>
  <c r="C114" i="1" a="1"/>
  <c r="C114" i="1" s="1"/>
  <c r="C115" i="1" a="1"/>
  <c r="C115" i="1" s="1"/>
  <c r="C116" i="1" a="1"/>
  <c r="C116" i="1" s="1"/>
  <c r="C117" i="1" a="1"/>
  <c r="C117" i="1" s="1"/>
  <c r="C118" i="1" a="1"/>
  <c r="C118" i="1" s="1"/>
  <c r="C119" i="1" a="1"/>
  <c r="C119" i="1" s="1"/>
  <c r="C120" i="1" a="1"/>
  <c r="C120" i="1" s="1"/>
  <c r="C121" i="1" a="1"/>
  <c r="C121" i="1" s="1"/>
  <c r="C122" i="1" a="1"/>
  <c r="C122" i="1" s="1"/>
  <c r="C123" i="1" a="1"/>
  <c r="C123" i="1" s="1"/>
  <c r="C124" i="1" a="1"/>
  <c r="C124" i="1" s="1"/>
  <c r="C125" i="1" a="1"/>
  <c r="C125" i="1" s="1"/>
  <c r="C126" i="1" a="1"/>
  <c r="C126" i="1" s="1"/>
  <c r="C127" i="1" a="1"/>
  <c r="C127" i="1" s="1"/>
  <c r="C128" i="1" a="1"/>
  <c r="C128" i="1" s="1"/>
  <c r="C129" i="1" a="1"/>
  <c r="C129" i="1" s="1"/>
  <c r="C130" i="1" a="1"/>
  <c r="C130" i="1" s="1"/>
  <c r="C131" i="1" a="1"/>
  <c r="C131" i="1" s="1"/>
  <c r="C132" i="1" a="1"/>
  <c r="C132" i="1" s="1"/>
  <c r="C133" i="1" a="1"/>
  <c r="C133" i="1" s="1"/>
  <c r="C134" i="1" a="1"/>
  <c r="C134" i="1" s="1"/>
  <c r="C135" i="1" a="1"/>
  <c r="C135" i="1" s="1"/>
  <c r="C136" i="1" a="1"/>
  <c r="C136" i="1" s="1"/>
  <c r="C137" i="1" a="1"/>
  <c r="C137" i="1" s="1"/>
  <c r="C138" i="1" a="1"/>
  <c r="C138" i="1" s="1"/>
  <c r="C139" i="1" a="1"/>
  <c r="C139" i="1" s="1"/>
  <c r="C140" i="1" a="1"/>
  <c r="C140" i="1" s="1"/>
  <c r="C141" i="1" a="1"/>
  <c r="C141" i="1" s="1"/>
  <c r="C142" i="1" a="1"/>
  <c r="C142" i="1" s="1"/>
  <c r="C143" i="1" a="1"/>
  <c r="C143" i="1" s="1"/>
  <c r="C144" i="1" a="1"/>
  <c r="C144" i="1" s="1"/>
  <c r="C145" i="1" a="1"/>
  <c r="C145" i="1" s="1"/>
  <c r="C146" i="1" a="1"/>
  <c r="C146" i="1" s="1"/>
  <c r="C147" i="1" a="1"/>
  <c r="C147" i="1" s="1"/>
  <c r="C148" i="1" a="1"/>
  <c r="C148" i="1" s="1"/>
  <c r="C149" i="1" a="1"/>
  <c r="C149" i="1" s="1"/>
  <c r="C150" i="1" a="1"/>
  <c r="C150" i="1" s="1"/>
  <c r="C151" i="1" a="1"/>
  <c r="C151" i="1" s="1"/>
  <c r="C152" i="1" a="1"/>
  <c r="C152" i="1" s="1"/>
  <c r="C153" i="1" a="1"/>
  <c r="C153" i="1" s="1"/>
  <c r="C154" i="1" a="1"/>
  <c r="C154" i="1" s="1"/>
  <c r="C155" i="1" a="1"/>
  <c r="C155" i="1" s="1"/>
  <c r="C156" i="1" a="1"/>
  <c r="C156" i="1" s="1"/>
  <c r="C157" i="1" a="1"/>
  <c r="C157" i="1" s="1"/>
  <c r="C158" i="1" a="1"/>
  <c r="C158" i="1" s="1"/>
  <c r="C159" i="1" a="1"/>
  <c r="C159" i="1" s="1"/>
  <c r="C160" i="1" a="1"/>
  <c r="C160" i="1" s="1"/>
  <c r="C161" i="1" a="1"/>
  <c r="C161" i="1" s="1"/>
  <c r="C162" i="1" a="1"/>
  <c r="C162" i="1" s="1"/>
  <c r="C163" i="1" a="1"/>
  <c r="C163" i="1" s="1"/>
  <c r="C164" i="1" a="1"/>
  <c r="C164" i="1" s="1"/>
  <c r="C165" i="1" a="1"/>
  <c r="C165" i="1" s="1"/>
  <c r="C166" i="1" a="1"/>
  <c r="C166" i="1" s="1"/>
  <c r="C167" i="1" a="1"/>
  <c r="C167" i="1" s="1"/>
  <c r="C168" i="1" a="1"/>
  <c r="C168" i="1" s="1"/>
  <c r="C169" i="1" a="1"/>
  <c r="C169" i="1" s="1"/>
  <c r="C170" i="1" a="1"/>
  <c r="C170" i="1" s="1"/>
  <c r="C171" i="1" a="1"/>
  <c r="C171" i="1" s="1"/>
  <c r="C172" i="1" a="1"/>
  <c r="C172" i="1" s="1"/>
  <c r="C173" i="1" a="1"/>
  <c r="C173" i="1" s="1"/>
  <c r="C174" i="1" a="1"/>
  <c r="C174" i="1" s="1"/>
  <c r="C175" i="1" a="1"/>
  <c r="C175" i="1" s="1"/>
  <c r="C176" i="1" a="1"/>
  <c r="C176" i="1" s="1"/>
  <c r="C177" i="1" a="1"/>
  <c r="C177" i="1" s="1"/>
  <c r="C178" i="1" a="1"/>
  <c r="C178" i="1" s="1"/>
  <c r="C179" i="1" a="1"/>
  <c r="C179" i="1" s="1"/>
  <c r="C180" i="1" a="1"/>
  <c r="C180" i="1" s="1"/>
  <c r="C181" i="1" a="1"/>
  <c r="C181" i="1" s="1"/>
  <c r="C182" i="1" a="1"/>
  <c r="C182" i="1" s="1"/>
  <c r="C183" i="1" a="1"/>
  <c r="C183" i="1" s="1"/>
  <c r="C184" i="1" a="1"/>
  <c r="C184" i="1" s="1"/>
  <c r="C185" i="1" a="1"/>
  <c r="C185" i="1" s="1"/>
  <c r="C186" i="1" a="1"/>
  <c r="C186" i="1" s="1"/>
  <c r="C187" i="1" a="1"/>
  <c r="C187" i="1" s="1"/>
  <c r="C188" i="1" a="1"/>
  <c r="C188" i="1" s="1"/>
  <c r="C189" i="1" a="1"/>
  <c r="C189" i="1" s="1"/>
  <c r="C190" i="1" a="1"/>
  <c r="C190" i="1" s="1"/>
  <c r="C191" i="1" a="1"/>
  <c r="C191" i="1" s="1"/>
  <c r="C192" i="1" a="1"/>
  <c r="C192" i="1" s="1"/>
  <c r="C193" i="1" a="1"/>
  <c r="C193" i="1" s="1"/>
  <c r="C194" i="1" a="1"/>
  <c r="C194" i="1" s="1"/>
  <c r="C195" i="1" a="1"/>
  <c r="C195" i="1" s="1"/>
  <c r="C196" i="1" a="1"/>
  <c r="C196" i="1" s="1"/>
  <c r="C197" i="1" a="1"/>
  <c r="C197" i="1" s="1"/>
  <c r="C198" i="1" a="1"/>
  <c r="C198" i="1" s="1"/>
  <c r="C199" i="1" a="1"/>
  <c r="C199" i="1" s="1"/>
  <c r="C200" i="1" a="1"/>
  <c r="C200" i="1" s="1"/>
  <c r="C201" i="1" a="1"/>
  <c r="C201" i="1" s="1"/>
  <c r="C202" i="1" a="1"/>
  <c r="C202" i="1" s="1"/>
  <c r="C203" i="1" a="1"/>
  <c r="C203" i="1" s="1"/>
  <c r="C204" i="1" a="1"/>
  <c r="C204" i="1" s="1"/>
  <c r="C205" i="1" a="1"/>
  <c r="C205" i="1" s="1"/>
  <c r="C206" i="1" a="1"/>
  <c r="C206" i="1" s="1"/>
  <c r="C207" i="1" a="1"/>
  <c r="C207" i="1" s="1"/>
  <c r="C208" i="1" a="1"/>
  <c r="C208" i="1" s="1"/>
  <c r="C209" i="1" a="1"/>
  <c r="C209" i="1" s="1"/>
  <c r="C210" i="1" a="1"/>
  <c r="C210" i="1" s="1"/>
  <c r="C211" i="1" a="1"/>
  <c r="C211" i="1" s="1"/>
  <c r="C212" i="1" a="1"/>
  <c r="C212" i="1" s="1"/>
  <c r="C213" i="1" a="1"/>
  <c r="C213" i="1" s="1"/>
  <c r="C214" i="1" a="1"/>
  <c r="C214" i="1" s="1"/>
  <c r="C215" i="1" a="1"/>
  <c r="C215" i="1" s="1"/>
  <c r="C216" i="1" a="1"/>
  <c r="C216" i="1" s="1"/>
  <c r="C217" i="1" a="1"/>
  <c r="C217" i="1" s="1"/>
  <c r="C218" i="1" a="1"/>
  <c r="C218" i="1" s="1"/>
  <c r="C219" i="1" a="1"/>
  <c r="C219" i="1" s="1"/>
  <c r="C220" i="1" a="1"/>
  <c r="C220" i="1" s="1"/>
  <c r="C221" i="1" a="1"/>
  <c r="C221" i="1" s="1"/>
  <c r="C222" i="1" a="1"/>
  <c r="C222" i="1" s="1"/>
  <c r="C223" i="1" a="1"/>
  <c r="C223" i="1" s="1"/>
  <c r="C224" i="1" a="1"/>
  <c r="C224" i="1" s="1"/>
  <c r="C225" i="1" a="1"/>
  <c r="C225" i="1" s="1"/>
  <c r="C226" i="1" a="1"/>
  <c r="C226" i="1" s="1"/>
  <c r="C227" i="1" a="1"/>
  <c r="C227" i="1" s="1"/>
  <c r="C228" i="1" a="1"/>
  <c r="C228" i="1" s="1"/>
  <c r="C229" i="1" a="1"/>
  <c r="C229" i="1" s="1"/>
  <c r="C230" i="1" a="1"/>
  <c r="C230" i="1" s="1"/>
  <c r="C231" i="1" a="1"/>
  <c r="C231" i="1" s="1"/>
  <c r="C232" i="1" a="1"/>
  <c r="C232" i="1" s="1"/>
  <c r="C233" i="1" a="1"/>
  <c r="C233" i="1" s="1"/>
  <c r="C234" i="1" a="1"/>
  <c r="C234" i="1" s="1"/>
  <c r="C235" i="1" a="1"/>
  <c r="C235" i="1" s="1"/>
  <c r="C236" i="1" a="1"/>
  <c r="C236" i="1" s="1"/>
  <c r="C237" i="1" a="1"/>
  <c r="C237" i="1" s="1"/>
  <c r="C238" i="1" a="1"/>
  <c r="C238" i="1" s="1"/>
  <c r="C239" i="1" a="1"/>
  <c r="C239" i="1" s="1"/>
  <c r="C240" i="1" a="1"/>
  <c r="C240" i="1" s="1"/>
  <c r="C241" i="1" a="1"/>
  <c r="C241" i="1" s="1"/>
  <c r="C242" i="1" a="1"/>
  <c r="C242" i="1" s="1"/>
  <c r="C243" i="1" a="1"/>
  <c r="C243" i="1" s="1"/>
  <c r="C244" i="1" a="1"/>
  <c r="C244" i="1" s="1"/>
  <c r="C245" i="1" a="1"/>
  <c r="C245" i="1" s="1"/>
  <c r="C246" i="1" a="1"/>
  <c r="C246" i="1" s="1"/>
  <c r="C247" i="1" a="1"/>
  <c r="C247" i="1" s="1"/>
  <c r="C248" i="1" a="1"/>
  <c r="C248" i="1" s="1"/>
  <c r="C249" i="1" a="1"/>
  <c r="C249" i="1" s="1"/>
  <c r="C250" i="1" a="1"/>
  <c r="C250" i="1" s="1"/>
  <c r="C251" i="1" a="1"/>
  <c r="C251" i="1" s="1"/>
  <c r="C252" i="1" a="1"/>
  <c r="C252" i="1" s="1"/>
  <c r="C253" i="1" a="1"/>
  <c r="C253" i="1" s="1"/>
  <c r="C254" i="1" a="1"/>
  <c r="C254" i="1" s="1"/>
  <c r="C255" i="1" a="1"/>
  <c r="C255" i="1" s="1"/>
  <c r="C256" i="1" a="1"/>
  <c r="C256" i="1" s="1"/>
  <c r="C257" i="1" a="1"/>
  <c r="C257" i="1" s="1"/>
  <c r="C258" i="1" a="1"/>
  <c r="C258" i="1" s="1"/>
  <c r="C259" i="1" a="1"/>
  <c r="C259" i="1" s="1"/>
  <c r="C260" i="1" a="1"/>
  <c r="C260" i="1" s="1"/>
  <c r="C261" i="1" a="1"/>
  <c r="C261" i="1" s="1"/>
  <c r="C262" i="1" a="1"/>
  <c r="C262" i="1" s="1"/>
  <c r="C263" i="1" a="1"/>
  <c r="C263" i="1" s="1"/>
  <c r="C264" i="1" a="1"/>
  <c r="C264" i="1" s="1"/>
  <c r="C265" i="1" a="1"/>
  <c r="C265" i="1" s="1"/>
  <c r="C266" i="1" a="1"/>
  <c r="C266" i="1" s="1"/>
  <c r="C267" i="1" a="1"/>
  <c r="C267" i="1" s="1"/>
  <c r="C268" i="1" a="1"/>
  <c r="C268" i="1" s="1"/>
  <c r="C269" i="1" a="1"/>
  <c r="C269" i="1" s="1"/>
  <c r="C270" i="1" a="1"/>
  <c r="C270" i="1" s="1"/>
  <c r="C271" i="1" a="1"/>
  <c r="C271" i="1" s="1"/>
  <c r="C272" i="1" a="1"/>
  <c r="C272" i="1" s="1"/>
  <c r="C273" i="1" a="1"/>
  <c r="C273" i="1" s="1"/>
  <c r="C274" i="1" a="1"/>
  <c r="C274" i="1" s="1"/>
  <c r="C275" i="1" a="1"/>
  <c r="C275" i="1" s="1"/>
  <c r="C276" i="1" a="1"/>
  <c r="C276" i="1" s="1"/>
  <c r="C277" i="1" a="1"/>
  <c r="C277" i="1" s="1"/>
  <c r="C278" i="1" a="1"/>
  <c r="C278" i="1" s="1"/>
  <c r="C279" i="1" a="1"/>
  <c r="C279" i="1" s="1"/>
  <c r="C280" i="1" a="1"/>
  <c r="C280" i="1" s="1"/>
  <c r="C281" i="1" a="1"/>
  <c r="C281" i="1" s="1"/>
  <c r="C282" i="1" a="1"/>
  <c r="C282" i="1" s="1"/>
  <c r="C283" i="1" a="1"/>
  <c r="C283" i="1" s="1"/>
  <c r="C284" i="1" a="1"/>
  <c r="C284" i="1" s="1"/>
  <c r="C285" i="1" a="1"/>
  <c r="C285" i="1" s="1"/>
  <c r="C286" i="1" a="1"/>
  <c r="C286" i="1" s="1"/>
  <c r="C287" i="1" a="1"/>
  <c r="C287" i="1" s="1"/>
  <c r="C288" i="1" a="1"/>
  <c r="C288" i="1" s="1"/>
  <c r="C289" i="1" a="1"/>
  <c r="C289" i="1" s="1"/>
  <c r="C290" i="1" a="1"/>
  <c r="C290" i="1" s="1"/>
  <c r="C291" i="1" a="1"/>
  <c r="C291" i="1" s="1"/>
  <c r="C292" i="1" a="1"/>
  <c r="C292" i="1" s="1"/>
  <c r="C293" i="1" a="1"/>
  <c r="C293" i="1" s="1"/>
  <c r="C294" i="1" a="1"/>
  <c r="C294" i="1" s="1"/>
  <c r="C295" i="1" a="1"/>
  <c r="C295" i="1" s="1"/>
  <c r="C296" i="1" a="1"/>
  <c r="C296" i="1" s="1"/>
  <c r="C297" i="1" a="1"/>
  <c r="C297" i="1" s="1"/>
  <c r="C298" i="1" a="1"/>
  <c r="C298" i="1" s="1"/>
  <c r="C299" i="1" a="1"/>
  <c r="C299" i="1" s="1"/>
  <c r="C300" i="1" a="1"/>
  <c r="C300" i="1" s="1"/>
  <c r="C301" i="1" a="1"/>
  <c r="C301" i="1" s="1"/>
  <c r="C302" i="1" a="1"/>
  <c r="C302" i="1" s="1"/>
  <c r="C303" i="1" a="1"/>
  <c r="C303" i="1" s="1"/>
  <c r="C304" i="1" a="1"/>
  <c r="C304" i="1" s="1"/>
  <c r="C305" i="1" a="1"/>
  <c r="C305" i="1" s="1"/>
  <c r="C306" i="1" a="1"/>
  <c r="C306" i="1" s="1"/>
  <c r="C307" i="1" a="1"/>
  <c r="C307" i="1" s="1"/>
  <c r="C308" i="1" a="1"/>
  <c r="C308" i="1" s="1"/>
  <c r="C309" i="1" a="1"/>
  <c r="C309" i="1" s="1"/>
  <c r="C310" i="1" a="1"/>
  <c r="C310" i="1" s="1"/>
  <c r="C311" i="1" a="1"/>
  <c r="C311" i="1" s="1"/>
  <c r="C312" i="1" a="1"/>
  <c r="C312" i="1" s="1"/>
  <c r="C313" i="1" a="1"/>
  <c r="C313" i="1" s="1"/>
  <c r="C314" i="1" a="1"/>
  <c r="C314" i="1" s="1"/>
  <c r="C315" i="1" a="1"/>
  <c r="C315" i="1" s="1"/>
  <c r="C316" i="1" a="1"/>
  <c r="C316" i="1" s="1"/>
  <c r="C317" i="1" a="1"/>
  <c r="C317" i="1" s="1"/>
  <c r="C318" i="1" a="1"/>
  <c r="C318" i="1" s="1"/>
  <c r="C319" i="1" a="1"/>
  <c r="C319" i="1" s="1"/>
  <c r="C320" i="1" a="1"/>
  <c r="C320" i="1" s="1"/>
  <c r="C321" i="1" a="1"/>
  <c r="C321" i="1" s="1"/>
  <c r="C322" i="1" a="1"/>
  <c r="C322" i="1" s="1"/>
  <c r="C323" i="1" a="1"/>
  <c r="C323" i="1" s="1"/>
  <c r="C324" i="1" a="1"/>
  <c r="C324" i="1" s="1"/>
  <c r="C325" i="1" a="1"/>
  <c r="C325" i="1" s="1"/>
  <c r="C326" i="1" a="1"/>
  <c r="C326" i="1" s="1"/>
  <c r="C327" i="1" a="1"/>
  <c r="C327" i="1" s="1"/>
  <c r="C328" i="1" a="1"/>
  <c r="C328" i="1" s="1"/>
  <c r="C329" i="1" a="1"/>
  <c r="C329" i="1" s="1"/>
  <c r="C330" i="1" a="1"/>
  <c r="C330" i="1" s="1"/>
  <c r="C331" i="1" a="1"/>
  <c r="C331" i="1" s="1"/>
  <c r="C332" i="1" a="1"/>
  <c r="C332" i="1" s="1"/>
  <c r="C333" i="1" a="1"/>
  <c r="C333" i="1" s="1"/>
  <c r="C334" i="1" a="1"/>
  <c r="C334" i="1" s="1"/>
  <c r="C335" i="1" a="1"/>
  <c r="C335" i="1" s="1"/>
  <c r="C336" i="1" a="1"/>
  <c r="C336" i="1" s="1"/>
  <c r="C337" i="1" a="1"/>
  <c r="C337" i="1" s="1"/>
  <c r="C338" i="1" a="1"/>
  <c r="C338" i="1" s="1"/>
  <c r="C339" i="1" a="1"/>
  <c r="C339" i="1" s="1"/>
  <c r="C340" i="1" a="1"/>
  <c r="C340" i="1" s="1"/>
  <c r="C341" i="1" a="1"/>
  <c r="C341" i="1" s="1"/>
  <c r="C342" i="1" a="1"/>
  <c r="C342" i="1" s="1"/>
  <c r="C343" i="1" a="1"/>
  <c r="C343" i="1" s="1"/>
  <c r="C344" i="1" a="1"/>
  <c r="C344" i="1" s="1"/>
  <c r="C345" i="1" a="1"/>
  <c r="C345" i="1" s="1"/>
  <c r="C346" i="1" a="1"/>
  <c r="C346" i="1" s="1"/>
  <c r="C347" i="1" a="1"/>
  <c r="C347" i="1" s="1"/>
  <c r="C348" i="1" a="1"/>
  <c r="C348" i="1" s="1"/>
  <c r="C349" i="1" a="1"/>
  <c r="C349" i="1" s="1"/>
  <c r="C350" i="1" a="1"/>
  <c r="C350" i="1" s="1"/>
  <c r="C351" i="1" a="1"/>
  <c r="C351" i="1" s="1"/>
  <c r="C352" i="1" a="1"/>
  <c r="C352" i="1" s="1"/>
  <c r="C353" i="1" a="1"/>
  <c r="C353" i="1" s="1"/>
  <c r="C354" i="1" a="1"/>
  <c r="C354" i="1" s="1"/>
  <c r="C355" i="1" a="1"/>
  <c r="C355" i="1" s="1"/>
  <c r="C356" i="1" a="1"/>
  <c r="C356" i="1" s="1"/>
  <c r="C357" i="1" a="1"/>
  <c r="C357" i="1" s="1"/>
  <c r="C358" i="1" a="1"/>
  <c r="C358" i="1" s="1"/>
  <c r="C359" i="1" a="1"/>
  <c r="C359" i="1" s="1"/>
  <c r="C360" i="1" a="1"/>
  <c r="C360" i="1" s="1"/>
  <c r="C361" i="1" a="1"/>
  <c r="C361" i="1" s="1"/>
  <c r="C362" i="1" a="1"/>
  <c r="C362" i="1" s="1"/>
  <c r="C363" i="1" a="1"/>
  <c r="C363" i="1" s="1"/>
  <c r="C364" i="1" a="1"/>
  <c r="C364" i="1" s="1"/>
  <c r="C365" i="1" a="1"/>
  <c r="C365" i="1" s="1"/>
  <c r="C366" i="1" a="1"/>
  <c r="C366" i="1" s="1"/>
  <c r="C367" i="1" a="1"/>
  <c r="C367" i="1" s="1"/>
  <c r="C368" i="1" a="1"/>
  <c r="C368" i="1" s="1"/>
  <c r="C369" i="1" a="1"/>
  <c r="C369" i="1" s="1"/>
  <c r="C370" i="1" a="1"/>
  <c r="C370" i="1" s="1"/>
  <c r="C371" i="1" a="1"/>
  <c r="C371" i="1" s="1"/>
  <c r="C372" i="1" a="1"/>
  <c r="C372" i="1" s="1"/>
  <c r="C373" i="1" a="1"/>
  <c r="C373" i="1" s="1"/>
  <c r="C374" i="1" a="1"/>
  <c r="C374" i="1" s="1"/>
  <c r="C375" i="1" a="1"/>
  <c r="C375" i="1" s="1"/>
  <c r="C376" i="1" a="1"/>
  <c r="C376" i="1" s="1"/>
  <c r="C377" i="1" a="1"/>
  <c r="C377" i="1" s="1"/>
  <c r="C378" i="1" a="1"/>
  <c r="C378" i="1" s="1"/>
  <c r="C379" i="1" a="1"/>
  <c r="C379" i="1" s="1"/>
  <c r="C380" i="1" a="1"/>
  <c r="C380" i="1" s="1"/>
  <c r="C381" i="1" a="1"/>
  <c r="C381" i="1" s="1"/>
  <c r="C382" i="1" a="1"/>
  <c r="C382" i="1" s="1"/>
  <c r="C383" i="1" a="1"/>
  <c r="C383" i="1" s="1"/>
  <c r="C384" i="1" a="1"/>
  <c r="C384" i="1" s="1"/>
  <c r="C385" i="1" a="1"/>
  <c r="C385" i="1" s="1"/>
  <c r="C386" i="1" a="1"/>
  <c r="C386" i="1" s="1"/>
  <c r="C387" i="1" a="1"/>
  <c r="C387" i="1" s="1"/>
  <c r="C388" i="1" a="1"/>
  <c r="C388" i="1" s="1"/>
  <c r="C389" i="1" a="1"/>
  <c r="C389" i="1" s="1"/>
  <c r="C390" i="1" a="1"/>
  <c r="C390" i="1" s="1"/>
  <c r="C391" i="1" a="1"/>
  <c r="C391" i="1" s="1"/>
  <c r="C392" i="1" a="1"/>
  <c r="C392" i="1" s="1"/>
  <c r="C393" i="1" a="1"/>
  <c r="C393" i="1" s="1"/>
  <c r="C394" i="1" a="1"/>
  <c r="C394" i="1" s="1"/>
  <c r="C395" i="1" a="1"/>
  <c r="C395" i="1" s="1"/>
  <c r="C396" i="1" a="1"/>
  <c r="C396" i="1" s="1"/>
  <c r="C397" i="1" a="1"/>
  <c r="C397" i="1" s="1"/>
  <c r="C398" i="1" a="1"/>
  <c r="C398" i="1" s="1"/>
  <c r="C399" i="1" a="1"/>
  <c r="C399" i="1" s="1"/>
  <c r="C400" i="1" a="1"/>
  <c r="C400" i="1" s="1"/>
  <c r="C401" i="1" a="1"/>
  <c r="C401" i="1" s="1"/>
  <c r="C402" i="1" a="1"/>
  <c r="C402" i="1" s="1"/>
  <c r="C403" i="1" a="1"/>
  <c r="C403" i="1" s="1"/>
  <c r="C404" i="1" a="1"/>
  <c r="C404" i="1" s="1"/>
  <c r="C405" i="1" a="1"/>
  <c r="C405" i="1" s="1"/>
  <c r="C406" i="1" a="1"/>
  <c r="C406" i="1" s="1"/>
  <c r="C407" i="1" a="1"/>
  <c r="C407" i="1" s="1"/>
  <c r="C408" i="1" a="1"/>
  <c r="C408" i="1" s="1"/>
  <c r="C409" i="1" a="1"/>
  <c r="C409" i="1" s="1"/>
  <c r="C410" i="1" a="1"/>
  <c r="C410" i="1" s="1"/>
  <c r="C411" i="1" a="1"/>
  <c r="C411" i="1" s="1"/>
  <c r="C412" i="1" a="1"/>
  <c r="C412" i="1" s="1"/>
  <c r="C413" i="1" a="1"/>
  <c r="C413" i="1" s="1"/>
  <c r="C414" i="1" a="1"/>
  <c r="C414" i="1" s="1"/>
  <c r="C415" i="1" a="1"/>
  <c r="C415" i="1" s="1"/>
  <c r="C416" i="1" a="1"/>
  <c r="C416" i="1" s="1"/>
  <c r="C417" i="1" a="1"/>
  <c r="C417" i="1" s="1"/>
  <c r="C418" i="1" a="1"/>
  <c r="C418" i="1" s="1"/>
  <c r="C419" i="1" a="1"/>
  <c r="C419" i="1" s="1"/>
  <c r="C420" i="1" a="1"/>
  <c r="C420" i="1" s="1"/>
  <c r="C421" i="1" a="1"/>
  <c r="C421" i="1" s="1"/>
  <c r="C422" i="1" a="1"/>
  <c r="C422" i="1" s="1"/>
  <c r="C423" i="1" a="1"/>
  <c r="C423" i="1" s="1"/>
  <c r="C424" i="1" a="1"/>
  <c r="C424" i="1" s="1"/>
  <c r="C425" i="1" a="1"/>
  <c r="C425" i="1" s="1"/>
  <c r="C426" i="1" a="1"/>
  <c r="C426" i="1" s="1"/>
  <c r="C427" i="1" a="1"/>
  <c r="C427" i="1" s="1"/>
  <c r="C428" i="1" a="1"/>
  <c r="C428" i="1" s="1"/>
  <c r="C429" i="1" a="1"/>
  <c r="C429" i="1" s="1"/>
  <c r="C430" i="1" a="1"/>
  <c r="C430" i="1" s="1"/>
  <c r="C431" i="1" a="1"/>
  <c r="C431" i="1" s="1"/>
  <c r="C432" i="1" a="1"/>
  <c r="C432" i="1" s="1"/>
  <c r="C433" i="1" a="1"/>
  <c r="C433" i="1" s="1"/>
  <c r="C434" i="1" a="1"/>
  <c r="C434" i="1" s="1"/>
  <c r="C435" i="1" a="1"/>
  <c r="C435" i="1" s="1"/>
  <c r="C436" i="1" a="1"/>
  <c r="C436" i="1" s="1"/>
  <c r="C437" i="1" a="1"/>
  <c r="C437" i="1" s="1"/>
  <c r="C438" i="1" a="1"/>
  <c r="C438" i="1" s="1"/>
  <c r="C439" i="1" a="1"/>
  <c r="C439" i="1" s="1"/>
  <c r="C440" i="1" a="1"/>
  <c r="C440" i="1" s="1"/>
  <c r="C441" i="1" a="1"/>
  <c r="C441" i="1" s="1"/>
  <c r="C442" i="1" a="1"/>
  <c r="C442" i="1" s="1"/>
  <c r="C443" i="1" a="1"/>
  <c r="C443" i="1" s="1"/>
  <c r="C444" i="1" a="1"/>
  <c r="C444" i="1" s="1"/>
  <c r="C445" i="1" a="1"/>
  <c r="C445" i="1" s="1"/>
  <c r="C446" i="1" a="1"/>
  <c r="C446" i="1" s="1"/>
  <c r="C447" i="1" a="1"/>
  <c r="C447" i="1" s="1"/>
  <c r="C448" i="1" a="1"/>
  <c r="C448" i="1" s="1"/>
  <c r="C449" i="1" a="1"/>
  <c r="C449" i="1" s="1"/>
  <c r="C450" i="1" a="1"/>
  <c r="C450" i="1" s="1"/>
  <c r="C451" i="1" a="1"/>
  <c r="C451" i="1" s="1"/>
  <c r="C452" i="1" a="1"/>
  <c r="C452" i="1" s="1"/>
  <c r="C453" i="1" a="1"/>
  <c r="C453" i="1" s="1"/>
  <c r="C454" i="1" a="1"/>
  <c r="C454" i="1" s="1"/>
  <c r="C455" i="1" a="1"/>
  <c r="C455" i="1" s="1"/>
  <c r="C456" i="1" a="1"/>
  <c r="C456" i="1" s="1"/>
  <c r="C457" i="1" a="1"/>
  <c r="C457" i="1" s="1"/>
  <c r="C458" i="1" a="1"/>
  <c r="C458" i="1" s="1"/>
  <c r="C459" i="1" a="1"/>
  <c r="C459" i="1" s="1"/>
  <c r="C460" i="1" a="1"/>
  <c r="C460" i="1" s="1"/>
  <c r="C461" i="1" a="1"/>
  <c r="C461" i="1" s="1"/>
  <c r="C462" i="1" a="1"/>
  <c r="C462" i="1" s="1"/>
  <c r="C463" i="1" a="1"/>
  <c r="C463" i="1" s="1"/>
  <c r="C464" i="1" a="1"/>
  <c r="C464" i="1" s="1"/>
  <c r="C465" i="1" a="1"/>
  <c r="C465" i="1" s="1"/>
  <c r="C466" i="1" a="1"/>
  <c r="C466" i="1" s="1"/>
  <c r="C467" i="1" a="1"/>
  <c r="C467" i="1" s="1"/>
  <c r="C468" i="1" a="1"/>
  <c r="C468" i="1" s="1"/>
  <c r="C469" i="1" a="1"/>
  <c r="C469" i="1" s="1"/>
  <c r="C470" i="1" a="1"/>
  <c r="C470" i="1" s="1"/>
  <c r="C471" i="1" a="1"/>
  <c r="C471" i="1" s="1"/>
  <c r="C472" i="1" a="1"/>
  <c r="C472" i="1" s="1"/>
  <c r="C473" i="1" a="1"/>
  <c r="C473" i="1" s="1"/>
  <c r="C474" i="1" a="1"/>
  <c r="C474" i="1" s="1"/>
  <c r="C475" i="1" a="1"/>
  <c r="C475" i="1" s="1"/>
  <c r="C476" i="1" a="1"/>
  <c r="C476" i="1" s="1"/>
  <c r="C477" i="1" a="1"/>
  <c r="C477" i="1" s="1"/>
  <c r="C478" i="1" a="1"/>
  <c r="C478" i="1" s="1"/>
  <c r="C479" i="1" a="1"/>
  <c r="C479" i="1" s="1"/>
  <c r="C480" i="1" a="1"/>
  <c r="C480" i="1" s="1"/>
  <c r="C481" i="1" a="1"/>
  <c r="C481" i="1" s="1"/>
  <c r="C482" i="1" a="1"/>
  <c r="C482" i="1" s="1"/>
  <c r="C483" i="1" a="1"/>
  <c r="C483" i="1" s="1"/>
  <c r="C484" i="1" a="1"/>
  <c r="C484" i="1" s="1"/>
  <c r="C485" i="1" a="1"/>
  <c r="C485" i="1" s="1"/>
  <c r="C486" i="1" a="1"/>
  <c r="C486" i="1" s="1"/>
  <c r="C487" i="1" a="1"/>
  <c r="C487" i="1" s="1"/>
  <c r="C488" i="1" a="1"/>
  <c r="C488" i="1" s="1"/>
  <c r="C489" i="1" a="1"/>
  <c r="C489" i="1" s="1"/>
  <c r="C490" i="1" a="1"/>
  <c r="C490" i="1" s="1"/>
  <c r="C491" i="1" a="1"/>
  <c r="C491" i="1" s="1"/>
  <c r="C492" i="1" a="1"/>
  <c r="C492" i="1" s="1"/>
  <c r="C493" i="1" a="1"/>
  <c r="C493" i="1" s="1"/>
  <c r="C494" i="1" a="1"/>
  <c r="C494" i="1" s="1"/>
  <c r="C495" i="1" a="1"/>
  <c r="C495" i="1" s="1"/>
  <c r="C496" i="1" a="1"/>
  <c r="C496" i="1" s="1"/>
  <c r="C497" i="1" a="1"/>
  <c r="C497" i="1" s="1"/>
  <c r="C498" i="1" a="1"/>
  <c r="C498" i="1" s="1"/>
  <c r="C499" i="1" a="1"/>
  <c r="C499" i="1" s="1"/>
  <c r="C500" i="1" a="1"/>
  <c r="C500" i="1" s="1"/>
  <c r="C501" i="1" a="1"/>
  <c r="C501" i="1" s="1"/>
  <c r="C502" i="1" a="1"/>
  <c r="C502" i="1" s="1"/>
  <c r="C503" i="1" a="1"/>
  <c r="C503" i="1" s="1"/>
  <c r="C504" i="1" a="1"/>
  <c r="C504" i="1" s="1"/>
  <c r="C505" i="1" a="1"/>
  <c r="C505" i="1" s="1"/>
  <c r="C506" i="1" a="1"/>
  <c r="C506" i="1" s="1"/>
  <c r="C507" i="1" a="1"/>
  <c r="C507" i="1" s="1"/>
  <c r="C508" i="1" a="1"/>
  <c r="C508" i="1" s="1"/>
  <c r="C509" i="1" a="1"/>
  <c r="C509" i="1" s="1"/>
  <c r="C510" i="1" a="1"/>
  <c r="C510" i="1" s="1"/>
  <c r="C511" i="1" a="1"/>
  <c r="C511" i="1" s="1"/>
  <c r="C512" i="1" a="1"/>
  <c r="C512" i="1" s="1"/>
  <c r="C513" i="1" a="1"/>
  <c r="C513" i="1" s="1"/>
  <c r="C514" i="1" a="1"/>
  <c r="C514" i="1" s="1"/>
  <c r="C515" i="1" a="1"/>
  <c r="C515" i="1" s="1"/>
  <c r="C516" i="1" a="1"/>
  <c r="C516" i="1" s="1"/>
  <c r="C517" i="1" a="1"/>
  <c r="C517" i="1" s="1"/>
  <c r="C518" i="1" a="1"/>
  <c r="C518" i="1" s="1"/>
  <c r="C519" i="1" a="1"/>
  <c r="C519" i="1" s="1"/>
  <c r="C520" i="1" a="1"/>
  <c r="C520" i="1" s="1"/>
  <c r="C521" i="1" a="1"/>
  <c r="C521" i="1" s="1"/>
  <c r="C522" i="1" a="1"/>
  <c r="C522" i="1" s="1"/>
  <c r="C523" i="1" a="1"/>
  <c r="C523" i="1" s="1"/>
  <c r="C524" i="1" a="1"/>
  <c r="C524" i="1" s="1"/>
  <c r="C525" i="1" a="1"/>
  <c r="C525" i="1" s="1"/>
  <c r="C526" i="1" a="1"/>
  <c r="C526" i="1" s="1"/>
  <c r="C527" i="1" a="1"/>
  <c r="C527" i="1" s="1"/>
  <c r="C528" i="1" a="1"/>
  <c r="C528" i="1" s="1"/>
  <c r="C529" i="1" a="1"/>
  <c r="C529" i="1" s="1"/>
  <c r="C530" i="1" a="1"/>
  <c r="C530" i="1" s="1"/>
  <c r="C531" i="1" a="1"/>
  <c r="C531" i="1" s="1"/>
  <c r="C532" i="1" a="1"/>
  <c r="C532" i="1" s="1"/>
  <c r="C533" i="1" a="1"/>
  <c r="C533" i="1" s="1"/>
  <c r="C534" i="1" a="1"/>
  <c r="C534" i="1" s="1"/>
  <c r="C535" i="1" a="1"/>
  <c r="C535" i="1" s="1"/>
  <c r="C536" i="1" a="1"/>
  <c r="C536" i="1" s="1"/>
  <c r="C537" i="1" a="1"/>
  <c r="C537" i="1" s="1"/>
  <c r="C538" i="1" a="1"/>
  <c r="C538" i="1" s="1"/>
  <c r="C539" i="1" a="1"/>
  <c r="C539" i="1" s="1"/>
  <c r="C540" i="1" a="1"/>
  <c r="C540" i="1" s="1"/>
  <c r="C541" i="1" a="1"/>
  <c r="C541" i="1" s="1"/>
  <c r="C542" i="1" a="1"/>
  <c r="C542" i="1" s="1"/>
  <c r="C543" i="1" a="1"/>
  <c r="C543" i="1" s="1"/>
  <c r="C544" i="1" a="1"/>
  <c r="C544" i="1" s="1"/>
  <c r="C545" i="1" a="1"/>
  <c r="C545" i="1" s="1"/>
  <c r="C546" i="1" a="1"/>
  <c r="C546" i="1" s="1"/>
  <c r="C547" i="1" a="1"/>
  <c r="C547" i="1" s="1"/>
  <c r="C548" i="1" a="1"/>
  <c r="C548" i="1" s="1"/>
  <c r="C549" i="1" a="1"/>
  <c r="C549" i="1" s="1"/>
  <c r="C550" i="1" a="1"/>
  <c r="C550" i="1" s="1"/>
  <c r="C551" i="1" a="1"/>
  <c r="C551" i="1" s="1"/>
  <c r="C552" i="1" a="1"/>
  <c r="C552" i="1" s="1"/>
  <c r="C553" i="1" a="1"/>
  <c r="C553" i="1" s="1"/>
  <c r="C554" i="1" a="1"/>
  <c r="C554" i="1" s="1"/>
  <c r="C555" i="1" a="1"/>
  <c r="C555" i="1" s="1"/>
  <c r="C556" i="1" a="1"/>
  <c r="C556" i="1" s="1"/>
  <c r="C557" i="1" a="1"/>
  <c r="C557" i="1" s="1"/>
  <c r="C558" i="1" a="1"/>
  <c r="C558" i="1" s="1"/>
  <c r="C559" i="1" a="1"/>
  <c r="C559" i="1" s="1"/>
  <c r="C560" i="1" a="1"/>
  <c r="C560" i="1" s="1"/>
  <c r="C561" i="1" a="1"/>
  <c r="C561" i="1" s="1"/>
  <c r="C562" i="1" a="1"/>
  <c r="C562" i="1" s="1"/>
  <c r="C563" i="1" a="1"/>
  <c r="C563" i="1" s="1"/>
  <c r="C564" i="1" a="1"/>
  <c r="C564" i="1" s="1"/>
  <c r="C565" i="1" a="1"/>
  <c r="C565" i="1" s="1"/>
  <c r="C566" i="1" a="1"/>
  <c r="C566" i="1" s="1"/>
  <c r="C567" i="1" a="1"/>
  <c r="C567" i="1" s="1"/>
  <c r="C568" i="1" a="1"/>
  <c r="C568" i="1" s="1"/>
  <c r="C569" i="1" a="1"/>
  <c r="C569" i="1" s="1"/>
  <c r="C570" i="1" a="1"/>
  <c r="C570" i="1" s="1"/>
  <c r="C571" i="1" a="1"/>
  <c r="C571" i="1" s="1"/>
  <c r="C572" i="1" a="1"/>
  <c r="C572" i="1" s="1"/>
  <c r="C573" i="1" a="1"/>
  <c r="C573" i="1" s="1"/>
  <c r="C574" i="1" a="1"/>
  <c r="C574" i="1" s="1"/>
  <c r="C575" i="1" a="1"/>
  <c r="C575" i="1" s="1"/>
  <c r="C576" i="1" a="1"/>
  <c r="C576" i="1" s="1"/>
  <c r="C577" i="1" a="1"/>
  <c r="C577" i="1" s="1"/>
  <c r="C578" i="1" a="1"/>
  <c r="C578" i="1" s="1"/>
  <c r="C579" i="1" a="1"/>
  <c r="C579" i="1" s="1"/>
  <c r="C580" i="1" a="1"/>
  <c r="C580" i="1" s="1"/>
  <c r="C581" i="1" a="1"/>
  <c r="C581" i="1" s="1"/>
  <c r="C582" i="1" a="1"/>
  <c r="C582" i="1" s="1"/>
  <c r="C583" i="1" a="1"/>
  <c r="C583" i="1" s="1"/>
  <c r="C584" i="1" a="1"/>
  <c r="C584" i="1" s="1"/>
  <c r="C585" i="1" a="1"/>
  <c r="C585" i="1" s="1"/>
  <c r="C586" i="1" a="1"/>
  <c r="C586" i="1" s="1"/>
  <c r="C587" i="1" a="1"/>
  <c r="C587" i="1" s="1"/>
  <c r="C588" i="1" a="1"/>
  <c r="C588" i="1" s="1"/>
  <c r="C589" i="1" a="1"/>
  <c r="C589" i="1" s="1"/>
  <c r="C590" i="1" a="1"/>
  <c r="C590" i="1" s="1"/>
  <c r="C591" i="1" a="1"/>
  <c r="C591" i="1" s="1"/>
  <c r="C592" i="1" a="1"/>
  <c r="C592" i="1" s="1"/>
  <c r="C593" i="1" a="1"/>
  <c r="C593" i="1" s="1"/>
  <c r="C594" i="1" a="1"/>
  <c r="C594" i="1" s="1"/>
  <c r="C595" i="1" a="1"/>
  <c r="C595" i="1" s="1"/>
  <c r="C596" i="1" a="1"/>
  <c r="C596" i="1" s="1"/>
  <c r="C597" i="1" a="1"/>
  <c r="C597" i="1" s="1"/>
  <c r="C598" i="1" a="1"/>
  <c r="C598" i="1" s="1"/>
  <c r="C599" i="1" a="1"/>
  <c r="C599" i="1" s="1"/>
  <c r="C600" i="1" a="1"/>
  <c r="C600" i="1" s="1"/>
  <c r="C601" i="1" a="1"/>
  <c r="C601" i="1" s="1"/>
  <c r="C602" i="1" a="1"/>
  <c r="C602" i="1" s="1"/>
  <c r="C603" i="1" a="1"/>
  <c r="C603" i="1" s="1"/>
  <c r="C604" i="1" a="1"/>
  <c r="C604" i="1" s="1"/>
  <c r="C605" i="1" a="1"/>
  <c r="C605" i="1" s="1"/>
  <c r="C606" i="1" a="1"/>
  <c r="C606" i="1" s="1"/>
  <c r="C607" i="1" a="1"/>
  <c r="C607" i="1" s="1"/>
  <c r="C608" i="1" a="1"/>
  <c r="C608" i="1" s="1"/>
  <c r="C609" i="1" a="1"/>
  <c r="C609" i="1" s="1"/>
  <c r="C610" i="1" a="1"/>
  <c r="C610" i="1" s="1"/>
  <c r="C611" i="1" a="1"/>
  <c r="C611" i="1" s="1"/>
  <c r="C612" i="1" a="1"/>
  <c r="C612" i="1" s="1"/>
  <c r="C613" i="1" a="1"/>
  <c r="C613" i="1" s="1"/>
  <c r="C614" i="1" a="1"/>
  <c r="C614" i="1" s="1"/>
  <c r="C615" i="1" a="1"/>
  <c r="C615" i="1" s="1"/>
  <c r="C616" i="1" a="1"/>
  <c r="C616" i="1" s="1"/>
  <c r="C617" i="1" a="1"/>
  <c r="C617" i="1" s="1"/>
  <c r="C618" i="1" a="1"/>
  <c r="C618" i="1" s="1"/>
  <c r="C619" i="1" a="1"/>
  <c r="C619" i="1" s="1"/>
  <c r="C620" i="1" a="1"/>
  <c r="C620" i="1" s="1"/>
  <c r="C621" i="1" a="1"/>
  <c r="C621" i="1" s="1"/>
  <c r="C622" i="1" a="1"/>
  <c r="C622" i="1" s="1"/>
  <c r="C623" i="1" a="1"/>
  <c r="C623" i="1" s="1"/>
  <c r="C624" i="1" a="1"/>
  <c r="C624" i="1" s="1"/>
  <c r="C625" i="1" a="1"/>
  <c r="C625" i="1" s="1"/>
  <c r="C626" i="1" a="1"/>
  <c r="C626" i="1" s="1"/>
  <c r="C627" i="1" a="1"/>
  <c r="C627" i="1" s="1"/>
  <c r="C628" i="1" a="1"/>
  <c r="C628" i="1" s="1"/>
  <c r="C629" i="1" a="1"/>
  <c r="C629" i="1" s="1"/>
  <c r="C630" i="1" a="1"/>
  <c r="C630" i="1" s="1"/>
  <c r="C631" i="1" a="1"/>
  <c r="C631" i="1" s="1"/>
  <c r="C632" i="1" a="1"/>
  <c r="C632" i="1" s="1"/>
  <c r="C633" i="1" a="1"/>
  <c r="C633" i="1" s="1"/>
  <c r="C634" i="1" a="1"/>
  <c r="C634" i="1" s="1"/>
  <c r="C635" i="1" a="1"/>
  <c r="C635" i="1" s="1"/>
  <c r="C636" i="1" a="1"/>
  <c r="C636" i="1" s="1"/>
  <c r="C637" i="1" a="1"/>
  <c r="C637" i="1" s="1"/>
  <c r="C638" i="1" a="1"/>
  <c r="C638" i="1" s="1"/>
  <c r="C639" i="1" a="1"/>
  <c r="C639" i="1" s="1"/>
  <c r="C640" i="1" a="1"/>
  <c r="C640" i="1" s="1"/>
  <c r="C641" i="1" a="1"/>
  <c r="C641" i="1" s="1"/>
  <c r="C642" i="1" a="1"/>
  <c r="C642" i="1" s="1"/>
  <c r="C643" i="1" a="1"/>
  <c r="C643" i="1" s="1"/>
  <c r="C644" i="1" a="1"/>
  <c r="C644" i="1" s="1"/>
  <c r="C645" i="1" a="1"/>
  <c r="C645" i="1" s="1"/>
  <c r="C646" i="1" a="1"/>
  <c r="C646" i="1" s="1"/>
  <c r="C647" i="1" a="1"/>
  <c r="C647" i="1" s="1"/>
  <c r="C648" i="1" a="1"/>
  <c r="C648" i="1" s="1"/>
  <c r="C649" i="1" a="1"/>
  <c r="C649" i="1" s="1"/>
  <c r="C650" i="1" a="1"/>
  <c r="C650" i="1" s="1"/>
  <c r="C651" i="1" a="1"/>
  <c r="C651" i="1" s="1"/>
  <c r="C652" i="1" a="1"/>
  <c r="C652" i="1" s="1"/>
  <c r="C653" i="1" a="1"/>
  <c r="C653" i="1" s="1"/>
  <c r="C654" i="1" a="1"/>
  <c r="C654" i="1" s="1"/>
  <c r="C655" i="1" a="1"/>
  <c r="C655" i="1" s="1"/>
  <c r="C656" i="1" a="1"/>
  <c r="C656" i="1" s="1"/>
  <c r="C657" i="1" a="1"/>
  <c r="C657" i="1" s="1"/>
  <c r="C658" i="1" a="1"/>
  <c r="C658" i="1" s="1"/>
  <c r="C659" i="1" a="1"/>
  <c r="C659" i="1" s="1"/>
  <c r="C660" i="1" a="1"/>
  <c r="C660" i="1" s="1"/>
  <c r="C661" i="1" a="1"/>
  <c r="C661" i="1" s="1"/>
  <c r="C662" i="1" a="1"/>
  <c r="C662" i="1" s="1"/>
  <c r="C663" i="1" a="1"/>
  <c r="C663" i="1" s="1"/>
  <c r="C664" i="1" a="1"/>
  <c r="C664" i="1" s="1"/>
  <c r="C665" i="1" a="1"/>
  <c r="C665" i="1" s="1"/>
  <c r="C666" i="1" a="1"/>
  <c r="C666" i="1" s="1"/>
  <c r="C667" i="1" a="1"/>
  <c r="C667" i="1" s="1"/>
  <c r="C668" i="1" a="1"/>
  <c r="C668" i="1" s="1"/>
  <c r="C669" i="1" a="1"/>
  <c r="C669" i="1" s="1"/>
  <c r="C670" i="1" a="1"/>
  <c r="C670" i="1" s="1"/>
  <c r="C671" i="1" a="1"/>
  <c r="C671" i="1" s="1"/>
  <c r="C672" i="1" a="1"/>
  <c r="C672" i="1" s="1"/>
  <c r="C673" i="1" a="1"/>
  <c r="C673" i="1" s="1"/>
  <c r="C674" i="1" a="1"/>
  <c r="C674" i="1" s="1"/>
  <c r="C675" i="1" a="1"/>
  <c r="C675" i="1" s="1"/>
  <c r="C676" i="1" a="1"/>
  <c r="C676" i="1" s="1"/>
  <c r="C677" i="1" a="1"/>
  <c r="C677" i="1" s="1"/>
  <c r="C678" i="1" a="1"/>
  <c r="C678" i="1" s="1"/>
  <c r="C679" i="1" a="1"/>
  <c r="C679" i="1" s="1"/>
  <c r="C680" i="1" a="1"/>
  <c r="C680" i="1" s="1"/>
  <c r="C681" i="1" a="1"/>
  <c r="C681" i="1" s="1"/>
  <c r="C682" i="1" a="1"/>
  <c r="C682" i="1" s="1"/>
  <c r="C683" i="1" a="1"/>
  <c r="C683" i="1" s="1"/>
  <c r="C684" i="1" a="1"/>
  <c r="C684" i="1" s="1"/>
  <c r="C685" i="1" a="1"/>
  <c r="C685" i="1" s="1"/>
  <c r="C686" i="1" a="1"/>
  <c r="C686" i="1" s="1"/>
  <c r="C687" i="1" a="1"/>
  <c r="C687" i="1" s="1"/>
  <c r="C688" i="1" a="1"/>
  <c r="C688" i="1" s="1"/>
  <c r="C689" i="1" a="1"/>
  <c r="C689" i="1" s="1"/>
  <c r="C690" i="1" a="1"/>
  <c r="C690" i="1" s="1"/>
  <c r="C691" i="1" a="1"/>
  <c r="C691" i="1" s="1"/>
  <c r="C692" i="1" a="1"/>
  <c r="C692" i="1" s="1"/>
  <c r="C693" i="1" a="1"/>
  <c r="C693" i="1" s="1"/>
  <c r="C694" i="1" a="1"/>
  <c r="C694" i="1" s="1"/>
  <c r="C695" i="1" a="1"/>
  <c r="C695" i="1" s="1"/>
  <c r="C696" i="1" a="1"/>
  <c r="C696" i="1" s="1"/>
  <c r="C697" i="1" a="1"/>
  <c r="C697" i="1" s="1"/>
  <c r="C698" i="1" a="1"/>
  <c r="C698" i="1" s="1"/>
  <c r="C699" i="1" a="1"/>
  <c r="C699" i="1" s="1"/>
  <c r="C700" i="1" a="1"/>
  <c r="C700" i="1" s="1"/>
  <c r="C701" i="1" a="1"/>
  <c r="C701" i="1" s="1"/>
  <c r="C702" i="1" a="1"/>
  <c r="C702" i="1" s="1"/>
  <c r="C703" i="1" a="1"/>
  <c r="C703" i="1" s="1"/>
  <c r="C704" i="1" a="1"/>
  <c r="C704" i="1" s="1"/>
  <c r="C705" i="1" a="1"/>
  <c r="C705" i="1" s="1"/>
  <c r="C706" i="1" a="1"/>
  <c r="C706" i="1" s="1"/>
  <c r="C707" i="1" a="1"/>
  <c r="C707" i="1" s="1"/>
  <c r="C708" i="1" a="1"/>
  <c r="C708" i="1" s="1"/>
  <c r="C709" i="1" a="1"/>
  <c r="C709" i="1" s="1"/>
  <c r="C710" i="1" a="1"/>
  <c r="C710" i="1" s="1"/>
  <c r="C711" i="1" a="1"/>
  <c r="C711" i="1" s="1"/>
  <c r="C712" i="1" a="1"/>
  <c r="C712" i="1" s="1"/>
  <c r="C713" i="1" a="1"/>
  <c r="C713" i="1" s="1"/>
  <c r="C714" i="1" a="1"/>
  <c r="C714" i="1" s="1"/>
  <c r="C715" i="1" a="1"/>
  <c r="C715" i="1" s="1"/>
  <c r="C716" i="1" a="1"/>
  <c r="C716" i="1" s="1"/>
  <c r="C717" i="1" a="1"/>
  <c r="C717" i="1" s="1"/>
  <c r="C718" i="1" a="1"/>
  <c r="C718" i="1" s="1"/>
  <c r="C719" i="1" a="1"/>
  <c r="C719" i="1" s="1"/>
  <c r="C720" i="1" a="1"/>
  <c r="C720" i="1" s="1"/>
  <c r="C721" i="1" a="1"/>
  <c r="C721" i="1" s="1"/>
  <c r="C722" i="1" a="1"/>
  <c r="C722" i="1" s="1"/>
  <c r="C723" i="1" a="1"/>
  <c r="C723" i="1" s="1"/>
  <c r="C724" i="1" a="1"/>
  <c r="C724" i="1" s="1"/>
  <c r="C725" i="1" a="1"/>
  <c r="C725" i="1" s="1"/>
  <c r="C726" i="1" a="1"/>
  <c r="C726" i="1" s="1"/>
  <c r="C727" i="1" a="1"/>
  <c r="C727" i="1" s="1"/>
  <c r="C728" i="1" a="1"/>
  <c r="C728" i="1" s="1"/>
  <c r="C729" i="1" a="1"/>
  <c r="C729" i="1" s="1"/>
  <c r="C730" i="1" a="1"/>
  <c r="C730" i="1" s="1"/>
  <c r="C731" i="1" a="1"/>
  <c r="C731" i="1" s="1"/>
  <c r="C732" i="1" a="1"/>
  <c r="C732" i="1" s="1"/>
  <c r="C733" i="1" a="1"/>
  <c r="C733" i="1" s="1"/>
  <c r="C734" i="1" a="1"/>
  <c r="C734" i="1" s="1"/>
  <c r="C735" i="1" a="1"/>
  <c r="C735" i="1" s="1"/>
  <c r="C736" i="1" a="1"/>
  <c r="C736" i="1" s="1"/>
  <c r="C737" i="1" a="1"/>
  <c r="C737" i="1" s="1"/>
  <c r="C738" i="1" a="1"/>
  <c r="C738" i="1" s="1"/>
  <c r="C739" i="1" a="1"/>
  <c r="C739" i="1" s="1"/>
  <c r="C740" i="1" a="1"/>
  <c r="C740" i="1" s="1"/>
  <c r="C741" i="1" a="1"/>
  <c r="C741" i="1" s="1"/>
  <c r="C742" i="1" a="1"/>
  <c r="C742" i="1" s="1"/>
  <c r="C743" i="1" a="1"/>
  <c r="C743" i="1" s="1"/>
  <c r="C744" i="1" a="1"/>
  <c r="C744" i="1" s="1"/>
  <c r="C745" i="1" a="1"/>
  <c r="C745" i="1" s="1"/>
  <c r="C746" i="1" a="1"/>
  <c r="C746" i="1" s="1"/>
  <c r="C747" i="1" a="1"/>
  <c r="C747" i="1" s="1"/>
  <c r="C748" i="1" a="1"/>
  <c r="C748" i="1" s="1"/>
  <c r="C749" i="1" a="1"/>
  <c r="C749" i="1" s="1"/>
  <c r="C750" i="1" a="1"/>
  <c r="C750" i="1" s="1"/>
  <c r="C751" i="1" a="1"/>
  <c r="C751" i="1" s="1"/>
  <c r="C752" i="1" a="1"/>
  <c r="C752" i="1" s="1"/>
  <c r="C753" i="1" a="1"/>
  <c r="C753" i="1" s="1"/>
  <c r="C754" i="1" a="1"/>
  <c r="C754" i="1" s="1"/>
  <c r="C755" i="1" a="1"/>
  <c r="C755" i="1" s="1"/>
  <c r="C756" i="1" a="1"/>
  <c r="C756" i="1" s="1"/>
  <c r="C757" i="1" a="1"/>
  <c r="C757" i="1" s="1"/>
  <c r="C758" i="1" a="1"/>
  <c r="C758" i="1" s="1"/>
  <c r="C759" i="1" a="1"/>
  <c r="C759" i="1" s="1"/>
  <c r="C760" i="1" a="1"/>
  <c r="C760" i="1" s="1"/>
  <c r="C761" i="1" a="1"/>
  <c r="C761" i="1" s="1"/>
  <c r="C762" i="1" a="1"/>
  <c r="C762" i="1" s="1"/>
  <c r="C763" i="1" a="1"/>
  <c r="C763" i="1" s="1"/>
  <c r="C764" i="1" a="1"/>
  <c r="C764" i="1" s="1"/>
  <c r="C765" i="1" a="1"/>
  <c r="C765" i="1" s="1"/>
  <c r="C766" i="1" a="1"/>
  <c r="C766" i="1" s="1"/>
  <c r="C767" i="1" a="1"/>
  <c r="C767" i="1" s="1"/>
  <c r="C768" i="1" a="1"/>
  <c r="C768" i="1" s="1"/>
  <c r="C769" i="1" a="1"/>
  <c r="C769" i="1" s="1"/>
  <c r="C770" i="1" a="1"/>
  <c r="C770" i="1" s="1"/>
  <c r="C771" i="1" a="1"/>
  <c r="C771" i="1" s="1"/>
  <c r="C772" i="1" a="1"/>
  <c r="C772" i="1" s="1"/>
  <c r="C773" i="1" a="1"/>
  <c r="C773" i="1" s="1"/>
  <c r="C774" i="1" a="1"/>
  <c r="C774" i="1" s="1"/>
  <c r="C775" i="1" a="1"/>
  <c r="C775" i="1" s="1"/>
  <c r="C776" i="1" a="1"/>
  <c r="C776" i="1" s="1"/>
  <c r="C777" i="1" a="1"/>
  <c r="C777" i="1" s="1"/>
  <c r="C778" i="1" a="1"/>
  <c r="C778" i="1" s="1"/>
  <c r="C779" i="1" a="1"/>
  <c r="C779" i="1" s="1"/>
  <c r="C780" i="1" a="1"/>
  <c r="C780" i="1" s="1"/>
  <c r="C781" i="1" a="1"/>
  <c r="C781" i="1" s="1"/>
  <c r="C782" i="1" a="1"/>
  <c r="C782" i="1" s="1"/>
  <c r="C783" i="1" a="1"/>
  <c r="C783" i="1" s="1"/>
  <c r="C784" i="1" a="1"/>
  <c r="C784" i="1" s="1"/>
  <c r="C785" i="1" a="1"/>
  <c r="C785" i="1" s="1"/>
  <c r="C786" i="1" a="1"/>
  <c r="C786" i="1" s="1"/>
  <c r="C787" i="1" a="1"/>
  <c r="C787" i="1" s="1"/>
  <c r="C788" i="1" a="1"/>
  <c r="C788" i="1" s="1"/>
  <c r="C789" i="1" a="1"/>
  <c r="C789" i="1" s="1"/>
  <c r="C790" i="1" a="1"/>
  <c r="C790" i="1" s="1"/>
  <c r="C791" i="1" a="1"/>
  <c r="C791" i="1" s="1"/>
  <c r="C792" i="1" a="1"/>
  <c r="C792" i="1" s="1"/>
  <c r="C793" i="1" a="1"/>
  <c r="C793" i="1" s="1"/>
  <c r="C794" i="1" a="1"/>
  <c r="C794" i="1" s="1"/>
  <c r="C795" i="1" a="1"/>
  <c r="C795" i="1" s="1"/>
  <c r="C796" i="1" a="1"/>
  <c r="C796" i="1" s="1"/>
  <c r="C797" i="1" a="1"/>
  <c r="C797" i="1" s="1"/>
  <c r="C798" i="1" a="1"/>
  <c r="C798" i="1" s="1"/>
  <c r="C799" i="1" a="1"/>
  <c r="C799" i="1" s="1"/>
  <c r="C800" i="1" a="1"/>
  <c r="C800" i="1" s="1"/>
  <c r="C801" i="1" a="1"/>
  <c r="C801" i="1" s="1"/>
  <c r="C802" i="1" a="1"/>
  <c r="C802" i="1" s="1"/>
  <c r="C803" i="1" a="1"/>
  <c r="C803" i="1" s="1"/>
  <c r="C804" i="1" a="1"/>
  <c r="C804" i="1" s="1"/>
  <c r="C805" i="1" a="1"/>
  <c r="C805" i="1" s="1"/>
  <c r="C806" i="1" a="1"/>
  <c r="C806" i="1" s="1"/>
  <c r="C807" i="1" a="1"/>
  <c r="C807" i="1" s="1"/>
  <c r="C808" i="1" a="1"/>
  <c r="C808" i="1" s="1"/>
  <c r="C809" i="1" a="1"/>
  <c r="C809" i="1" s="1"/>
  <c r="C810" i="1" a="1"/>
  <c r="C810" i="1" s="1"/>
  <c r="C811" i="1" a="1"/>
  <c r="C811" i="1" s="1"/>
  <c r="C812" i="1" a="1"/>
  <c r="C812" i="1" s="1"/>
  <c r="C813" i="1" a="1"/>
  <c r="C813" i="1" s="1"/>
  <c r="C814" i="1" a="1"/>
  <c r="C814" i="1" s="1"/>
  <c r="C815" i="1" a="1"/>
  <c r="C815" i="1" s="1"/>
  <c r="C816" i="1" a="1"/>
  <c r="C816" i="1" s="1"/>
  <c r="C817" i="1" a="1"/>
  <c r="C817" i="1" s="1"/>
  <c r="C818" i="1" a="1"/>
  <c r="C818" i="1" s="1"/>
  <c r="C819" i="1" a="1"/>
  <c r="C819" i="1" s="1"/>
  <c r="C820" i="1" a="1"/>
  <c r="C820" i="1" s="1"/>
  <c r="C821" i="1" a="1"/>
  <c r="C821" i="1" s="1"/>
  <c r="C822" i="1" a="1"/>
  <c r="C822" i="1" s="1"/>
  <c r="C823" i="1" a="1"/>
  <c r="C823" i="1" s="1"/>
  <c r="C824" i="1" a="1"/>
  <c r="C824" i="1" s="1"/>
  <c r="C825" i="1" a="1"/>
  <c r="C825" i="1" s="1"/>
  <c r="C826" i="1" a="1"/>
  <c r="C826" i="1" s="1"/>
  <c r="C827" i="1" a="1"/>
  <c r="C827" i="1" s="1"/>
  <c r="C828" i="1" a="1"/>
  <c r="C828" i="1" s="1"/>
  <c r="C829" i="1" a="1"/>
  <c r="C829" i="1" s="1"/>
  <c r="C830" i="1" a="1"/>
  <c r="C830" i="1" s="1"/>
  <c r="C831" i="1" a="1"/>
  <c r="C831" i="1" s="1"/>
  <c r="C832" i="1" a="1"/>
  <c r="C832" i="1" s="1"/>
  <c r="C2" i="1" a="1"/>
  <c r="C2" i="1" s="1"/>
  <c r="B3" i="1" a="1"/>
  <c r="B3" i="1" s="1"/>
  <c r="B4" i="1" a="1"/>
  <c r="B4" i="1" s="1"/>
  <c r="B5" i="1" a="1"/>
  <c r="B5" i="1" s="1"/>
  <c r="B6" i="1" a="1"/>
  <c r="B6" i="1"/>
  <c r="B7" i="1" a="1"/>
  <c r="B7" i="1" s="1"/>
  <c r="B8" i="1" a="1"/>
  <c r="B8" i="1" s="1"/>
  <c r="B9" i="1" a="1"/>
  <c r="B9" i="1" s="1"/>
  <c r="B10" i="1" a="1"/>
  <c r="B10" i="1"/>
  <c r="B11" i="1" a="1"/>
  <c r="B11" i="1" s="1"/>
  <c r="B12" i="1" a="1"/>
  <c r="B12" i="1" s="1"/>
  <c r="B13" i="1" a="1"/>
  <c r="B13" i="1" s="1"/>
  <c r="B14" i="1" a="1"/>
  <c r="B14" i="1"/>
  <c r="B15" i="1" a="1"/>
  <c r="B15" i="1" s="1"/>
  <c r="B16" i="1" a="1"/>
  <c r="B16" i="1" s="1"/>
  <c r="B17" i="1" a="1"/>
  <c r="B17" i="1" s="1"/>
  <c r="B18" i="1" a="1"/>
  <c r="B18" i="1"/>
  <c r="B19" i="1" a="1"/>
  <c r="B19" i="1" s="1"/>
  <c r="B20" i="1" a="1"/>
  <c r="B20" i="1" s="1"/>
  <c r="B21" i="1" a="1"/>
  <c r="B21" i="1" s="1"/>
  <c r="B22" i="1" a="1"/>
  <c r="B22" i="1"/>
  <c r="B23" i="1" a="1"/>
  <c r="B23" i="1" s="1"/>
  <c r="B24" i="1" a="1"/>
  <c r="B24" i="1" s="1"/>
  <c r="B25" i="1" a="1"/>
  <c r="B25" i="1" s="1"/>
  <c r="B26" i="1" a="1"/>
  <c r="B26" i="1"/>
  <c r="B27" i="1" a="1"/>
  <c r="B27" i="1" s="1"/>
  <c r="B28" i="1" a="1"/>
  <c r="B28" i="1" s="1"/>
  <c r="B29" i="1" a="1"/>
  <c r="B29" i="1" s="1"/>
  <c r="B30" i="1" a="1"/>
  <c r="B30" i="1" s="1"/>
  <c r="B31" i="1" a="1"/>
  <c r="B31" i="1" s="1"/>
  <c r="B32" i="1" a="1"/>
  <c r="B32" i="1" s="1"/>
  <c r="B33" i="1" a="1"/>
  <c r="B33" i="1" s="1"/>
  <c r="B34" i="1" a="1"/>
  <c r="B34" i="1"/>
  <c r="B35" i="1" a="1"/>
  <c r="B35" i="1" s="1"/>
  <c r="B36" i="1" a="1"/>
  <c r="B36" i="1" s="1"/>
  <c r="B37" i="1" a="1"/>
  <c r="B37" i="1" s="1"/>
  <c r="B38" i="1" a="1"/>
  <c r="B38" i="1" s="1"/>
  <c r="B39" i="1" a="1"/>
  <c r="B39" i="1" s="1"/>
  <c r="B40" i="1" a="1"/>
  <c r="B40" i="1" s="1"/>
  <c r="B41" i="1" a="1"/>
  <c r="B41" i="1" s="1"/>
  <c r="B42" i="1" a="1"/>
  <c r="B42" i="1"/>
  <c r="B43" i="1" a="1"/>
  <c r="B43" i="1" s="1"/>
  <c r="B44" i="1" a="1"/>
  <c r="B44" i="1" s="1"/>
  <c r="B45" i="1" a="1"/>
  <c r="B45" i="1" s="1"/>
  <c r="B46" i="1" a="1"/>
  <c r="B46" i="1" s="1"/>
  <c r="B47" i="1" a="1"/>
  <c r="B47" i="1" s="1"/>
  <c r="B48" i="1" a="1"/>
  <c r="B48" i="1" s="1"/>
  <c r="B49" i="1" a="1"/>
  <c r="B49" i="1" s="1"/>
  <c r="B50" i="1" a="1"/>
  <c r="B50" i="1"/>
  <c r="B51" i="1" a="1"/>
  <c r="B51" i="1" s="1"/>
  <c r="B52" i="1" a="1"/>
  <c r="B52" i="1" s="1"/>
  <c r="B53" i="1" a="1"/>
  <c r="B53" i="1" s="1"/>
  <c r="B54" i="1" a="1"/>
  <c r="B54" i="1" s="1"/>
  <c r="B55" i="1" a="1"/>
  <c r="B55" i="1" s="1"/>
  <c r="B56" i="1" a="1"/>
  <c r="B56" i="1" s="1"/>
  <c r="B57" i="1" a="1"/>
  <c r="B57" i="1" s="1"/>
  <c r="B58" i="1" a="1"/>
  <c r="B58" i="1"/>
  <c r="B59" i="1" a="1"/>
  <c r="B59" i="1" s="1"/>
  <c r="B60" i="1" a="1"/>
  <c r="B60" i="1" s="1"/>
  <c r="B61" i="1" a="1"/>
  <c r="B61" i="1" s="1"/>
  <c r="B62" i="1" a="1"/>
  <c r="B62" i="1" s="1"/>
  <c r="B63" i="1" a="1"/>
  <c r="B63" i="1" s="1"/>
  <c r="B64" i="1" a="1"/>
  <c r="B64" i="1" s="1"/>
  <c r="B65" i="1" a="1"/>
  <c r="B65" i="1" s="1"/>
  <c r="B66" i="1" a="1"/>
  <c r="B66" i="1"/>
  <c r="B67" i="1" a="1"/>
  <c r="B67" i="1" s="1"/>
  <c r="B68" i="1" a="1"/>
  <c r="B68" i="1" s="1"/>
  <c r="B69" i="1" a="1"/>
  <c r="B69" i="1" s="1"/>
  <c r="B70" i="1" a="1"/>
  <c r="B70" i="1" s="1"/>
  <c r="B71" i="1" a="1"/>
  <c r="B71" i="1" s="1"/>
  <c r="B72" i="1" a="1"/>
  <c r="B72" i="1" s="1"/>
  <c r="B73" i="1" a="1"/>
  <c r="B73" i="1" s="1"/>
  <c r="B74" i="1" a="1"/>
  <c r="B74" i="1"/>
  <c r="B75" i="1" a="1"/>
  <c r="B75" i="1" s="1"/>
  <c r="B76" i="1" a="1"/>
  <c r="B76" i="1" s="1"/>
  <c r="B77" i="1" a="1"/>
  <c r="B77" i="1" s="1"/>
  <c r="B78" i="1" a="1"/>
  <c r="B78" i="1" s="1"/>
  <c r="B79" i="1" a="1"/>
  <c r="B79" i="1" s="1"/>
  <c r="B80" i="1" a="1"/>
  <c r="B80" i="1" s="1"/>
  <c r="B81" i="1" a="1"/>
  <c r="B81" i="1" s="1"/>
  <c r="B82" i="1" a="1"/>
  <c r="B82" i="1"/>
  <c r="B83" i="1" a="1"/>
  <c r="B83" i="1" s="1"/>
  <c r="B84" i="1" a="1"/>
  <c r="B84" i="1" s="1"/>
  <c r="B85" i="1" a="1"/>
  <c r="B85" i="1" s="1"/>
  <c r="B86" i="1" a="1"/>
  <c r="B86" i="1" s="1"/>
  <c r="B87" i="1" a="1"/>
  <c r="B87" i="1" s="1"/>
  <c r="B88" i="1" a="1"/>
  <c r="B88" i="1" s="1"/>
  <c r="B89" i="1" a="1"/>
  <c r="B89" i="1" s="1"/>
  <c r="B90" i="1" a="1"/>
  <c r="B90" i="1"/>
  <c r="B91" i="1" a="1"/>
  <c r="B91" i="1" s="1"/>
  <c r="B92" i="1" a="1"/>
  <c r="B92" i="1" s="1"/>
  <c r="B93" i="1" a="1"/>
  <c r="B93" i="1" s="1"/>
  <c r="B94" i="1" a="1"/>
  <c r="B94" i="1" s="1"/>
  <c r="B95" i="1" a="1"/>
  <c r="B95" i="1" s="1"/>
  <c r="B96" i="1" a="1"/>
  <c r="B96" i="1" s="1"/>
  <c r="B97" i="1" a="1"/>
  <c r="B97" i="1" s="1"/>
  <c r="B98" i="1" a="1"/>
  <c r="B98" i="1"/>
  <c r="B99" i="1" a="1"/>
  <c r="B99" i="1" s="1"/>
  <c r="B100" i="1" a="1"/>
  <c r="B100" i="1" s="1"/>
  <c r="B101" i="1" a="1"/>
  <c r="B101" i="1" s="1"/>
  <c r="B102" i="1" a="1"/>
  <c r="B102" i="1" s="1"/>
  <c r="B103" i="1" a="1"/>
  <c r="B103" i="1" s="1"/>
  <c r="B104" i="1" a="1"/>
  <c r="B104" i="1" s="1"/>
  <c r="B105" i="1" a="1"/>
  <c r="B105" i="1" s="1"/>
  <c r="B106" i="1" a="1"/>
  <c r="B106" i="1"/>
  <c r="B107" i="1" a="1"/>
  <c r="B107" i="1" s="1"/>
  <c r="B108" i="1" a="1"/>
  <c r="B108" i="1" s="1"/>
  <c r="B109" i="1" a="1"/>
  <c r="B109" i="1" s="1"/>
  <c r="B110" i="1" a="1"/>
  <c r="B110" i="1" s="1"/>
  <c r="B111" i="1" a="1"/>
  <c r="B111" i="1" s="1"/>
  <c r="B112" i="1" a="1"/>
  <c r="B112" i="1" s="1"/>
  <c r="B113" i="1" a="1"/>
  <c r="B113" i="1" s="1"/>
  <c r="B114" i="1" a="1"/>
  <c r="B114" i="1"/>
  <c r="B115" i="1" a="1"/>
  <c r="B115" i="1" s="1"/>
  <c r="B116" i="1" a="1"/>
  <c r="B116" i="1" s="1"/>
  <c r="B117" i="1" a="1"/>
  <c r="B117" i="1" s="1"/>
  <c r="B118" i="1" a="1"/>
  <c r="B118" i="1" s="1"/>
  <c r="B119" i="1" a="1"/>
  <c r="B119" i="1" s="1"/>
  <c r="B120" i="1" a="1"/>
  <c r="B120" i="1" s="1"/>
  <c r="B121" i="1" a="1"/>
  <c r="B121" i="1" s="1"/>
  <c r="B122" i="1" a="1"/>
  <c r="B122" i="1"/>
  <c r="B123" i="1" a="1"/>
  <c r="B123" i="1" s="1"/>
  <c r="B124" i="1" a="1"/>
  <c r="B124" i="1" s="1"/>
  <c r="B125" i="1" a="1"/>
  <c r="B125" i="1" s="1"/>
  <c r="B126" i="1" a="1"/>
  <c r="B126" i="1" s="1"/>
  <c r="B127" i="1" a="1"/>
  <c r="B127" i="1" s="1"/>
  <c r="B128" i="1" a="1"/>
  <c r="B128" i="1" s="1"/>
  <c r="B129" i="1" a="1"/>
  <c r="B129" i="1" s="1"/>
  <c r="B130" i="1" a="1"/>
  <c r="B130" i="1"/>
  <c r="B131" i="1" a="1"/>
  <c r="B131" i="1" s="1"/>
  <c r="B132" i="1" a="1"/>
  <c r="B132" i="1" s="1"/>
  <c r="B133" i="1" a="1"/>
  <c r="B133" i="1" s="1"/>
  <c r="B134" i="1" a="1"/>
  <c r="B134" i="1" s="1"/>
  <c r="B135" i="1" a="1"/>
  <c r="B135" i="1" s="1"/>
  <c r="B136" i="1" a="1"/>
  <c r="B136" i="1" s="1"/>
  <c r="B137" i="1" a="1"/>
  <c r="B137" i="1" s="1"/>
  <c r="B138" i="1" a="1"/>
  <c r="B138" i="1" s="1"/>
  <c r="B139" i="1" a="1"/>
  <c r="B139" i="1" s="1"/>
  <c r="B140" i="1" a="1"/>
  <c r="B140" i="1" s="1"/>
  <c r="B141" i="1" a="1"/>
  <c r="B141" i="1" s="1"/>
  <c r="B142" i="1" a="1"/>
  <c r="B142" i="1" s="1"/>
  <c r="B143" i="1" a="1"/>
  <c r="B143" i="1" s="1"/>
  <c r="B144" i="1" a="1"/>
  <c r="B144" i="1" s="1"/>
  <c r="B145" i="1" a="1"/>
  <c r="B145" i="1" s="1"/>
  <c r="B146" i="1" a="1"/>
  <c r="B146" i="1"/>
  <c r="B147" i="1" a="1"/>
  <c r="B147" i="1" s="1"/>
  <c r="B148" i="1" a="1"/>
  <c r="B148" i="1" s="1"/>
  <c r="B149" i="1" a="1"/>
  <c r="B149" i="1" s="1"/>
  <c r="B150" i="1" a="1"/>
  <c r="B150" i="1" s="1"/>
  <c r="B151" i="1" a="1"/>
  <c r="B151" i="1" s="1"/>
  <c r="B152" i="1" a="1"/>
  <c r="B152" i="1" s="1"/>
  <c r="B153" i="1" a="1"/>
  <c r="B153" i="1" s="1"/>
  <c r="B154" i="1" a="1"/>
  <c r="B154" i="1"/>
  <c r="B155" i="1" a="1"/>
  <c r="B155" i="1" s="1"/>
  <c r="B156" i="1" a="1"/>
  <c r="B156" i="1" s="1"/>
  <c r="B157" i="1" a="1"/>
  <c r="B157" i="1" s="1"/>
  <c r="B158" i="1" a="1"/>
  <c r="B158" i="1" s="1"/>
  <c r="B159" i="1" a="1"/>
  <c r="B159" i="1" s="1"/>
  <c r="B160" i="1" a="1"/>
  <c r="B160" i="1" s="1"/>
  <c r="B161" i="1" a="1"/>
  <c r="B161" i="1" s="1"/>
  <c r="B162" i="1" a="1"/>
  <c r="B162" i="1"/>
  <c r="B163" i="1" a="1"/>
  <c r="B163" i="1" s="1"/>
  <c r="B164" i="1" a="1"/>
  <c r="B164" i="1" s="1"/>
  <c r="B165" i="1" a="1"/>
  <c r="B165" i="1" s="1"/>
  <c r="B166" i="1" a="1"/>
  <c r="B166" i="1" s="1"/>
  <c r="B167" i="1" a="1"/>
  <c r="B167" i="1" s="1"/>
  <c r="B168" i="1" a="1"/>
  <c r="B168" i="1" s="1"/>
  <c r="B169" i="1" a="1"/>
  <c r="B169" i="1" s="1"/>
  <c r="B170" i="1" a="1"/>
  <c r="B170" i="1" s="1"/>
  <c r="B171" i="1" a="1"/>
  <c r="B171" i="1" s="1"/>
  <c r="B172" i="1" a="1"/>
  <c r="B172" i="1" s="1"/>
  <c r="B173" i="1" a="1"/>
  <c r="B173" i="1" s="1"/>
  <c r="B174" i="1" a="1"/>
  <c r="B174" i="1" s="1"/>
  <c r="B175" i="1" a="1"/>
  <c r="B175" i="1" s="1"/>
  <c r="B176" i="1" a="1"/>
  <c r="B176" i="1" s="1"/>
  <c r="B177" i="1" a="1"/>
  <c r="B177" i="1" s="1"/>
  <c r="B178" i="1" a="1"/>
  <c r="B178" i="1"/>
  <c r="B179" i="1" a="1"/>
  <c r="B179" i="1" s="1"/>
  <c r="B180" i="1" a="1"/>
  <c r="B180" i="1" s="1"/>
  <c r="B181" i="1" a="1"/>
  <c r="B181" i="1" s="1"/>
  <c r="B182" i="1" a="1"/>
  <c r="B182" i="1" s="1"/>
  <c r="B183" i="1" a="1"/>
  <c r="B183" i="1" s="1"/>
  <c r="B184" i="1" a="1"/>
  <c r="B184" i="1" s="1"/>
  <c r="B185" i="1" a="1"/>
  <c r="B185" i="1" s="1"/>
  <c r="B186" i="1" a="1"/>
  <c r="B186" i="1"/>
  <c r="B187" i="1" a="1"/>
  <c r="B187" i="1" s="1"/>
  <c r="B188" i="1" a="1"/>
  <c r="B188" i="1" s="1"/>
  <c r="B189" i="1" a="1"/>
  <c r="B189" i="1" s="1"/>
  <c r="B190" i="1" a="1"/>
  <c r="B190" i="1" s="1"/>
  <c r="B191" i="1" a="1"/>
  <c r="B191" i="1" s="1"/>
  <c r="B192" i="1" a="1"/>
  <c r="B192" i="1" s="1"/>
  <c r="B193" i="1" a="1"/>
  <c r="B193" i="1" s="1"/>
  <c r="B194" i="1" a="1"/>
  <c r="B194" i="1"/>
  <c r="B195" i="1" a="1"/>
  <c r="B195" i="1" s="1"/>
  <c r="B196" i="1" a="1"/>
  <c r="B196" i="1" s="1"/>
  <c r="B197" i="1" a="1"/>
  <c r="B197" i="1" s="1"/>
  <c r="B198" i="1" a="1"/>
  <c r="B198" i="1" s="1"/>
  <c r="B199" i="1" a="1"/>
  <c r="B199" i="1" s="1"/>
  <c r="B200" i="1" a="1"/>
  <c r="B200" i="1" s="1"/>
  <c r="B201" i="1" a="1"/>
  <c r="B201" i="1" s="1"/>
  <c r="B202" i="1" a="1"/>
  <c r="B202" i="1" s="1"/>
  <c r="B203" i="1" a="1"/>
  <c r="B203" i="1" s="1"/>
  <c r="B204" i="1" a="1"/>
  <c r="B204" i="1" s="1"/>
  <c r="B205" i="1" a="1"/>
  <c r="B205" i="1" s="1"/>
  <c r="B206" i="1" a="1"/>
  <c r="B206" i="1" s="1"/>
  <c r="B207" i="1" a="1"/>
  <c r="B207" i="1" s="1"/>
  <c r="B208" i="1" a="1"/>
  <c r="B208" i="1" s="1"/>
  <c r="B209" i="1" a="1"/>
  <c r="B209" i="1" s="1"/>
  <c r="B210" i="1" a="1"/>
  <c r="B210" i="1"/>
  <c r="B211" i="1" a="1"/>
  <c r="B211" i="1" s="1"/>
  <c r="B212" i="1" a="1"/>
  <c r="B212" i="1" s="1"/>
  <c r="B213" i="1" a="1"/>
  <c r="B213" i="1" s="1"/>
  <c r="B214" i="1" a="1"/>
  <c r="B214" i="1" s="1"/>
  <c r="B215" i="1" a="1"/>
  <c r="B215" i="1" s="1"/>
  <c r="B216" i="1" a="1"/>
  <c r="B216" i="1" s="1"/>
  <c r="B217" i="1" a="1"/>
  <c r="B217" i="1" s="1"/>
  <c r="B218" i="1" a="1"/>
  <c r="B218" i="1"/>
  <c r="B219" i="1" a="1"/>
  <c r="B219" i="1" s="1"/>
  <c r="B220" i="1" a="1"/>
  <c r="B220" i="1" s="1"/>
  <c r="B221" i="1" a="1"/>
  <c r="B221" i="1" s="1"/>
  <c r="B222" i="1" a="1"/>
  <c r="B222" i="1" s="1"/>
  <c r="B223" i="1" a="1"/>
  <c r="B223" i="1" s="1"/>
  <c r="B224" i="1" a="1"/>
  <c r="B224" i="1" s="1"/>
  <c r="B225" i="1" a="1"/>
  <c r="B225" i="1" s="1"/>
  <c r="B226" i="1" a="1"/>
  <c r="B226" i="1"/>
  <c r="B227" i="1" a="1"/>
  <c r="B227" i="1" s="1"/>
  <c r="B228" i="1" a="1"/>
  <c r="B228" i="1" s="1"/>
  <c r="B229" i="1" a="1"/>
  <c r="B229" i="1" s="1"/>
  <c r="B230" i="1" a="1"/>
  <c r="B230" i="1" s="1"/>
  <c r="B231" i="1" a="1"/>
  <c r="B231" i="1" s="1"/>
  <c r="B232" i="1" a="1"/>
  <c r="B232" i="1" s="1"/>
  <c r="B233" i="1" a="1"/>
  <c r="B233" i="1" s="1"/>
  <c r="B234" i="1" a="1"/>
  <c r="B234" i="1"/>
  <c r="B235" i="1" a="1"/>
  <c r="B235" i="1" s="1"/>
  <c r="B236" i="1" a="1"/>
  <c r="B236" i="1" s="1"/>
  <c r="B237" i="1" a="1"/>
  <c r="B237" i="1" s="1"/>
  <c r="B238" i="1" a="1"/>
  <c r="B238" i="1" s="1"/>
  <c r="B239" i="1" a="1"/>
  <c r="B239" i="1" s="1"/>
  <c r="B240" i="1" a="1"/>
  <c r="B240" i="1" s="1"/>
  <c r="B241" i="1" a="1"/>
  <c r="B241" i="1" s="1"/>
  <c r="B242" i="1" a="1"/>
  <c r="B242" i="1"/>
  <c r="B243" i="1" a="1"/>
  <c r="B243" i="1" s="1"/>
  <c r="B244" i="1" a="1"/>
  <c r="B244" i="1" s="1"/>
  <c r="B245" i="1" a="1"/>
  <c r="B245" i="1" s="1"/>
  <c r="B246" i="1" a="1"/>
  <c r="B246" i="1"/>
  <c r="B247" i="1" a="1"/>
  <c r="B247" i="1" s="1"/>
  <c r="B248" i="1" a="1"/>
  <c r="B248" i="1" s="1"/>
  <c r="B249" i="1" a="1"/>
  <c r="B249" i="1" s="1"/>
  <c r="B250" i="1" a="1"/>
  <c r="B250" i="1"/>
  <c r="B251" i="1" a="1"/>
  <c r="B251" i="1" s="1"/>
  <c r="B252" i="1" a="1"/>
  <c r="B252" i="1" s="1"/>
  <c r="B253" i="1" a="1"/>
  <c r="B253" i="1" s="1"/>
  <c r="B254" i="1" a="1"/>
  <c r="B254" i="1" s="1"/>
  <c r="B255" i="1" a="1"/>
  <c r="B255" i="1" s="1"/>
  <c r="B256" i="1" a="1"/>
  <c r="B256" i="1" s="1"/>
  <c r="B257" i="1" a="1"/>
  <c r="B257" i="1" s="1"/>
  <c r="B258" i="1" a="1"/>
  <c r="B258" i="1"/>
  <c r="B259" i="1" a="1"/>
  <c r="B259" i="1" s="1"/>
  <c r="B260" i="1" a="1"/>
  <c r="B260" i="1" s="1"/>
  <c r="B261" i="1" a="1"/>
  <c r="B261" i="1" s="1"/>
  <c r="B262" i="1" a="1"/>
  <c r="B262" i="1" s="1"/>
  <c r="B263" i="1" a="1"/>
  <c r="B263" i="1" s="1"/>
  <c r="B264" i="1" a="1"/>
  <c r="B264" i="1" s="1"/>
  <c r="B265" i="1" a="1"/>
  <c r="B265" i="1" s="1"/>
  <c r="B266" i="1" a="1"/>
  <c r="B266" i="1" s="1"/>
  <c r="B267" i="1" a="1"/>
  <c r="B267" i="1" s="1"/>
  <c r="B268" i="1" a="1"/>
  <c r="B268" i="1" s="1"/>
  <c r="B269" i="1" a="1"/>
  <c r="B269" i="1" s="1"/>
  <c r="B270" i="1" a="1"/>
  <c r="B270" i="1" s="1"/>
  <c r="B271" i="1" a="1"/>
  <c r="B271" i="1" s="1"/>
  <c r="B272" i="1" a="1"/>
  <c r="B272" i="1" s="1"/>
  <c r="B273" i="1" a="1"/>
  <c r="B273" i="1" s="1"/>
  <c r="B274" i="1" a="1"/>
  <c r="B274" i="1"/>
  <c r="B275" i="1" a="1"/>
  <c r="B275" i="1" s="1"/>
  <c r="B276" i="1" a="1"/>
  <c r="B276" i="1" s="1"/>
  <c r="B277" i="1" a="1"/>
  <c r="B277" i="1" s="1"/>
  <c r="B278" i="1" a="1"/>
  <c r="B278" i="1" s="1"/>
  <c r="B279" i="1" a="1"/>
  <c r="B279" i="1" s="1"/>
  <c r="B280" i="1" a="1"/>
  <c r="B280" i="1" s="1"/>
  <c r="B281" i="1" a="1"/>
  <c r="B281" i="1" s="1"/>
  <c r="B282" i="1" a="1"/>
  <c r="B282" i="1"/>
  <c r="B283" i="1" a="1"/>
  <c r="B283" i="1" s="1"/>
  <c r="B284" i="1" a="1"/>
  <c r="B284" i="1" s="1"/>
  <c r="B285" i="1" a="1"/>
  <c r="B285" i="1" s="1"/>
  <c r="B286" i="1" a="1"/>
  <c r="B286" i="1" s="1"/>
  <c r="B287" i="1" a="1"/>
  <c r="B287" i="1" s="1"/>
  <c r="B288" i="1" a="1"/>
  <c r="B288" i="1" s="1"/>
  <c r="B289" i="1" a="1"/>
  <c r="B289" i="1" s="1"/>
  <c r="B290" i="1" a="1"/>
  <c r="B290" i="1"/>
  <c r="B291" i="1" a="1"/>
  <c r="B291" i="1" s="1"/>
  <c r="B292" i="1" a="1"/>
  <c r="B292" i="1" s="1"/>
  <c r="B293" i="1" a="1"/>
  <c r="B293" i="1" s="1"/>
  <c r="B294" i="1" a="1"/>
  <c r="B294" i="1" s="1"/>
  <c r="B295" i="1" a="1"/>
  <c r="B295" i="1" s="1"/>
  <c r="B296" i="1" a="1"/>
  <c r="B296" i="1" s="1"/>
  <c r="B297" i="1" a="1"/>
  <c r="B297" i="1" s="1"/>
  <c r="B298" i="1" a="1"/>
  <c r="B298" i="1"/>
  <c r="B299" i="1" a="1"/>
  <c r="B299" i="1" s="1"/>
  <c r="B300" i="1" a="1"/>
  <c r="B300" i="1" s="1"/>
  <c r="B301" i="1" a="1"/>
  <c r="B301" i="1" s="1"/>
  <c r="B302" i="1" a="1"/>
  <c r="B302" i="1" s="1"/>
  <c r="B303" i="1" a="1"/>
  <c r="B303" i="1" s="1"/>
  <c r="B304" i="1" a="1"/>
  <c r="B304" i="1" s="1"/>
  <c r="B305" i="1" a="1"/>
  <c r="B305" i="1" s="1"/>
  <c r="B306" i="1" a="1"/>
  <c r="B306" i="1"/>
  <c r="B307" i="1" a="1"/>
  <c r="B307" i="1" s="1"/>
  <c r="B308" i="1" a="1"/>
  <c r="B308" i="1" s="1"/>
  <c r="B309" i="1" a="1"/>
  <c r="B309" i="1" s="1"/>
  <c r="B310" i="1" a="1"/>
  <c r="B310" i="1"/>
  <c r="B311" i="1" a="1"/>
  <c r="B311" i="1" s="1"/>
  <c r="B312" i="1" a="1"/>
  <c r="B312" i="1" s="1"/>
  <c r="B313" i="1" a="1"/>
  <c r="B313" i="1" s="1"/>
  <c r="B314" i="1" a="1"/>
  <c r="B314" i="1"/>
  <c r="B315" i="1" a="1"/>
  <c r="B315" i="1" s="1"/>
  <c r="B316" i="1" a="1"/>
  <c r="B316" i="1" s="1"/>
  <c r="B317" i="1" a="1"/>
  <c r="B317" i="1" s="1"/>
  <c r="B318" i="1" a="1"/>
  <c r="B318" i="1" s="1"/>
  <c r="B319" i="1" a="1"/>
  <c r="B319" i="1" s="1"/>
  <c r="B320" i="1" a="1"/>
  <c r="B320" i="1" s="1"/>
  <c r="B321" i="1" a="1"/>
  <c r="B321" i="1" s="1"/>
  <c r="B322" i="1" a="1"/>
  <c r="B322" i="1"/>
  <c r="B323" i="1" a="1"/>
  <c r="B323" i="1" s="1"/>
  <c r="B324" i="1" a="1"/>
  <c r="B324" i="1" s="1"/>
  <c r="B325" i="1" a="1"/>
  <c r="B325" i="1" s="1"/>
  <c r="B326" i="1" a="1"/>
  <c r="B326" i="1" s="1"/>
  <c r="B327" i="1" a="1"/>
  <c r="B327" i="1" s="1"/>
  <c r="B328" i="1" a="1"/>
  <c r="B328" i="1" s="1"/>
  <c r="B329" i="1" a="1"/>
  <c r="B329" i="1" s="1"/>
  <c r="B330" i="1" a="1"/>
  <c r="B330" i="1"/>
  <c r="B331" i="1" a="1"/>
  <c r="B331" i="1" s="1"/>
  <c r="B332" i="1" a="1"/>
  <c r="B332" i="1" s="1"/>
  <c r="B333" i="1" a="1"/>
  <c r="B333" i="1" s="1"/>
  <c r="B334" i="1" a="1"/>
  <c r="B334" i="1" s="1"/>
  <c r="B335" i="1" a="1"/>
  <c r="B335" i="1" s="1"/>
  <c r="B336" i="1" a="1"/>
  <c r="B336" i="1" s="1"/>
  <c r="B337" i="1" a="1"/>
  <c r="B337" i="1" s="1"/>
  <c r="B338" i="1" a="1"/>
  <c r="B338" i="1" s="1"/>
  <c r="B339" i="1" a="1"/>
  <c r="B339" i="1" s="1"/>
  <c r="B340" i="1" a="1"/>
  <c r="B340" i="1" s="1"/>
  <c r="B341" i="1" a="1"/>
  <c r="B341" i="1" s="1"/>
  <c r="B342" i="1" a="1"/>
  <c r="B342" i="1"/>
  <c r="B343" i="1" a="1"/>
  <c r="B343" i="1" s="1"/>
  <c r="B344" i="1" a="1"/>
  <c r="B344" i="1" s="1"/>
  <c r="B345" i="1" a="1"/>
  <c r="B345" i="1" s="1"/>
  <c r="B346" i="1" a="1"/>
  <c r="B346" i="1"/>
  <c r="B347" i="1" a="1"/>
  <c r="B347" i="1" s="1"/>
  <c r="B348" i="1" a="1"/>
  <c r="B348" i="1" s="1"/>
  <c r="B349" i="1" a="1"/>
  <c r="B349" i="1" s="1"/>
  <c r="B350" i="1" a="1"/>
  <c r="B350" i="1"/>
  <c r="B351" i="1" a="1"/>
  <c r="B351" i="1" s="1"/>
  <c r="B352" i="1" a="1"/>
  <c r="B352" i="1" s="1"/>
  <c r="B353" i="1" a="1"/>
  <c r="B353" i="1" s="1"/>
  <c r="B354" i="1" a="1"/>
  <c r="B354" i="1" s="1"/>
  <c r="B355" i="1" a="1"/>
  <c r="B355" i="1" s="1"/>
  <c r="B356" i="1" a="1"/>
  <c r="B356" i="1" s="1"/>
  <c r="B357" i="1" a="1"/>
  <c r="B357" i="1" s="1"/>
  <c r="B358" i="1" a="1"/>
  <c r="B358" i="1"/>
  <c r="B359" i="1" a="1"/>
  <c r="B359" i="1" s="1"/>
  <c r="B360" i="1" a="1"/>
  <c r="B360" i="1" s="1"/>
  <c r="B361" i="1" a="1"/>
  <c r="B361" i="1" s="1"/>
  <c r="B362" i="1" a="1"/>
  <c r="B362" i="1" s="1"/>
  <c r="B363" i="1" a="1"/>
  <c r="B363" i="1" s="1"/>
  <c r="B364" i="1" a="1"/>
  <c r="B364" i="1" s="1"/>
  <c r="B365" i="1" a="1"/>
  <c r="B365" i="1" s="1"/>
  <c r="B366" i="1" a="1"/>
  <c r="B366" i="1"/>
  <c r="B367" i="1" a="1"/>
  <c r="B367" i="1" s="1"/>
  <c r="B368" i="1" a="1"/>
  <c r="B368" i="1" s="1"/>
  <c r="B369" i="1" a="1"/>
  <c r="B369" i="1" s="1"/>
  <c r="B370" i="1" a="1"/>
  <c r="B370" i="1" s="1"/>
  <c r="B371" i="1" a="1"/>
  <c r="B371" i="1" s="1"/>
  <c r="B372" i="1" a="1"/>
  <c r="B372" i="1" s="1"/>
  <c r="B373" i="1" a="1"/>
  <c r="B373" i="1" s="1"/>
  <c r="B374" i="1" a="1"/>
  <c r="B374" i="1"/>
  <c r="B375" i="1" a="1"/>
  <c r="B375" i="1" s="1"/>
  <c r="B376" i="1" a="1"/>
  <c r="B376" i="1" s="1"/>
  <c r="B377" i="1" a="1"/>
  <c r="B377" i="1" s="1"/>
  <c r="B378" i="1" a="1"/>
  <c r="B378" i="1"/>
  <c r="B379" i="1" a="1"/>
  <c r="B379" i="1" s="1"/>
  <c r="B380" i="1" a="1"/>
  <c r="B380" i="1" s="1"/>
  <c r="B381" i="1" a="1"/>
  <c r="B381" i="1" s="1"/>
  <c r="B382" i="1" a="1"/>
  <c r="B382" i="1"/>
  <c r="B383" i="1" a="1"/>
  <c r="B383" i="1" s="1"/>
  <c r="B384" i="1" a="1"/>
  <c r="B384" i="1" s="1"/>
  <c r="B385" i="1" a="1"/>
  <c r="B385" i="1" s="1"/>
  <c r="B386" i="1" a="1"/>
  <c r="B386" i="1" s="1"/>
  <c r="B387" i="1" a="1"/>
  <c r="B387" i="1" s="1"/>
  <c r="B388" i="1" a="1"/>
  <c r="B388" i="1" s="1"/>
  <c r="B389" i="1" a="1"/>
  <c r="B389" i="1" s="1"/>
  <c r="B390" i="1" a="1"/>
  <c r="B390" i="1"/>
  <c r="B391" i="1" a="1"/>
  <c r="B391" i="1" s="1"/>
  <c r="B392" i="1" a="1"/>
  <c r="B392" i="1" s="1"/>
  <c r="B393" i="1" a="1"/>
  <c r="B393" i="1" s="1"/>
  <c r="B394" i="1" a="1"/>
  <c r="B394" i="1" s="1"/>
  <c r="B395" i="1" a="1"/>
  <c r="B395" i="1" s="1"/>
  <c r="B396" i="1" a="1"/>
  <c r="B396" i="1" s="1"/>
  <c r="B397" i="1" a="1"/>
  <c r="B397" i="1" s="1"/>
  <c r="B398" i="1" a="1"/>
  <c r="B398" i="1"/>
  <c r="B399" i="1" a="1"/>
  <c r="B399" i="1" s="1"/>
  <c r="B400" i="1" a="1"/>
  <c r="B400" i="1" s="1"/>
  <c r="B401" i="1" a="1"/>
  <c r="B401" i="1" s="1"/>
  <c r="B402" i="1" a="1"/>
  <c r="B402" i="1" s="1"/>
  <c r="B403" i="1" a="1"/>
  <c r="B403" i="1" s="1"/>
  <c r="B404" i="1" a="1"/>
  <c r="B404" i="1" s="1"/>
  <c r="B405" i="1" a="1"/>
  <c r="B405" i="1" s="1"/>
  <c r="B406" i="1" a="1"/>
  <c r="B406" i="1"/>
  <c r="B407" i="1" a="1"/>
  <c r="B407" i="1" s="1"/>
  <c r="B408" i="1" a="1"/>
  <c r="B408" i="1" s="1"/>
  <c r="B409" i="1" a="1"/>
  <c r="B409" i="1" s="1"/>
  <c r="B410" i="1" a="1"/>
  <c r="B410" i="1"/>
  <c r="B411" i="1" a="1"/>
  <c r="B411" i="1" s="1"/>
  <c r="B412" i="1" a="1"/>
  <c r="B412" i="1" s="1"/>
  <c r="B413" i="1" a="1"/>
  <c r="B413" i="1" s="1"/>
  <c r="B414" i="1" a="1"/>
  <c r="B414" i="1"/>
  <c r="B415" i="1" a="1"/>
  <c r="B415" i="1" s="1"/>
  <c r="B416" i="1" a="1"/>
  <c r="B416" i="1" s="1"/>
  <c r="B417" i="1" a="1"/>
  <c r="B417" i="1" s="1"/>
  <c r="B418" i="1" a="1"/>
  <c r="B418" i="1" s="1"/>
  <c r="B419" i="1" a="1"/>
  <c r="B419" i="1" s="1"/>
  <c r="B420" i="1" a="1"/>
  <c r="B420" i="1" s="1"/>
  <c r="B421" i="1" a="1"/>
  <c r="B421" i="1" s="1"/>
  <c r="B422" i="1" a="1"/>
  <c r="B422" i="1"/>
  <c r="B423" i="1" a="1"/>
  <c r="B423" i="1" s="1"/>
  <c r="B424" i="1" a="1"/>
  <c r="B424" i="1" s="1"/>
  <c r="B425" i="1" a="1"/>
  <c r="B425" i="1" s="1"/>
  <c r="B426" i="1" a="1"/>
  <c r="B426" i="1" s="1"/>
  <c r="B427" i="1" a="1"/>
  <c r="B427" i="1" s="1"/>
  <c r="B428" i="1" a="1"/>
  <c r="B428" i="1" s="1"/>
  <c r="B429" i="1" a="1"/>
  <c r="B429" i="1" s="1"/>
  <c r="B430" i="1" a="1"/>
  <c r="B430" i="1"/>
  <c r="B431" i="1" a="1"/>
  <c r="B431" i="1" s="1"/>
  <c r="B432" i="1" a="1"/>
  <c r="B432" i="1" s="1"/>
  <c r="B433" i="1" a="1"/>
  <c r="B433" i="1" s="1"/>
  <c r="B434" i="1" a="1"/>
  <c r="B434" i="1" s="1"/>
  <c r="B435" i="1" a="1"/>
  <c r="B435" i="1" s="1"/>
  <c r="B436" i="1" a="1"/>
  <c r="B436" i="1" s="1"/>
  <c r="B437" i="1" a="1"/>
  <c r="B437" i="1" s="1"/>
  <c r="B438" i="1" a="1"/>
  <c r="B438" i="1" s="1"/>
  <c r="B439" i="1" a="1"/>
  <c r="B439" i="1" s="1"/>
  <c r="B440" i="1" a="1"/>
  <c r="B440" i="1" s="1"/>
  <c r="B441" i="1" a="1"/>
  <c r="B441" i="1" s="1"/>
  <c r="B442" i="1" a="1"/>
  <c r="B442" i="1"/>
  <c r="B443" i="1" a="1"/>
  <c r="B443" i="1" s="1"/>
  <c r="B444" i="1" a="1"/>
  <c r="B444" i="1" s="1"/>
  <c r="B445" i="1" a="1"/>
  <c r="B445" i="1" s="1"/>
  <c r="B446" i="1" a="1"/>
  <c r="B446" i="1"/>
  <c r="B447" i="1" a="1"/>
  <c r="B447" i="1" s="1"/>
  <c r="B448" i="1" a="1"/>
  <c r="B448" i="1" s="1"/>
  <c r="B449" i="1" a="1"/>
  <c r="B449" i="1" s="1"/>
  <c r="B450" i="1" a="1"/>
  <c r="B450" i="1" s="1"/>
  <c r="B451" i="1" a="1"/>
  <c r="B451" i="1" s="1"/>
  <c r="B452" i="1" a="1"/>
  <c r="B452" i="1" s="1"/>
  <c r="B453" i="1" a="1"/>
  <c r="B453" i="1" s="1"/>
  <c r="B454" i="1" a="1"/>
  <c r="B454" i="1"/>
  <c r="B455" i="1" a="1"/>
  <c r="B455" i="1" s="1"/>
  <c r="B456" i="1" a="1"/>
  <c r="B456" i="1" s="1"/>
  <c r="B457" i="1" a="1"/>
  <c r="B457" i="1" s="1"/>
  <c r="B458" i="1" a="1"/>
  <c r="B458" i="1" s="1"/>
  <c r="B459" i="1" a="1"/>
  <c r="B459" i="1" s="1"/>
  <c r="B460" i="1" a="1"/>
  <c r="B460" i="1" s="1"/>
  <c r="B461" i="1" a="1"/>
  <c r="B461" i="1" s="1"/>
  <c r="B462" i="1" a="1"/>
  <c r="B462" i="1"/>
  <c r="B463" i="1" a="1"/>
  <c r="B463" i="1" s="1"/>
  <c r="B464" i="1" a="1"/>
  <c r="B464" i="1" s="1"/>
  <c r="B465" i="1" a="1"/>
  <c r="B465" i="1" s="1"/>
  <c r="B466" i="1" a="1"/>
  <c r="B466" i="1" s="1"/>
  <c r="B467" i="1" a="1"/>
  <c r="B467" i="1" s="1"/>
  <c r="B468" i="1" a="1"/>
  <c r="B468" i="1" s="1"/>
  <c r="B469" i="1" a="1"/>
  <c r="B469" i="1" s="1"/>
  <c r="B470" i="1" a="1"/>
  <c r="B470" i="1" s="1"/>
  <c r="B471" i="1" a="1"/>
  <c r="B471" i="1" s="1"/>
  <c r="B472" i="1" a="1"/>
  <c r="B472" i="1" s="1"/>
  <c r="B473" i="1" a="1"/>
  <c r="B473" i="1" s="1"/>
  <c r="B474" i="1" a="1"/>
  <c r="B474" i="1"/>
  <c r="B475" i="1" a="1"/>
  <c r="B475" i="1" s="1"/>
  <c r="B476" i="1" a="1"/>
  <c r="B476" i="1" s="1"/>
  <c r="B477" i="1" a="1"/>
  <c r="B477" i="1" s="1"/>
  <c r="B478" i="1" a="1"/>
  <c r="B478" i="1"/>
  <c r="B479" i="1" a="1"/>
  <c r="B479" i="1" s="1"/>
  <c r="B480" i="1" a="1"/>
  <c r="B480" i="1" s="1"/>
  <c r="B481" i="1" a="1"/>
  <c r="B481" i="1" s="1"/>
  <c r="B482" i="1" a="1"/>
  <c r="B482" i="1" s="1"/>
  <c r="B483" i="1" a="1"/>
  <c r="B483" i="1" s="1"/>
  <c r="B484" i="1" a="1"/>
  <c r="B484" i="1" s="1"/>
  <c r="B485" i="1" a="1"/>
  <c r="B485" i="1" s="1"/>
  <c r="B486" i="1" a="1"/>
  <c r="B486" i="1"/>
  <c r="B487" i="1" a="1"/>
  <c r="B487" i="1" s="1"/>
  <c r="B488" i="1" a="1"/>
  <c r="B488" i="1" s="1"/>
  <c r="B489" i="1" a="1"/>
  <c r="B489" i="1" s="1"/>
  <c r="B490" i="1" a="1"/>
  <c r="B490" i="1" s="1"/>
  <c r="B491" i="1" a="1"/>
  <c r="B491" i="1" s="1"/>
  <c r="B492" i="1" a="1"/>
  <c r="B492" i="1" s="1"/>
  <c r="B493" i="1" a="1"/>
  <c r="B493" i="1" s="1"/>
  <c r="B494" i="1" a="1"/>
  <c r="B494" i="1"/>
  <c r="B495" i="1" a="1"/>
  <c r="B495" i="1" s="1"/>
  <c r="B496" i="1" a="1"/>
  <c r="B496" i="1" s="1"/>
  <c r="B497" i="1" a="1"/>
  <c r="B497" i="1" s="1"/>
  <c r="B498" i="1" a="1"/>
  <c r="B498" i="1" s="1"/>
  <c r="B499" i="1" a="1"/>
  <c r="B499" i="1" s="1"/>
  <c r="B500" i="1" a="1"/>
  <c r="B500" i="1" s="1"/>
  <c r="B501" i="1" a="1"/>
  <c r="B501" i="1" s="1"/>
  <c r="B502" i="1" a="1"/>
  <c r="B502" i="1" s="1"/>
  <c r="B503" i="1" a="1"/>
  <c r="B503" i="1" s="1"/>
  <c r="B504" i="1" a="1"/>
  <c r="B504" i="1" s="1"/>
  <c r="B505" i="1" a="1"/>
  <c r="B505" i="1" s="1"/>
  <c r="B506" i="1" a="1"/>
  <c r="B506" i="1"/>
  <c r="B507" i="1" a="1"/>
  <c r="B507" i="1" s="1"/>
  <c r="B508" i="1" a="1"/>
  <c r="B508" i="1" s="1"/>
  <c r="B509" i="1" a="1"/>
  <c r="B509" i="1" s="1"/>
  <c r="B510" i="1" a="1"/>
  <c r="B510" i="1"/>
  <c r="B511" i="1" a="1"/>
  <c r="B511" i="1" s="1"/>
  <c r="B512" i="1" a="1"/>
  <c r="B512" i="1" s="1"/>
  <c r="B513" i="1" a="1"/>
  <c r="B513" i="1" s="1"/>
  <c r="B514" i="1" a="1"/>
  <c r="B514" i="1" s="1"/>
  <c r="B515" i="1" a="1"/>
  <c r="B515" i="1" s="1"/>
  <c r="B516" i="1" a="1"/>
  <c r="B516" i="1" s="1"/>
  <c r="B517" i="1" a="1"/>
  <c r="B517" i="1" s="1"/>
  <c r="B518" i="1" a="1"/>
  <c r="B518" i="1"/>
  <c r="B519" i="1" a="1"/>
  <c r="B519" i="1" s="1"/>
  <c r="B520" i="1" a="1"/>
  <c r="B520" i="1" s="1"/>
  <c r="B521" i="1" a="1"/>
  <c r="B521" i="1" s="1"/>
  <c r="B522" i="1" a="1"/>
  <c r="B522" i="1" s="1"/>
  <c r="B523" i="1" a="1"/>
  <c r="B523" i="1" s="1"/>
  <c r="B524" i="1" a="1"/>
  <c r="B524" i="1" s="1"/>
  <c r="B525" i="1" a="1"/>
  <c r="B525" i="1" s="1"/>
  <c r="B526" i="1" a="1"/>
  <c r="B526" i="1"/>
  <c r="B527" i="1" a="1"/>
  <c r="B527" i="1" s="1"/>
  <c r="B528" i="1" a="1"/>
  <c r="B528" i="1" s="1"/>
  <c r="B529" i="1" a="1"/>
  <c r="B529" i="1" s="1"/>
  <c r="B530" i="1" a="1"/>
  <c r="B530" i="1" s="1"/>
  <c r="B531" i="1" a="1"/>
  <c r="B531" i="1" s="1"/>
  <c r="B532" i="1" a="1"/>
  <c r="B532" i="1" s="1"/>
  <c r="B533" i="1" a="1"/>
  <c r="B533" i="1" s="1"/>
  <c r="B534" i="1" a="1"/>
  <c r="B534" i="1" s="1"/>
  <c r="B535" i="1" a="1"/>
  <c r="B535" i="1" s="1"/>
  <c r="B536" i="1" a="1"/>
  <c r="B536" i="1" s="1"/>
  <c r="B537" i="1" a="1"/>
  <c r="B537" i="1" s="1"/>
  <c r="B538" i="1" a="1"/>
  <c r="B538" i="1"/>
  <c r="B539" i="1" a="1"/>
  <c r="B539" i="1" s="1"/>
  <c r="B540" i="1" a="1"/>
  <c r="B540" i="1" s="1"/>
  <c r="B541" i="1" a="1"/>
  <c r="B541" i="1" s="1"/>
  <c r="B542" i="1" a="1"/>
  <c r="B542" i="1"/>
  <c r="B543" i="1" a="1"/>
  <c r="B543" i="1" s="1"/>
  <c r="B544" i="1" a="1"/>
  <c r="B544" i="1" s="1"/>
  <c r="B545" i="1" a="1"/>
  <c r="B545" i="1" s="1"/>
  <c r="B546" i="1" a="1"/>
  <c r="B546" i="1" s="1"/>
  <c r="B547" i="1" a="1"/>
  <c r="B547" i="1" s="1"/>
  <c r="B548" i="1" a="1"/>
  <c r="B548" i="1" s="1"/>
  <c r="B549" i="1" a="1"/>
  <c r="B549" i="1" s="1"/>
  <c r="B550" i="1" a="1"/>
  <c r="B550" i="1"/>
  <c r="B551" i="1" a="1"/>
  <c r="B551" i="1" s="1"/>
  <c r="B552" i="1" a="1"/>
  <c r="B552" i="1" s="1"/>
  <c r="B553" i="1" a="1"/>
  <c r="B553" i="1" s="1"/>
  <c r="B554" i="1" a="1"/>
  <c r="B554" i="1" s="1"/>
  <c r="B555" i="1" a="1"/>
  <c r="B555" i="1" s="1"/>
  <c r="B556" i="1" a="1"/>
  <c r="B556" i="1" s="1"/>
  <c r="B557" i="1" a="1"/>
  <c r="B557" i="1" s="1"/>
  <c r="B558" i="1" a="1"/>
  <c r="B558" i="1"/>
  <c r="B559" i="1" a="1"/>
  <c r="B559" i="1" s="1"/>
  <c r="B560" i="1" a="1"/>
  <c r="B560" i="1" s="1"/>
  <c r="B561" i="1" a="1"/>
  <c r="B561" i="1" s="1"/>
  <c r="B562" i="1" a="1"/>
  <c r="B562" i="1" s="1"/>
  <c r="B563" i="1" a="1"/>
  <c r="B563" i="1" s="1"/>
  <c r="B564" i="1" a="1"/>
  <c r="B564" i="1" s="1"/>
  <c r="B565" i="1" a="1"/>
  <c r="B565" i="1" s="1"/>
  <c r="B566" i="1" a="1"/>
  <c r="B566" i="1"/>
  <c r="B567" i="1" a="1"/>
  <c r="B567" i="1" s="1"/>
  <c r="B568" i="1" a="1"/>
  <c r="B568" i="1" s="1"/>
  <c r="B569" i="1" a="1"/>
  <c r="B569" i="1" s="1"/>
  <c r="B570" i="1" a="1"/>
  <c r="B570" i="1"/>
  <c r="B571" i="1" a="1"/>
  <c r="B571" i="1" s="1"/>
  <c r="B572" i="1" a="1"/>
  <c r="B572" i="1" s="1"/>
  <c r="B573" i="1" a="1"/>
  <c r="B573" i="1" s="1"/>
  <c r="B574" i="1" a="1"/>
  <c r="B574" i="1"/>
  <c r="B575" i="1" a="1"/>
  <c r="B575" i="1" s="1"/>
  <c r="B576" i="1" a="1"/>
  <c r="B576" i="1" s="1"/>
  <c r="B577" i="1" a="1"/>
  <c r="B577" i="1" s="1"/>
  <c r="B578" i="1" a="1"/>
  <c r="B578" i="1" s="1"/>
  <c r="B579" i="1" a="1"/>
  <c r="B579" i="1" s="1"/>
  <c r="B580" i="1" a="1"/>
  <c r="B580" i="1" s="1"/>
  <c r="B581" i="1" a="1"/>
  <c r="B581" i="1" s="1"/>
  <c r="B582" i="1" a="1"/>
  <c r="B582" i="1"/>
  <c r="B583" i="1" a="1"/>
  <c r="B583" i="1" s="1"/>
  <c r="B584" i="1" a="1"/>
  <c r="B584" i="1" s="1"/>
  <c r="B585" i="1" a="1"/>
  <c r="B585" i="1" s="1"/>
  <c r="B586" i="1" a="1"/>
  <c r="B586" i="1" s="1"/>
  <c r="B587" i="1" a="1"/>
  <c r="B587" i="1" s="1"/>
  <c r="B588" i="1" a="1"/>
  <c r="B588" i="1" s="1"/>
  <c r="B589" i="1" a="1"/>
  <c r="B589" i="1" s="1"/>
  <c r="B590" i="1" a="1"/>
  <c r="B590" i="1"/>
  <c r="B591" i="1" a="1"/>
  <c r="B591" i="1" s="1"/>
  <c r="B592" i="1" a="1"/>
  <c r="B592" i="1" s="1"/>
  <c r="B593" i="1" a="1"/>
  <c r="B593" i="1" s="1"/>
  <c r="B594" i="1" a="1"/>
  <c r="B594" i="1" s="1"/>
  <c r="B595" i="1" a="1"/>
  <c r="B595" i="1" s="1"/>
  <c r="B596" i="1" a="1"/>
  <c r="B596" i="1" s="1"/>
  <c r="B597" i="1" a="1"/>
  <c r="B597" i="1" s="1"/>
  <c r="B598" i="1" a="1"/>
  <c r="B598" i="1" s="1"/>
  <c r="B599" i="1" a="1"/>
  <c r="B599" i="1" s="1"/>
  <c r="B600" i="1" a="1"/>
  <c r="B600" i="1" s="1"/>
  <c r="B601" i="1" a="1"/>
  <c r="B601" i="1" s="1"/>
  <c r="B602" i="1" a="1"/>
  <c r="B602" i="1"/>
  <c r="B603" i="1" a="1"/>
  <c r="B603" i="1" s="1"/>
  <c r="B604" i="1" a="1"/>
  <c r="B604" i="1" s="1"/>
  <c r="B605" i="1" a="1"/>
  <c r="B605" i="1" s="1"/>
  <c r="B606" i="1" a="1"/>
  <c r="B606" i="1" s="1"/>
  <c r="B607" i="1" a="1"/>
  <c r="B607" i="1" s="1"/>
  <c r="B608" i="1" a="1"/>
  <c r="B608" i="1" s="1"/>
  <c r="B609" i="1" a="1"/>
  <c r="B609" i="1" s="1"/>
  <c r="B610" i="1" a="1"/>
  <c r="B610" i="1" s="1"/>
  <c r="B611" i="1" a="1"/>
  <c r="B611" i="1" s="1"/>
  <c r="B612" i="1" a="1"/>
  <c r="B612" i="1" s="1"/>
  <c r="B613" i="1" a="1"/>
  <c r="B613" i="1" s="1"/>
  <c r="B614" i="1" a="1"/>
  <c r="B614" i="1"/>
  <c r="B615" i="1" a="1"/>
  <c r="B615" i="1" s="1"/>
  <c r="B616" i="1" a="1"/>
  <c r="B616" i="1" s="1"/>
  <c r="B617" i="1" a="1"/>
  <c r="B617" i="1" s="1"/>
  <c r="B618" i="1" a="1"/>
  <c r="B618" i="1" s="1"/>
  <c r="B619" i="1" a="1"/>
  <c r="B619" i="1" s="1"/>
  <c r="B620" i="1" a="1"/>
  <c r="B620" i="1" s="1"/>
  <c r="B621" i="1" a="1"/>
  <c r="B621" i="1" s="1"/>
  <c r="B622" i="1" a="1"/>
  <c r="B622" i="1"/>
  <c r="B623" i="1" a="1"/>
  <c r="B623" i="1" s="1"/>
  <c r="B624" i="1" a="1"/>
  <c r="B624" i="1" s="1"/>
  <c r="B625" i="1" a="1"/>
  <c r="B625" i="1" s="1"/>
  <c r="B626" i="1" a="1"/>
  <c r="B626" i="1" s="1"/>
  <c r="B627" i="1" a="1"/>
  <c r="B627" i="1"/>
  <c r="B628" i="1" a="1"/>
  <c r="B628" i="1" s="1"/>
  <c r="B629" i="1" a="1"/>
  <c r="B629" i="1" s="1"/>
  <c r="B630" i="1" a="1"/>
  <c r="B630" i="1" s="1"/>
  <c r="B631" i="1" a="1"/>
  <c r="B631" i="1" s="1"/>
  <c r="B632" i="1" a="1"/>
  <c r="B632" i="1" s="1"/>
  <c r="B633" i="1" a="1"/>
  <c r="B633" i="1" s="1"/>
  <c r="B634" i="1" a="1"/>
  <c r="B634" i="1" s="1"/>
  <c r="B635" i="1" a="1"/>
  <c r="B635" i="1" s="1"/>
  <c r="B636" i="1" a="1"/>
  <c r="B636" i="1" s="1"/>
  <c r="B637" i="1" a="1"/>
  <c r="B637" i="1" s="1"/>
  <c r="B638" i="1" a="1"/>
  <c r="B638" i="1"/>
  <c r="B639" i="1" a="1"/>
  <c r="B639" i="1" s="1"/>
  <c r="B640" i="1" a="1"/>
  <c r="B640" i="1" s="1"/>
  <c r="B641" i="1" a="1"/>
  <c r="B641" i="1"/>
  <c r="B642" i="1" a="1"/>
  <c r="B642" i="1"/>
  <c r="B643" i="1" a="1"/>
  <c r="B643" i="1"/>
  <c r="B644" i="1" a="1"/>
  <c r="B644" i="1"/>
  <c r="B645" i="1" a="1"/>
  <c r="B645" i="1"/>
  <c r="B646" i="1" a="1"/>
  <c r="B646" i="1"/>
  <c r="B647" i="1" a="1"/>
  <c r="B647" i="1"/>
  <c r="B648" i="1" a="1"/>
  <c r="B648" i="1" s="1"/>
  <c r="B649" i="1" a="1"/>
  <c r="B649" i="1" s="1"/>
  <c r="B650" i="1" a="1"/>
  <c r="B650" i="1"/>
  <c r="B651" i="1" a="1"/>
  <c r="B651" i="1"/>
  <c r="B652" i="1" a="1"/>
  <c r="B652" i="1" s="1"/>
  <c r="B653" i="1" a="1"/>
  <c r="B653" i="1" s="1"/>
  <c r="B654" i="1" a="1"/>
  <c r="B654" i="1"/>
  <c r="B655" i="1" a="1"/>
  <c r="B655" i="1"/>
  <c r="B656" i="1" a="1"/>
  <c r="B656" i="1" s="1"/>
  <c r="B657" i="1" a="1"/>
  <c r="B657" i="1" s="1"/>
  <c r="B658" i="1" a="1"/>
  <c r="B658" i="1"/>
  <c r="B659" i="1" a="1"/>
  <c r="B659" i="1"/>
  <c r="B660" i="1" a="1"/>
  <c r="B660" i="1" s="1"/>
  <c r="B661" i="1" a="1"/>
  <c r="B661" i="1" s="1"/>
  <c r="B662" i="1" a="1"/>
  <c r="B662" i="1" s="1"/>
  <c r="B663" i="1" a="1"/>
  <c r="B663" i="1"/>
  <c r="B664" i="1" a="1"/>
  <c r="B664" i="1" s="1"/>
  <c r="B665" i="1" a="1"/>
  <c r="B665" i="1" s="1"/>
  <c r="B666" i="1" a="1"/>
  <c r="B666" i="1" s="1"/>
  <c r="B667" i="1" a="1"/>
  <c r="B667" i="1"/>
  <c r="B668" i="1" a="1"/>
  <c r="B668" i="1" s="1"/>
  <c r="B669" i="1" a="1"/>
  <c r="B669" i="1" s="1"/>
  <c r="B670" i="1" a="1"/>
  <c r="B670" i="1" s="1"/>
  <c r="B671" i="1" a="1"/>
  <c r="B671" i="1"/>
  <c r="B672" i="1" a="1"/>
  <c r="B672" i="1" s="1"/>
  <c r="B673" i="1" a="1"/>
  <c r="B673" i="1" s="1"/>
  <c r="B674" i="1" a="1"/>
  <c r="B674" i="1" s="1"/>
  <c r="B675" i="1" a="1"/>
  <c r="B675" i="1"/>
  <c r="B676" i="1" a="1"/>
  <c r="B676" i="1" s="1"/>
  <c r="B677" i="1" a="1"/>
  <c r="B677" i="1" s="1"/>
  <c r="B678" i="1" a="1"/>
  <c r="B678" i="1" s="1"/>
  <c r="B679" i="1" a="1"/>
  <c r="B679" i="1"/>
  <c r="B680" i="1" a="1"/>
  <c r="B680" i="1" s="1"/>
  <c r="B681" i="1" a="1"/>
  <c r="B681" i="1" s="1"/>
  <c r="B682" i="1" a="1"/>
  <c r="B682" i="1" s="1"/>
  <c r="B683" i="1" a="1"/>
  <c r="B683" i="1"/>
  <c r="B684" i="1" a="1"/>
  <c r="B684" i="1" s="1"/>
  <c r="B685" i="1" a="1"/>
  <c r="B685" i="1" s="1"/>
  <c r="B686" i="1" a="1"/>
  <c r="B686" i="1" s="1"/>
  <c r="B687" i="1" a="1"/>
  <c r="B687" i="1"/>
  <c r="B688" i="1" a="1"/>
  <c r="B688" i="1" s="1"/>
  <c r="B689" i="1" a="1"/>
  <c r="B689" i="1" s="1"/>
  <c r="B690" i="1" a="1"/>
  <c r="B690" i="1" s="1"/>
  <c r="B691" i="1" a="1"/>
  <c r="B691" i="1"/>
  <c r="B692" i="1" a="1"/>
  <c r="B692" i="1" s="1"/>
  <c r="B693" i="1" a="1"/>
  <c r="B693" i="1" s="1"/>
  <c r="B694" i="1" a="1"/>
  <c r="B694" i="1" s="1"/>
  <c r="B695" i="1" a="1"/>
  <c r="B695" i="1"/>
  <c r="B696" i="1" a="1"/>
  <c r="B696" i="1" s="1"/>
  <c r="B697" i="1" a="1"/>
  <c r="B697" i="1" s="1"/>
  <c r="B698" i="1" a="1"/>
  <c r="B698" i="1" s="1"/>
  <c r="B699" i="1" a="1"/>
  <c r="B699" i="1"/>
  <c r="B700" i="1" a="1"/>
  <c r="B700" i="1" s="1"/>
  <c r="B701" i="1" a="1"/>
  <c r="B701" i="1" s="1"/>
  <c r="B702" i="1" a="1"/>
  <c r="B702" i="1" s="1"/>
  <c r="B703" i="1" a="1"/>
  <c r="B703" i="1"/>
  <c r="B704" i="1" a="1"/>
  <c r="B704" i="1" s="1"/>
  <c r="B705" i="1" a="1"/>
  <c r="B705" i="1" s="1"/>
  <c r="B706" i="1" a="1"/>
  <c r="B706" i="1" s="1"/>
  <c r="B707" i="1" a="1"/>
  <c r="B707" i="1"/>
  <c r="B708" i="1" a="1"/>
  <c r="B708" i="1" s="1"/>
  <c r="B709" i="1" a="1"/>
  <c r="B709" i="1" s="1"/>
  <c r="B710" i="1" a="1"/>
  <c r="B710" i="1" s="1"/>
  <c r="B711" i="1" a="1"/>
  <c r="B711" i="1"/>
  <c r="B712" i="1" a="1"/>
  <c r="B712" i="1" s="1"/>
  <c r="B713" i="1" a="1"/>
  <c r="B713" i="1" s="1"/>
  <c r="B714" i="1" a="1"/>
  <c r="B714" i="1" s="1"/>
  <c r="B715" i="1" a="1"/>
  <c r="B715" i="1"/>
  <c r="B716" i="1" a="1"/>
  <c r="B716" i="1" s="1"/>
  <c r="B717" i="1" a="1"/>
  <c r="B717" i="1" s="1"/>
  <c r="B718" i="1" a="1"/>
  <c r="B718" i="1" s="1"/>
  <c r="B719" i="1" a="1"/>
  <c r="B719" i="1"/>
  <c r="B720" i="1" a="1"/>
  <c r="B720" i="1" s="1"/>
  <c r="B721" i="1" a="1"/>
  <c r="B721" i="1" s="1"/>
  <c r="B722" i="1" a="1"/>
  <c r="B722" i="1" s="1"/>
  <c r="B723" i="1" a="1"/>
  <c r="B723" i="1"/>
  <c r="B724" i="1" a="1"/>
  <c r="B724" i="1" s="1"/>
  <c r="B725" i="1" a="1"/>
  <c r="B725" i="1" s="1"/>
  <c r="B726" i="1" a="1"/>
  <c r="B726" i="1" s="1"/>
  <c r="B727" i="1" a="1"/>
  <c r="B727" i="1"/>
  <c r="B728" i="1" a="1"/>
  <c r="B728" i="1" s="1"/>
  <c r="B729" i="1" a="1"/>
  <c r="B729" i="1" s="1"/>
  <c r="B730" i="1" a="1"/>
  <c r="B730" i="1" s="1"/>
  <c r="B731" i="1" a="1"/>
  <c r="B731" i="1"/>
  <c r="B732" i="1" a="1"/>
  <c r="B732" i="1" s="1"/>
  <c r="B733" i="1" a="1"/>
  <c r="B733" i="1" s="1"/>
  <c r="B734" i="1" a="1"/>
  <c r="B734" i="1" s="1"/>
  <c r="B735" i="1" a="1"/>
  <c r="B735" i="1"/>
  <c r="B736" i="1" a="1"/>
  <c r="B736" i="1" s="1"/>
  <c r="B737" i="1" a="1"/>
  <c r="B737" i="1" s="1"/>
  <c r="B738" i="1" a="1"/>
  <c r="B738" i="1" s="1"/>
  <c r="B739" i="1" a="1"/>
  <c r="B739" i="1"/>
  <c r="B740" i="1" a="1"/>
  <c r="B740" i="1" s="1"/>
  <c r="B741" i="1" a="1"/>
  <c r="B741" i="1" s="1"/>
  <c r="B742" i="1" a="1"/>
  <c r="B742" i="1" s="1"/>
  <c r="B743" i="1" a="1"/>
  <c r="B743" i="1"/>
  <c r="B744" i="1" a="1"/>
  <c r="B744" i="1" s="1"/>
  <c r="B745" i="1" a="1"/>
  <c r="B745" i="1" s="1"/>
  <c r="B746" i="1" a="1"/>
  <c r="B746" i="1" s="1"/>
  <c r="B747" i="1" a="1"/>
  <c r="B747" i="1"/>
  <c r="B748" i="1" a="1"/>
  <c r="B748" i="1" s="1"/>
  <c r="B749" i="1" a="1"/>
  <c r="B749" i="1" s="1"/>
  <c r="B750" i="1" a="1"/>
  <c r="B750" i="1" s="1"/>
  <c r="B751" i="1" a="1"/>
  <c r="B751" i="1"/>
  <c r="B752" i="1" a="1"/>
  <c r="B752" i="1" s="1"/>
  <c r="B753" i="1" a="1"/>
  <c r="B753" i="1" s="1"/>
  <c r="B754" i="1" a="1"/>
  <c r="B754" i="1" s="1"/>
  <c r="B755" i="1" a="1"/>
  <c r="B755" i="1"/>
  <c r="B756" i="1" a="1"/>
  <c r="B756" i="1" s="1"/>
  <c r="B757" i="1" a="1"/>
  <c r="B757" i="1" s="1"/>
  <c r="B758" i="1" a="1"/>
  <c r="B758" i="1" s="1"/>
  <c r="B759" i="1" a="1"/>
  <c r="B759" i="1"/>
  <c r="B760" i="1" a="1"/>
  <c r="B760" i="1" s="1"/>
  <c r="B761" i="1" a="1"/>
  <c r="B761" i="1" s="1"/>
  <c r="B762" i="1" a="1"/>
  <c r="B762" i="1" s="1"/>
  <c r="B763" i="1" a="1"/>
  <c r="B763" i="1"/>
  <c r="B764" i="1" a="1"/>
  <c r="B764" i="1" s="1"/>
  <c r="B765" i="1" a="1"/>
  <c r="B765" i="1" s="1"/>
  <c r="B766" i="1" a="1"/>
  <c r="B766" i="1" s="1"/>
  <c r="B767" i="1" a="1"/>
  <c r="B767" i="1"/>
  <c r="B768" i="1" a="1"/>
  <c r="B768" i="1" s="1"/>
  <c r="B769" i="1" a="1"/>
  <c r="B769" i="1" s="1"/>
  <c r="B770" i="1" a="1"/>
  <c r="B770" i="1" s="1"/>
  <c r="B771" i="1" a="1"/>
  <c r="B771" i="1"/>
  <c r="B772" i="1" a="1"/>
  <c r="B772" i="1" s="1"/>
  <c r="B773" i="1" a="1"/>
  <c r="B773" i="1" s="1"/>
  <c r="B774" i="1" a="1"/>
  <c r="B774" i="1" s="1"/>
  <c r="B775" i="1" a="1"/>
  <c r="B775" i="1"/>
  <c r="B776" i="1" a="1"/>
  <c r="B776" i="1" s="1"/>
  <c r="B777" i="1" a="1"/>
  <c r="B777" i="1" s="1"/>
  <c r="B778" i="1" a="1"/>
  <c r="B778" i="1" s="1"/>
  <c r="B779" i="1" a="1"/>
  <c r="B779" i="1"/>
  <c r="B780" i="1" a="1"/>
  <c r="B780" i="1" s="1"/>
  <c r="B781" i="1" a="1"/>
  <c r="B781" i="1" s="1"/>
  <c r="B782" i="1" a="1"/>
  <c r="B782" i="1" s="1"/>
  <c r="B783" i="1" a="1"/>
  <c r="B783" i="1"/>
  <c r="B784" i="1" a="1"/>
  <c r="B784" i="1" s="1"/>
  <c r="B785" i="1" a="1"/>
  <c r="B785" i="1" s="1"/>
  <c r="B786" i="1" a="1"/>
  <c r="B786" i="1" s="1"/>
  <c r="B787" i="1" a="1"/>
  <c r="B787" i="1"/>
  <c r="B788" i="1" a="1"/>
  <c r="B788" i="1" s="1"/>
  <c r="B789" i="1" a="1"/>
  <c r="B789" i="1" s="1"/>
  <c r="B790" i="1" a="1"/>
  <c r="B790" i="1" s="1"/>
  <c r="B791" i="1" a="1"/>
  <c r="B791" i="1"/>
  <c r="B792" i="1" a="1"/>
  <c r="B792" i="1" s="1"/>
  <c r="B793" i="1" a="1"/>
  <c r="B793" i="1" s="1"/>
  <c r="B794" i="1" a="1"/>
  <c r="B794" i="1" s="1"/>
  <c r="B795" i="1" a="1"/>
  <c r="B795" i="1"/>
  <c r="B796" i="1" a="1"/>
  <c r="B796" i="1" s="1"/>
  <c r="B797" i="1" a="1"/>
  <c r="B797" i="1" s="1"/>
  <c r="B798" i="1" a="1"/>
  <c r="B798" i="1" s="1"/>
  <c r="B799" i="1" a="1"/>
  <c r="B799" i="1"/>
  <c r="B800" i="1" a="1"/>
  <c r="B800" i="1" s="1"/>
  <c r="B801" i="1" a="1"/>
  <c r="B801" i="1" s="1"/>
  <c r="B802" i="1" a="1"/>
  <c r="B802" i="1" s="1"/>
  <c r="B803" i="1" a="1"/>
  <c r="B803" i="1"/>
  <c r="B804" i="1" a="1"/>
  <c r="B804" i="1" s="1"/>
  <c r="B805" i="1" a="1"/>
  <c r="B805" i="1" s="1"/>
  <c r="B806" i="1" a="1"/>
  <c r="B806" i="1" s="1"/>
  <c r="B807" i="1" a="1"/>
  <c r="B807" i="1"/>
  <c r="B808" i="1" a="1"/>
  <c r="B808" i="1" s="1"/>
  <c r="B809" i="1" a="1"/>
  <c r="B809" i="1" s="1"/>
  <c r="B810" i="1" a="1"/>
  <c r="B810" i="1" s="1"/>
  <c r="B811" i="1" a="1"/>
  <c r="B811" i="1"/>
  <c r="B812" i="1" a="1"/>
  <c r="B812" i="1" s="1"/>
  <c r="B813" i="1" a="1"/>
  <c r="B813" i="1" s="1"/>
  <c r="B814" i="1" a="1"/>
  <c r="B814" i="1" s="1"/>
  <c r="B815" i="1" a="1"/>
  <c r="B815" i="1"/>
  <c r="B816" i="1" a="1"/>
  <c r="B816" i="1" s="1"/>
  <c r="B817" i="1" a="1"/>
  <c r="B817" i="1" s="1"/>
  <c r="B818" i="1" a="1"/>
  <c r="B818" i="1" s="1"/>
  <c r="B819" i="1" a="1"/>
  <c r="B819" i="1"/>
  <c r="B820" i="1" a="1"/>
  <c r="B820" i="1" s="1"/>
  <c r="B821" i="1" a="1"/>
  <c r="B821" i="1" s="1"/>
  <c r="B822" i="1" a="1"/>
  <c r="B822" i="1" s="1"/>
  <c r="B823" i="1" a="1"/>
  <c r="B823" i="1"/>
  <c r="B824" i="1" a="1"/>
  <c r="B824" i="1" s="1"/>
  <c r="B825" i="1" a="1"/>
  <c r="B825" i="1" s="1"/>
  <c r="B826" i="1" a="1"/>
  <c r="B826" i="1" s="1"/>
  <c r="B827" i="1" a="1"/>
  <c r="B827" i="1"/>
  <c r="B828" i="1" a="1"/>
  <c r="B828" i="1" s="1"/>
  <c r="B829" i="1" a="1"/>
  <c r="B829" i="1" s="1"/>
  <c r="B830" i="1" a="1"/>
  <c r="B830" i="1" s="1"/>
  <c r="B831" i="1" a="1"/>
  <c r="B831" i="1"/>
  <c r="B832" i="1" a="1"/>
  <c r="B832" i="1" s="1"/>
  <c r="B2" i="1" a="1"/>
  <c r="B2" i="1" s="1"/>
  <c r="E9" i="8" l="1"/>
  <c r="E13" i="8"/>
  <c r="E17" i="8"/>
  <c r="E21" i="8"/>
  <c r="E25" i="8"/>
  <c r="E29" i="8"/>
  <c r="E33" i="8"/>
  <c r="E37" i="8"/>
  <c r="E6" i="8"/>
  <c r="F6" i="8" s="1"/>
  <c r="E10" i="8"/>
  <c r="E14" i="8"/>
  <c r="E18" i="8"/>
  <c r="E22" i="8"/>
  <c r="E26" i="8"/>
  <c r="E30" i="8"/>
  <c r="E34" i="8"/>
  <c r="E7" i="8"/>
  <c r="E11" i="8"/>
  <c r="E15" i="8"/>
  <c r="E19" i="8"/>
  <c r="E23" i="8"/>
  <c r="E27" i="8"/>
  <c r="E31" i="8"/>
  <c r="E35" i="8"/>
  <c r="E8" i="8"/>
  <c r="E12" i="8"/>
  <c r="E16" i="8"/>
  <c r="E20" i="8"/>
  <c r="E24" i="8"/>
  <c r="E28" i="8"/>
  <c r="E32" i="8"/>
  <c r="E36" i="8"/>
  <c r="E41" i="8"/>
  <c r="E45" i="8"/>
  <c r="E38" i="8"/>
  <c r="E42" i="8"/>
  <c r="E46" i="8"/>
  <c r="E50" i="8"/>
  <c r="E40" i="8"/>
  <c r="E44" i="8"/>
  <c r="E39" i="8"/>
  <c r="E49" i="8"/>
  <c r="E51" i="8"/>
  <c r="E55" i="8"/>
  <c r="E43" i="8"/>
  <c r="E52" i="8"/>
  <c r="E56" i="8"/>
  <c r="E47" i="8"/>
  <c r="E54" i="8"/>
  <c r="E59" i="8"/>
  <c r="E58" i="8"/>
  <c r="E57" i="8"/>
  <c r="E60" i="8"/>
  <c r="E53" i="8"/>
  <c r="E48" i="8"/>
  <c r="J10" i="6"/>
  <c r="L5" i="6"/>
  <c r="C5" i="4"/>
  <c r="B6" i="4" s="1"/>
  <c r="A7" i="4" s="1"/>
  <c r="B3" i="3" a="1"/>
  <c r="B3" i="3" s="1"/>
  <c r="G12" i="3" a="1"/>
  <c r="G12" i="3" s="1"/>
  <c r="B2" i="2"/>
  <c r="F9" i="8" l="1"/>
  <c r="F13" i="8"/>
  <c r="F17" i="8"/>
  <c r="F21" i="8"/>
  <c r="F10" i="8"/>
  <c r="F14" i="8"/>
  <c r="F18" i="8"/>
  <c r="F22" i="8"/>
  <c r="F26" i="8"/>
  <c r="F30" i="8"/>
  <c r="F34" i="8"/>
  <c r="F38" i="8"/>
  <c r="F7" i="8"/>
  <c r="G7" i="8" s="1"/>
  <c r="F11" i="8"/>
  <c r="F15" i="8"/>
  <c r="F19" i="8"/>
  <c r="F23" i="8"/>
  <c r="F27" i="8"/>
  <c r="F31" i="8"/>
  <c r="F35" i="8"/>
  <c r="F25" i="8"/>
  <c r="F33" i="8"/>
  <c r="F40" i="8"/>
  <c r="F36" i="8"/>
  <c r="F41" i="8"/>
  <c r="F16" i="8"/>
  <c r="F32" i="8"/>
  <c r="F12" i="8"/>
  <c r="F42" i="8"/>
  <c r="F46" i="8"/>
  <c r="F28" i="8"/>
  <c r="F37" i="8"/>
  <c r="F24" i="8"/>
  <c r="F20" i="8"/>
  <c r="F54" i="8"/>
  <c r="F39" i="8"/>
  <c r="F49" i="8"/>
  <c r="F51" i="8"/>
  <c r="F55" i="8"/>
  <c r="F59" i="8"/>
  <c r="F43" i="8"/>
  <c r="F29" i="8"/>
  <c r="F47" i="8"/>
  <c r="F53" i="8"/>
  <c r="F57" i="8"/>
  <c r="F44" i="8"/>
  <c r="F50" i="8"/>
  <c r="F52" i="8"/>
  <c r="F56" i="8"/>
  <c r="F45" i="8"/>
  <c r="F60" i="8"/>
  <c r="F48" i="8"/>
  <c r="F58" i="8"/>
  <c r="F8" i="8"/>
  <c r="C6" i="4"/>
  <c r="B7" i="4" s="1"/>
  <c r="A8" i="4" s="1"/>
  <c r="G8" i="8" l="1"/>
  <c r="H8" i="8" s="1"/>
  <c r="G12" i="8"/>
  <c r="G16" i="8"/>
  <c r="G20" i="8"/>
  <c r="G24" i="8"/>
  <c r="G28" i="8"/>
  <c r="G32" i="8"/>
  <c r="G36" i="8"/>
  <c r="G9" i="8"/>
  <c r="G13" i="8"/>
  <c r="G17" i="8"/>
  <c r="G21" i="8"/>
  <c r="G25" i="8"/>
  <c r="G29" i="8"/>
  <c r="G33" i="8"/>
  <c r="G10" i="8"/>
  <c r="G14" i="8"/>
  <c r="G18" i="8"/>
  <c r="G22" i="8"/>
  <c r="G26" i="8"/>
  <c r="G30" i="8"/>
  <c r="G34" i="8"/>
  <c r="G38" i="8"/>
  <c r="G11" i="8"/>
  <c r="G15" i="8"/>
  <c r="G19" i="8"/>
  <c r="G23" i="8"/>
  <c r="G27" i="8"/>
  <c r="G31" i="8"/>
  <c r="G35" i="8"/>
  <c r="G37" i="8"/>
  <c r="G40" i="8"/>
  <c r="G44" i="8"/>
  <c r="G41" i="8"/>
  <c r="G45" i="8"/>
  <c r="G49" i="8"/>
  <c r="G39" i="8"/>
  <c r="G43" i="8"/>
  <c r="G47" i="8"/>
  <c r="G53" i="8"/>
  <c r="G42" i="8"/>
  <c r="G54" i="8"/>
  <c r="G51" i="8"/>
  <c r="G55" i="8"/>
  <c r="G46" i="8"/>
  <c r="G48" i="8"/>
  <c r="G50" i="8"/>
  <c r="G58" i="8"/>
  <c r="G59" i="8"/>
  <c r="G52" i="8"/>
  <c r="G56" i="8"/>
  <c r="G57" i="8"/>
  <c r="G60" i="8"/>
  <c r="C7" i="4"/>
  <c r="B8" i="4" s="1"/>
  <c r="H12" i="8" l="1"/>
  <c r="H16" i="8"/>
  <c r="H20" i="8"/>
  <c r="H9" i="8"/>
  <c r="I9" i="8" s="1"/>
  <c r="H13" i="8"/>
  <c r="H17" i="8"/>
  <c r="H21" i="8"/>
  <c r="H25" i="8"/>
  <c r="H29" i="8"/>
  <c r="H33" i="8"/>
  <c r="H37" i="8"/>
  <c r="H10" i="8"/>
  <c r="H14" i="8"/>
  <c r="H18" i="8"/>
  <c r="H22" i="8"/>
  <c r="H26" i="8"/>
  <c r="H30" i="8"/>
  <c r="H34" i="8"/>
  <c r="H27" i="8"/>
  <c r="H28" i="8"/>
  <c r="H31" i="8"/>
  <c r="H39" i="8"/>
  <c r="H11" i="8"/>
  <c r="H19" i="8"/>
  <c r="H40" i="8"/>
  <c r="H44" i="8"/>
  <c r="H36" i="8"/>
  <c r="H23" i="8"/>
  <c r="H32" i="8"/>
  <c r="H38" i="8"/>
  <c r="H41" i="8"/>
  <c r="H45" i="8"/>
  <c r="H15" i="8"/>
  <c r="H46" i="8"/>
  <c r="H48" i="8"/>
  <c r="H50" i="8"/>
  <c r="H24" i="8"/>
  <c r="H47" i="8"/>
  <c r="H53" i="8"/>
  <c r="H57" i="8"/>
  <c r="H42" i="8"/>
  <c r="H54" i="8"/>
  <c r="H58" i="8"/>
  <c r="H35" i="8"/>
  <c r="H49" i="8"/>
  <c r="H52" i="8"/>
  <c r="H56" i="8"/>
  <c r="H60" i="8"/>
  <c r="H43" i="8"/>
  <c r="H55" i="8"/>
  <c r="H59" i="8"/>
  <c r="H51" i="8"/>
  <c r="A9" i="4"/>
  <c r="C8" i="4"/>
  <c r="B9" i="4" s="1"/>
  <c r="A10" i="4" s="1"/>
  <c r="I11" i="8" l="1"/>
  <c r="I15" i="8"/>
  <c r="I19" i="8"/>
  <c r="I23" i="8"/>
  <c r="I27" i="8"/>
  <c r="I31" i="8"/>
  <c r="I35" i="8"/>
  <c r="I12" i="8"/>
  <c r="I16" i="8"/>
  <c r="I20" i="8"/>
  <c r="I24" i="8"/>
  <c r="I28" i="8"/>
  <c r="I32" i="8"/>
  <c r="I13" i="8"/>
  <c r="I17" i="8"/>
  <c r="I21" i="8"/>
  <c r="I25" i="8"/>
  <c r="I29" i="8"/>
  <c r="I33" i="8"/>
  <c r="I37" i="8"/>
  <c r="I10" i="8"/>
  <c r="J10" i="8" s="1"/>
  <c r="I14" i="8"/>
  <c r="I18" i="8"/>
  <c r="I22" i="8"/>
  <c r="I26" i="8"/>
  <c r="I30" i="8"/>
  <c r="I34" i="8"/>
  <c r="I38" i="8"/>
  <c r="I39" i="8"/>
  <c r="I43" i="8"/>
  <c r="I47" i="8"/>
  <c r="I40" i="8"/>
  <c r="I44" i="8"/>
  <c r="I48" i="8"/>
  <c r="I36" i="8"/>
  <c r="I42" i="8"/>
  <c r="I52" i="8"/>
  <c r="I46" i="8"/>
  <c r="I50" i="8"/>
  <c r="I53" i="8"/>
  <c r="I57" i="8"/>
  <c r="I54" i="8"/>
  <c r="I45" i="8"/>
  <c r="I58" i="8"/>
  <c r="I49" i="8"/>
  <c r="I55" i="8"/>
  <c r="I56" i="8"/>
  <c r="I59" i="8"/>
  <c r="I51" i="8"/>
  <c r="I41" i="8"/>
  <c r="I60" i="8"/>
  <c r="C9" i="4"/>
  <c r="B10" i="4" s="1"/>
  <c r="A11" i="4" s="1"/>
  <c r="J11" i="8" l="1"/>
  <c r="K11" i="8" s="1"/>
  <c r="J15" i="8"/>
  <c r="J19" i="8"/>
  <c r="J12" i="8"/>
  <c r="J16" i="8"/>
  <c r="J20" i="8"/>
  <c r="J24" i="8"/>
  <c r="J28" i="8"/>
  <c r="J32" i="8"/>
  <c r="J36" i="8"/>
  <c r="J13" i="8"/>
  <c r="J17" i="8"/>
  <c r="J21" i="8"/>
  <c r="J25" i="8"/>
  <c r="J29" i="8"/>
  <c r="J33" i="8"/>
  <c r="J37" i="8"/>
  <c r="J26" i="8"/>
  <c r="J27" i="8"/>
  <c r="J31" i="8"/>
  <c r="J22" i="8"/>
  <c r="J39" i="8"/>
  <c r="J43" i="8"/>
  <c r="J34" i="8"/>
  <c r="J30" i="8"/>
  <c r="J40" i="8"/>
  <c r="J44" i="8"/>
  <c r="J45" i="8"/>
  <c r="J14" i="8"/>
  <c r="J23" i="8"/>
  <c r="J48" i="8"/>
  <c r="J52" i="8"/>
  <c r="J56" i="8"/>
  <c r="J46" i="8"/>
  <c r="J47" i="8"/>
  <c r="J50" i="8"/>
  <c r="J53" i="8"/>
  <c r="J57" i="8"/>
  <c r="J42" i="8"/>
  <c r="J41" i="8"/>
  <c r="J51" i="8"/>
  <c r="J55" i="8"/>
  <c r="J60" i="8"/>
  <c r="J18" i="8"/>
  <c r="J54" i="8"/>
  <c r="J58" i="8"/>
  <c r="J38" i="8"/>
  <c r="J59" i="8"/>
  <c r="J49" i="8"/>
  <c r="J35" i="8"/>
  <c r="C10" i="4"/>
  <c r="B11" i="4" s="1"/>
  <c r="A12" i="4" s="1"/>
  <c r="K14" i="8" l="1"/>
  <c r="K18" i="8"/>
  <c r="K22" i="8"/>
  <c r="K26" i="8"/>
  <c r="K30" i="8"/>
  <c r="K34" i="8"/>
  <c r="K38" i="8"/>
  <c r="K15" i="8"/>
  <c r="K19" i="8"/>
  <c r="K23" i="8"/>
  <c r="K27" i="8"/>
  <c r="K31" i="8"/>
  <c r="K12" i="8"/>
  <c r="L12" i="8" s="1"/>
  <c r="K16" i="8"/>
  <c r="K20" i="8"/>
  <c r="K24" i="8"/>
  <c r="K28" i="8"/>
  <c r="K32" i="8"/>
  <c r="K36" i="8"/>
  <c r="K13" i="8"/>
  <c r="K17" i="8"/>
  <c r="K21" i="8"/>
  <c r="K25" i="8"/>
  <c r="K29" i="8"/>
  <c r="K33" i="8"/>
  <c r="K37" i="8"/>
  <c r="K42" i="8"/>
  <c r="K46" i="8"/>
  <c r="K39" i="8"/>
  <c r="K43" i="8"/>
  <c r="K47" i="8"/>
  <c r="K35" i="8"/>
  <c r="K41" i="8"/>
  <c r="K51" i="8"/>
  <c r="K45" i="8"/>
  <c r="K40" i="8"/>
  <c r="K48" i="8"/>
  <c r="K52" i="8"/>
  <c r="K56" i="8"/>
  <c r="K50" i="8"/>
  <c r="K53" i="8"/>
  <c r="K49" i="8"/>
  <c r="K55" i="8"/>
  <c r="K57" i="8"/>
  <c r="K44" i="8"/>
  <c r="K60" i="8"/>
  <c r="K54" i="8"/>
  <c r="K58" i="8"/>
  <c r="K59" i="8"/>
  <c r="C11" i="4"/>
  <c r="B12" i="4" s="1"/>
  <c r="A13" i="4" s="1"/>
  <c r="L14" i="8" l="1"/>
  <c r="L18" i="8"/>
  <c r="L15" i="8"/>
  <c r="L19" i="8"/>
  <c r="L23" i="8"/>
  <c r="L27" i="8"/>
  <c r="L31" i="8"/>
  <c r="L35" i="8"/>
  <c r="L16" i="8"/>
  <c r="L20" i="8"/>
  <c r="L24" i="8"/>
  <c r="L28" i="8"/>
  <c r="L32" i="8"/>
  <c r="L36" i="8"/>
  <c r="L21" i="8"/>
  <c r="L41" i="8"/>
  <c r="L25" i="8"/>
  <c r="L33" i="8"/>
  <c r="L37" i="8"/>
  <c r="L17" i="8"/>
  <c r="L26" i="8"/>
  <c r="L42" i="8"/>
  <c r="L22" i="8"/>
  <c r="L34" i="8"/>
  <c r="L39" i="8"/>
  <c r="L43" i="8"/>
  <c r="L47" i="8"/>
  <c r="L29" i="8"/>
  <c r="L49" i="8"/>
  <c r="L13" i="8"/>
  <c r="M13" i="8" s="1"/>
  <c r="L51" i="8"/>
  <c r="L55" i="8"/>
  <c r="L45" i="8"/>
  <c r="L40" i="8"/>
  <c r="L46" i="8"/>
  <c r="L48" i="8"/>
  <c r="L52" i="8"/>
  <c r="L56" i="8"/>
  <c r="L60" i="8"/>
  <c r="L50" i="8"/>
  <c r="L30" i="8"/>
  <c r="L38" i="8"/>
  <c r="L44" i="8"/>
  <c r="L54" i="8"/>
  <c r="L53" i="8"/>
  <c r="L57" i="8"/>
  <c r="L58" i="8"/>
  <c r="L59" i="8"/>
  <c r="C12" i="4"/>
  <c r="B13" i="4" s="1"/>
  <c r="A14" i="4" s="1"/>
  <c r="M17" i="8" l="1"/>
  <c r="M21" i="8"/>
  <c r="M25" i="8"/>
  <c r="M29" i="8"/>
  <c r="M33" i="8"/>
  <c r="M37" i="8"/>
  <c r="M14" i="8"/>
  <c r="N14" i="8" s="1"/>
  <c r="M18" i="8"/>
  <c r="M22" i="8"/>
  <c r="M26" i="8"/>
  <c r="M30" i="8"/>
  <c r="M34" i="8"/>
  <c r="M15" i="8"/>
  <c r="M19" i="8"/>
  <c r="M23" i="8"/>
  <c r="M27" i="8"/>
  <c r="M31" i="8"/>
  <c r="M35" i="8"/>
  <c r="M16" i="8"/>
  <c r="M20" i="8"/>
  <c r="M24" i="8"/>
  <c r="M28" i="8"/>
  <c r="M32" i="8"/>
  <c r="M36" i="8"/>
  <c r="M41" i="8"/>
  <c r="M45" i="8"/>
  <c r="M42" i="8"/>
  <c r="M46" i="8"/>
  <c r="M50" i="8"/>
  <c r="M38" i="8"/>
  <c r="M40" i="8"/>
  <c r="M44" i="8"/>
  <c r="M49" i="8"/>
  <c r="M51" i="8"/>
  <c r="M55" i="8"/>
  <c r="M39" i="8"/>
  <c r="M47" i="8"/>
  <c r="M48" i="8"/>
  <c r="M52" i="8"/>
  <c r="M56" i="8"/>
  <c r="M59" i="8"/>
  <c r="M53" i="8"/>
  <c r="M60" i="8"/>
  <c r="M58" i="8"/>
  <c r="M43" i="8"/>
  <c r="M54" i="8"/>
  <c r="M57" i="8"/>
  <c r="C13" i="4"/>
  <c r="B14" i="4" s="1"/>
  <c r="A15" i="4" s="1"/>
  <c r="N17" i="8" l="1"/>
  <c r="N21" i="8"/>
  <c r="N18" i="8"/>
  <c r="N22" i="8"/>
  <c r="N26" i="8"/>
  <c r="N30" i="8"/>
  <c r="N34" i="8"/>
  <c r="N38" i="8"/>
  <c r="N15" i="8"/>
  <c r="O15" i="8" s="1"/>
  <c r="N19" i="8"/>
  <c r="N23" i="8"/>
  <c r="N27" i="8"/>
  <c r="N31" i="8"/>
  <c r="N35" i="8"/>
  <c r="N29" i="8"/>
  <c r="N40" i="8"/>
  <c r="N28" i="8"/>
  <c r="N25" i="8"/>
  <c r="N33" i="8"/>
  <c r="N37" i="8"/>
  <c r="N41" i="8"/>
  <c r="N16" i="8"/>
  <c r="N42" i="8"/>
  <c r="N46" i="8"/>
  <c r="N24" i="8"/>
  <c r="N44" i="8"/>
  <c r="N36" i="8"/>
  <c r="N54" i="8"/>
  <c r="N20" i="8"/>
  <c r="N49" i="8"/>
  <c r="N45" i="8"/>
  <c r="N51" i="8"/>
  <c r="N55" i="8"/>
  <c r="N59" i="8"/>
  <c r="N39" i="8"/>
  <c r="N47" i="8"/>
  <c r="N43" i="8"/>
  <c r="N53" i="8"/>
  <c r="N57" i="8"/>
  <c r="N56" i="8"/>
  <c r="N50" i="8"/>
  <c r="N60" i="8"/>
  <c r="N58" i="8"/>
  <c r="N32" i="8"/>
  <c r="N52" i="8"/>
  <c r="N48" i="8"/>
  <c r="C14" i="4"/>
  <c r="B15" i="4" s="1"/>
  <c r="A16" i="4" s="1"/>
  <c r="O16" i="8" l="1"/>
  <c r="P16" i="8" s="1"/>
  <c r="O20" i="8"/>
  <c r="O24" i="8"/>
  <c r="O28" i="8"/>
  <c r="O32" i="8"/>
  <c r="O36" i="8"/>
  <c r="O17" i="8"/>
  <c r="O21" i="8"/>
  <c r="O25" i="8"/>
  <c r="O29" i="8"/>
  <c r="O33" i="8"/>
  <c r="O18" i="8"/>
  <c r="O22" i="8"/>
  <c r="O26" i="8"/>
  <c r="O30" i="8"/>
  <c r="O34" i="8"/>
  <c r="O38" i="8"/>
  <c r="O19" i="8"/>
  <c r="O23" i="8"/>
  <c r="O27" i="8"/>
  <c r="O31" i="8"/>
  <c r="O35" i="8"/>
  <c r="O40" i="8"/>
  <c r="O44" i="8"/>
  <c r="O37" i="8"/>
  <c r="O41" i="8"/>
  <c r="O45" i="8"/>
  <c r="O49" i="8"/>
  <c r="O39" i="8"/>
  <c r="O43" i="8"/>
  <c r="O54" i="8"/>
  <c r="O46" i="8"/>
  <c r="O51" i="8"/>
  <c r="O55" i="8"/>
  <c r="O48" i="8"/>
  <c r="O57" i="8"/>
  <c r="O42" i="8"/>
  <c r="O47" i="8"/>
  <c r="O59" i="8"/>
  <c r="O53" i="8"/>
  <c r="O56" i="8"/>
  <c r="O50" i="8"/>
  <c r="O52" i="8"/>
  <c r="O60" i="8"/>
  <c r="O58" i="8"/>
  <c r="C15" i="4"/>
  <c r="B16" i="4" s="1"/>
  <c r="A17" i="4" s="1"/>
  <c r="P20" i="8" l="1"/>
  <c r="P17" i="8"/>
  <c r="Q17" i="8" s="1"/>
  <c r="P21" i="8"/>
  <c r="P25" i="8"/>
  <c r="P29" i="8"/>
  <c r="P33" i="8"/>
  <c r="P37" i="8"/>
  <c r="P18" i="8"/>
  <c r="P22" i="8"/>
  <c r="P26" i="8"/>
  <c r="P30" i="8"/>
  <c r="P34" i="8"/>
  <c r="P24" i="8"/>
  <c r="P35" i="8"/>
  <c r="P38" i="8"/>
  <c r="P39" i="8"/>
  <c r="P27" i="8"/>
  <c r="P28" i="8"/>
  <c r="P31" i="8"/>
  <c r="P40" i="8"/>
  <c r="P44" i="8"/>
  <c r="P19" i="8"/>
  <c r="P41" i="8"/>
  <c r="P45" i="8"/>
  <c r="P43" i="8"/>
  <c r="P53" i="8"/>
  <c r="P57" i="8"/>
  <c r="P23" i="8"/>
  <c r="P36" i="8"/>
  <c r="P49" i="8"/>
  <c r="P54" i="8"/>
  <c r="P58" i="8"/>
  <c r="P48" i="8"/>
  <c r="P50" i="8"/>
  <c r="P52" i="8"/>
  <c r="P56" i="8"/>
  <c r="P32" i="8"/>
  <c r="P42" i="8"/>
  <c r="P47" i="8"/>
  <c r="P59" i="8"/>
  <c r="P60" i="8"/>
  <c r="P55" i="8"/>
  <c r="P46" i="8"/>
  <c r="P51" i="8"/>
  <c r="C16" i="4"/>
  <c r="B17" i="4" s="1"/>
  <c r="A18" i="4" s="1"/>
  <c r="Q19" i="8" l="1"/>
  <c r="Q23" i="8"/>
  <c r="Q27" i="8"/>
  <c r="Q31" i="8"/>
  <c r="Q35" i="8"/>
  <c r="Q20" i="8"/>
  <c r="Q24" i="8"/>
  <c r="Q28" i="8"/>
  <c r="Q32" i="8"/>
  <c r="Q21" i="8"/>
  <c r="Q25" i="8"/>
  <c r="Q29" i="8"/>
  <c r="Q33" i="8"/>
  <c r="Q37" i="8"/>
  <c r="Q18" i="8"/>
  <c r="R18" i="8" s="1"/>
  <c r="Q22" i="8"/>
  <c r="Q26" i="8"/>
  <c r="Q30" i="8"/>
  <c r="Q34" i="8"/>
  <c r="Q38" i="8"/>
  <c r="Q39" i="8"/>
  <c r="Q43" i="8"/>
  <c r="Q47" i="8"/>
  <c r="Q40" i="8"/>
  <c r="Q44" i="8"/>
  <c r="Q48" i="8"/>
  <c r="Q36" i="8"/>
  <c r="Q42" i="8"/>
  <c r="Q41" i="8"/>
  <c r="Q50" i="8"/>
  <c r="Q52" i="8"/>
  <c r="Q53" i="8"/>
  <c r="Q57" i="8"/>
  <c r="Q45" i="8"/>
  <c r="Q49" i="8"/>
  <c r="Q54" i="8"/>
  <c r="Q51" i="8"/>
  <c r="Q58" i="8"/>
  <c r="Q46" i="8"/>
  <c r="Q59" i="8"/>
  <c r="Q60" i="8"/>
  <c r="Q55" i="8"/>
  <c r="Q56" i="8"/>
  <c r="C17" i="4"/>
  <c r="B18" i="4" s="1"/>
  <c r="A19" i="4" s="1"/>
  <c r="R19" i="8" l="1"/>
  <c r="S19" i="8" s="1"/>
  <c r="R20" i="8"/>
  <c r="R24" i="8"/>
  <c r="R28" i="8"/>
  <c r="R32" i="8"/>
  <c r="R36" i="8"/>
  <c r="R21" i="8"/>
  <c r="R25" i="8"/>
  <c r="R29" i="8"/>
  <c r="R33" i="8"/>
  <c r="R37" i="8"/>
  <c r="R35" i="8"/>
  <c r="R38" i="8"/>
  <c r="R39" i="8"/>
  <c r="R43" i="8"/>
  <c r="R26" i="8"/>
  <c r="R27" i="8"/>
  <c r="R31" i="8"/>
  <c r="R22" i="8"/>
  <c r="R40" i="8"/>
  <c r="R44" i="8"/>
  <c r="R23" i="8"/>
  <c r="R30" i="8"/>
  <c r="R34" i="8"/>
  <c r="R48" i="8"/>
  <c r="R41" i="8"/>
  <c r="R50" i="8"/>
  <c r="R52" i="8"/>
  <c r="R56" i="8"/>
  <c r="R53" i="8"/>
  <c r="R57" i="8"/>
  <c r="R42" i="8"/>
  <c r="R46" i="8"/>
  <c r="R47" i="8"/>
  <c r="R51" i="8"/>
  <c r="R55" i="8"/>
  <c r="R58" i="8"/>
  <c r="R45" i="8"/>
  <c r="R49" i="8"/>
  <c r="R59" i="8"/>
  <c r="R54" i="8"/>
  <c r="R60" i="8"/>
  <c r="C18" i="4"/>
  <c r="B19" i="4" s="1"/>
  <c r="A20" i="4" s="1"/>
  <c r="S22" i="8" l="1"/>
  <c r="S26" i="8"/>
  <c r="S30" i="8"/>
  <c r="S34" i="8"/>
  <c r="S38" i="8"/>
  <c r="S23" i="8"/>
  <c r="S27" i="8"/>
  <c r="S31" i="8"/>
  <c r="S20" i="8"/>
  <c r="T20" i="8" s="1"/>
  <c r="S24" i="8"/>
  <c r="S28" i="8"/>
  <c r="S32" i="8"/>
  <c r="S36" i="8"/>
  <c r="S21" i="8"/>
  <c r="S25" i="8"/>
  <c r="S29" i="8"/>
  <c r="S33" i="8"/>
  <c r="S37" i="8"/>
  <c r="S42" i="8"/>
  <c r="S46" i="8"/>
  <c r="S35" i="8"/>
  <c r="S39" i="8"/>
  <c r="S43" i="8"/>
  <c r="S47" i="8"/>
  <c r="S41" i="8"/>
  <c r="S51" i="8"/>
  <c r="S44" i="8"/>
  <c r="S48" i="8"/>
  <c r="S50" i="8"/>
  <c r="S52" i="8"/>
  <c r="S56" i="8"/>
  <c r="S40" i="8"/>
  <c r="S53" i="8"/>
  <c r="S55" i="8"/>
  <c r="S60" i="8"/>
  <c r="S57" i="8"/>
  <c r="S54" i="8"/>
  <c r="S58" i="8"/>
  <c r="S45" i="8"/>
  <c r="S59" i="8"/>
  <c r="S49" i="8"/>
  <c r="C19" i="4"/>
  <c r="B20" i="4" s="1"/>
  <c r="A21" i="4" s="1"/>
  <c r="T23" i="8" l="1"/>
  <c r="T27" i="8"/>
  <c r="T31" i="8"/>
  <c r="T35" i="8"/>
  <c r="T24" i="8"/>
  <c r="T28" i="8"/>
  <c r="T32" i="8"/>
  <c r="T36" i="8"/>
  <c r="T41" i="8"/>
  <c r="T21" i="8"/>
  <c r="U21" i="8" s="1"/>
  <c r="T29" i="8"/>
  <c r="T38" i="8"/>
  <c r="T42" i="8"/>
  <c r="T25" i="8"/>
  <c r="T33" i="8"/>
  <c r="T26" i="8"/>
  <c r="T37" i="8"/>
  <c r="T39" i="8"/>
  <c r="T43" i="8"/>
  <c r="T47" i="8"/>
  <c r="T30" i="8"/>
  <c r="T46" i="8"/>
  <c r="T34" i="8"/>
  <c r="T51" i="8"/>
  <c r="T55" i="8"/>
  <c r="T22" i="8"/>
  <c r="T44" i="8"/>
  <c r="T48" i="8"/>
  <c r="T50" i="8"/>
  <c r="T52" i="8"/>
  <c r="T56" i="8"/>
  <c r="T60" i="8"/>
  <c r="T45" i="8"/>
  <c r="T49" i="8"/>
  <c r="T54" i="8"/>
  <c r="T40" i="8"/>
  <c r="T57" i="8"/>
  <c r="T59" i="8"/>
  <c r="T53" i="8"/>
  <c r="T58" i="8"/>
  <c r="C20" i="4"/>
  <c r="B21" i="4" s="1"/>
  <c r="A22" i="4" s="1"/>
  <c r="U25" i="8" l="1"/>
  <c r="U29" i="8"/>
  <c r="U33" i="8"/>
  <c r="U37" i="8"/>
  <c r="U22" i="8"/>
  <c r="V22" i="8" s="1"/>
  <c r="U26" i="8"/>
  <c r="U30" i="8"/>
  <c r="U34" i="8"/>
  <c r="U23" i="8"/>
  <c r="U27" i="8"/>
  <c r="U31" i="8"/>
  <c r="U35" i="8"/>
  <c r="U24" i="8"/>
  <c r="U28" i="8"/>
  <c r="U32" i="8"/>
  <c r="U36" i="8"/>
  <c r="U41" i="8"/>
  <c r="U45" i="8"/>
  <c r="U38" i="8"/>
  <c r="U42" i="8"/>
  <c r="U46" i="8"/>
  <c r="U50" i="8"/>
  <c r="U40" i="8"/>
  <c r="U44" i="8"/>
  <c r="U47" i="8"/>
  <c r="U49" i="8"/>
  <c r="U43" i="8"/>
  <c r="U51" i="8"/>
  <c r="U55" i="8"/>
  <c r="U48" i="8"/>
  <c r="U52" i="8"/>
  <c r="U56" i="8"/>
  <c r="U60" i="8"/>
  <c r="U39" i="8"/>
  <c r="U57" i="8"/>
  <c r="U53" i="8"/>
  <c r="U58" i="8"/>
  <c r="U54" i="8"/>
  <c r="U59" i="8"/>
  <c r="C21" i="4"/>
  <c r="B22" i="4" s="1"/>
  <c r="A23" i="4" s="1"/>
  <c r="V26" i="8" l="1"/>
  <c r="V30" i="8"/>
  <c r="V34" i="8"/>
  <c r="V38" i="8"/>
  <c r="V23" i="8"/>
  <c r="W23" i="8" s="1"/>
  <c r="V27" i="8"/>
  <c r="V31" i="8"/>
  <c r="V35" i="8"/>
  <c r="V36" i="8"/>
  <c r="V40" i="8"/>
  <c r="V24" i="8"/>
  <c r="V29" i="8"/>
  <c r="V41" i="8"/>
  <c r="V28" i="8"/>
  <c r="V25" i="8"/>
  <c r="V33" i="8"/>
  <c r="V42" i="8"/>
  <c r="V46" i="8"/>
  <c r="V32" i="8"/>
  <c r="V45" i="8"/>
  <c r="V47" i="8"/>
  <c r="V49" i="8"/>
  <c r="V54" i="8"/>
  <c r="V43" i="8"/>
  <c r="V44" i="8"/>
  <c r="V51" i="8"/>
  <c r="V55" i="8"/>
  <c r="V59" i="8"/>
  <c r="V48" i="8"/>
  <c r="V50" i="8"/>
  <c r="V53" i="8"/>
  <c r="V57" i="8"/>
  <c r="V56" i="8"/>
  <c r="V52" i="8"/>
  <c r="V37" i="8"/>
  <c r="V60" i="8"/>
  <c r="V39" i="8"/>
  <c r="V58" i="8"/>
  <c r="C22" i="4"/>
  <c r="B23" i="4" s="1"/>
  <c r="A24" i="4" s="1"/>
  <c r="W24" i="8" l="1"/>
  <c r="X24" i="8" s="1"/>
  <c r="W28" i="8"/>
  <c r="W32" i="8"/>
  <c r="W36" i="8"/>
  <c r="W25" i="8"/>
  <c r="W29" i="8"/>
  <c r="W33" i="8"/>
  <c r="W26" i="8"/>
  <c r="W30" i="8"/>
  <c r="W34" i="8"/>
  <c r="W38" i="8"/>
  <c r="W27" i="8"/>
  <c r="W31" i="8"/>
  <c r="W35" i="8"/>
  <c r="W40" i="8"/>
  <c r="W44" i="8"/>
  <c r="W41" i="8"/>
  <c r="W45" i="8"/>
  <c r="W49" i="8"/>
  <c r="W39" i="8"/>
  <c r="W43" i="8"/>
  <c r="W42" i="8"/>
  <c r="W46" i="8"/>
  <c r="W47" i="8"/>
  <c r="W54" i="8"/>
  <c r="W51" i="8"/>
  <c r="W55" i="8"/>
  <c r="W59" i="8"/>
  <c r="W48" i="8"/>
  <c r="W56" i="8"/>
  <c r="W37" i="8"/>
  <c r="W60" i="8"/>
  <c r="W50" i="8"/>
  <c r="W57" i="8"/>
  <c r="W52" i="8"/>
  <c r="W53" i="8"/>
  <c r="W58" i="8"/>
  <c r="C23" i="4"/>
  <c r="B24" i="4" s="1"/>
  <c r="A25" i="4" s="1"/>
  <c r="X25" i="8" l="1"/>
  <c r="Y25" i="8" s="1"/>
  <c r="X29" i="8"/>
  <c r="X33" i="8"/>
  <c r="X37" i="8"/>
  <c r="X26" i="8"/>
  <c r="X30" i="8"/>
  <c r="X34" i="8"/>
  <c r="X32" i="8"/>
  <c r="X39" i="8"/>
  <c r="X36" i="8"/>
  <c r="X40" i="8"/>
  <c r="X44" i="8"/>
  <c r="X35" i="8"/>
  <c r="X27" i="8"/>
  <c r="X28" i="8"/>
  <c r="X31" i="8"/>
  <c r="X38" i="8"/>
  <c r="X41" i="8"/>
  <c r="X45" i="8"/>
  <c r="X42" i="8"/>
  <c r="X53" i="8"/>
  <c r="X57" i="8"/>
  <c r="X46" i="8"/>
  <c r="X49" i="8"/>
  <c r="X43" i="8"/>
  <c r="X47" i="8"/>
  <c r="X54" i="8"/>
  <c r="X58" i="8"/>
  <c r="X52" i="8"/>
  <c r="X56" i="8"/>
  <c r="X51" i="8"/>
  <c r="X55" i="8"/>
  <c r="X59" i="8"/>
  <c r="X50" i="8"/>
  <c r="X48" i="8"/>
  <c r="X60" i="8"/>
  <c r="C24" i="4"/>
  <c r="B25" i="4" s="1"/>
  <c r="A26" i="4" s="1"/>
  <c r="Y27" i="8" l="1"/>
  <c r="Y31" i="8"/>
  <c r="Y35" i="8"/>
  <c r="Y28" i="8"/>
  <c r="Y32" i="8"/>
  <c r="Y29" i="8"/>
  <c r="Y33" i="8"/>
  <c r="Y37" i="8"/>
  <c r="Y26" i="8"/>
  <c r="Z26" i="8" s="1"/>
  <c r="Y30" i="8"/>
  <c r="Y34" i="8"/>
  <c r="Y38" i="8"/>
  <c r="Y39" i="8"/>
  <c r="Y43" i="8"/>
  <c r="Y47" i="8"/>
  <c r="Y36" i="8"/>
  <c r="Y40" i="8"/>
  <c r="Y44" i="8"/>
  <c r="Y48" i="8"/>
  <c r="Y42" i="8"/>
  <c r="Y52" i="8"/>
  <c r="Y45" i="8"/>
  <c r="Y41" i="8"/>
  <c r="Y53" i="8"/>
  <c r="Y57" i="8"/>
  <c r="Y46" i="8"/>
  <c r="Y49" i="8"/>
  <c r="Y54" i="8"/>
  <c r="Y50" i="8"/>
  <c r="Y60" i="8"/>
  <c r="Y51" i="8"/>
  <c r="Y55" i="8"/>
  <c r="Y56" i="8"/>
  <c r="Y59" i="8"/>
  <c r="Y58" i="8"/>
  <c r="C25" i="4"/>
  <c r="B26" i="4" s="1"/>
  <c r="A27" i="4" s="1"/>
  <c r="Z28" i="8" l="1"/>
  <c r="Z32" i="8"/>
  <c r="Z36" i="8"/>
  <c r="Z29" i="8"/>
  <c r="Z33" i="8"/>
  <c r="Z37" i="8"/>
  <c r="Z30" i="8"/>
  <c r="Z39" i="8"/>
  <c r="Z43" i="8"/>
  <c r="Z35" i="8"/>
  <c r="Z40" i="8"/>
  <c r="Z44" i="8"/>
  <c r="Z34" i="8"/>
  <c r="Z38" i="8"/>
  <c r="Z50" i="8"/>
  <c r="Z52" i="8"/>
  <c r="Z56" i="8"/>
  <c r="Z42" i="8"/>
  <c r="Z45" i="8"/>
  <c r="Z41" i="8"/>
  <c r="Z53" i="8"/>
  <c r="Z57" i="8"/>
  <c r="Z27" i="8"/>
  <c r="AA27" i="8" s="1"/>
  <c r="Z46" i="8"/>
  <c r="Z47" i="8"/>
  <c r="Z49" i="8"/>
  <c r="Z31" i="8"/>
  <c r="Z48" i="8"/>
  <c r="Z51" i="8"/>
  <c r="Z55" i="8"/>
  <c r="Z54" i="8"/>
  <c r="Z58" i="8"/>
  <c r="Z60" i="8"/>
  <c r="Z59" i="8"/>
  <c r="C26" i="4"/>
  <c r="B27" i="4" s="1"/>
  <c r="A28" i="4" s="1"/>
  <c r="AA30" i="8" l="1"/>
  <c r="AA34" i="8"/>
  <c r="AA38" i="8"/>
  <c r="AA31" i="8"/>
  <c r="AA28" i="8"/>
  <c r="AB28" i="8" s="1"/>
  <c r="AA32" i="8"/>
  <c r="AA36" i="8"/>
  <c r="AA29" i="8"/>
  <c r="AA33" i="8"/>
  <c r="AA37" i="8"/>
  <c r="AA42" i="8"/>
  <c r="AA46" i="8"/>
  <c r="AA39" i="8"/>
  <c r="AA43" i="8"/>
  <c r="AA47" i="8"/>
  <c r="AA41" i="8"/>
  <c r="AA48" i="8"/>
  <c r="AA51" i="8"/>
  <c r="AA50" i="8"/>
  <c r="AA52" i="8"/>
  <c r="AA56" i="8"/>
  <c r="AA45" i="8"/>
  <c r="AA44" i="8"/>
  <c r="AA53" i="8"/>
  <c r="AA35" i="8"/>
  <c r="AA54" i="8"/>
  <c r="AA58" i="8"/>
  <c r="AA40" i="8"/>
  <c r="AA55" i="8"/>
  <c r="AA59" i="8"/>
  <c r="AA49" i="8"/>
  <c r="AA60" i="8"/>
  <c r="AA57" i="8"/>
  <c r="C27" i="4"/>
  <c r="B28" i="4" s="1"/>
  <c r="A29" i="4" s="1"/>
  <c r="AB31" i="8" l="1"/>
  <c r="AB35" i="8"/>
  <c r="AB32" i="8"/>
  <c r="AB36" i="8"/>
  <c r="AB34" i="8"/>
  <c r="AB41" i="8"/>
  <c r="AB30" i="8"/>
  <c r="AB42" i="8"/>
  <c r="AB29" i="8"/>
  <c r="AC29" i="8" s="1"/>
  <c r="AB39" i="8"/>
  <c r="AB43" i="8"/>
  <c r="AB47" i="8"/>
  <c r="AB37" i="8"/>
  <c r="AB38" i="8"/>
  <c r="AB48" i="8"/>
  <c r="AB51" i="8"/>
  <c r="AB55" i="8"/>
  <c r="AB50" i="8"/>
  <c r="AB33" i="8"/>
  <c r="AB52" i="8"/>
  <c r="AB56" i="8"/>
  <c r="AB60" i="8"/>
  <c r="AB45" i="8"/>
  <c r="AB40" i="8"/>
  <c r="AB54" i="8"/>
  <c r="AB49" i="8"/>
  <c r="AB59" i="8"/>
  <c r="AB44" i="8"/>
  <c r="AB58" i="8"/>
  <c r="AB46" i="8"/>
  <c r="AB53" i="8"/>
  <c r="AB57" i="8"/>
  <c r="C28" i="4"/>
  <c r="B29" i="4" s="1"/>
  <c r="A30" i="4" s="1"/>
  <c r="AC33" i="8" l="1"/>
  <c r="AC37" i="8"/>
  <c r="AC30" i="8"/>
  <c r="AD30" i="8" s="1"/>
  <c r="AC34" i="8"/>
  <c r="AC31" i="8"/>
  <c r="AC35" i="8"/>
  <c r="AC32" i="8"/>
  <c r="AC36" i="8"/>
  <c r="AC41" i="8"/>
  <c r="AC45" i="8"/>
  <c r="AC42" i="8"/>
  <c r="AC46" i="8"/>
  <c r="AC50" i="8"/>
  <c r="AC38" i="8"/>
  <c r="AC40" i="8"/>
  <c r="AC44" i="8"/>
  <c r="AC48" i="8"/>
  <c r="AC51" i="8"/>
  <c r="AC55" i="8"/>
  <c r="AC43" i="8"/>
  <c r="AC52" i="8"/>
  <c r="AC56" i="8"/>
  <c r="AC39" i="8"/>
  <c r="AC49" i="8"/>
  <c r="AC60" i="8"/>
  <c r="AC54" i="8"/>
  <c r="AC47" i="8"/>
  <c r="AC58" i="8"/>
  <c r="AC59" i="8"/>
  <c r="AC53" i="8"/>
  <c r="AC57" i="8"/>
  <c r="C29" i="4"/>
  <c r="B30" i="4" s="1"/>
  <c r="A31" i="4" s="1"/>
  <c r="AD34" i="8" l="1"/>
  <c r="AD38" i="8"/>
  <c r="AD31" i="8"/>
  <c r="AE31" i="8" s="1"/>
  <c r="AD35" i="8"/>
  <c r="AD37" i="8"/>
  <c r="AD40" i="8"/>
  <c r="AD32" i="8"/>
  <c r="AD41" i="8"/>
  <c r="AD36" i="8"/>
  <c r="AD42" i="8"/>
  <c r="AD46" i="8"/>
  <c r="AD39" i="8"/>
  <c r="AD49" i="8"/>
  <c r="AD54" i="8"/>
  <c r="AD48" i="8"/>
  <c r="AD50" i="8"/>
  <c r="AD51" i="8"/>
  <c r="AD55" i="8"/>
  <c r="AD59" i="8"/>
  <c r="AD33" i="8"/>
  <c r="AD53" i="8"/>
  <c r="AD57" i="8"/>
  <c r="AD45" i="8"/>
  <c r="AD52" i="8"/>
  <c r="AD60" i="8"/>
  <c r="AD43" i="8"/>
  <c r="AD44" i="8"/>
  <c r="AD56" i="8"/>
  <c r="AD47" i="8"/>
  <c r="AD58" i="8"/>
  <c r="C30" i="4"/>
  <c r="B31" i="4" s="1"/>
  <c r="A32" i="4" s="1"/>
  <c r="AE32" i="8" l="1"/>
  <c r="AF32" i="8" s="1"/>
  <c r="AE36" i="8"/>
  <c r="AE33" i="8"/>
  <c r="AE34" i="8"/>
  <c r="AE38" i="8"/>
  <c r="AE35" i="8"/>
  <c r="AE37" i="8"/>
  <c r="AE40" i="8"/>
  <c r="AE44" i="8"/>
  <c r="AE41" i="8"/>
  <c r="AE45" i="8"/>
  <c r="AE49" i="8"/>
  <c r="AE39" i="8"/>
  <c r="AE43" i="8"/>
  <c r="AE54" i="8"/>
  <c r="AE42" i="8"/>
  <c r="AE48" i="8"/>
  <c r="AE50" i="8"/>
  <c r="AE51" i="8"/>
  <c r="AE55" i="8"/>
  <c r="AE47" i="8"/>
  <c r="AE53" i="8"/>
  <c r="AE57" i="8"/>
  <c r="AE52" i="8"/>
  <c r="AE60" i="8"/>
  <c r="AE56" i="8"/>
  <c r="AE46" i="8"/>
  <c r="AE59" i="8"/>
  <c r="AE58" i="8"/>
  <c r="C31" i="4"/>
  <c r="B32" i="4" s="1"/>
  <c r="A33" i="4" s="1"/>
  <c r="AF33" i="8" l="1"/>
  <c r="AG33" i="8" s="1"/>
  <c r="AF37" i="8"/>
  <c r="AF34" i="8"/>
  <c r="AF38" i="8"/>
  <c r="AF39" i="8"/>
  <c r="AF40" i="8"/>
  <c r="AF44" i="8"/>
  <c r="AF36" i="8"/>
  <c r="AF41" i="8"/>
  <c r="AF45" i="8"/>
  <c r="AF47" i="8"/>
  <c r="AF49" i="8"/>
  <c r="AF53" i="8"/>
  <c r="AF54" i="8"/>
  <c r="AF58" i="8"/>
  <c r="AF42" i="8"/>
  <c r="AF35" i="8"/>
  <c r="AF46" i="8"/>
  <c r="AF52" i="8"/>
  <c r="AF56" i="8"/>
  <c r="AF59" i="8"/>
  <c r="AF57" i="8"/>
  <c r="AF50" i="8"/>
  <c r="AF48" i="8"/>
  <c r="AF51" i="8"/>
  <c r="AF60" i="8"/>
  <c r="AF55" i="8"/>
  <c r="AF43" i="8"/>
  <c r="C32" i="4"/>
  <c r="B33" i="4" s="1"/>
  <c r="A34" i="4" s="1"/>
  <c r="G2" i="4" s="1"/>
  <c r="AG35" i="8" l="1"/>
  <c r="AG37" i="8"/>
  <c r="AG34" i="8"/>
  <c r="AH34" i="8" s="1"/>
  <c r="AG38" i="8"/>
  <c r="AG39" i="8"/>
  <c r="AG43" i="8"/>
  <c r="AG40" i="8"/>
  <c r="AG44" i="8"/>
  <c r="AG48" i="8"/>
  <c r="AG42" i="8"/>
  <c r="AG46" i="8"/>
  <c r="AG52" i="8"/>
  <c r="AG47" i="8"/>
  <c r="AG49" i="8"/>
  <c r="AG53" i="8"/>
  <c r="AG57" i="8"/>
  <c r="AG36" i="8"/>
  <c r="AG41" i="8"/>
  <c r="AG54" i="8"/>
  <c r="AG45" i="8"/>
  <c r="AG59" i="8"/>
  <c r="AG58" i="8"/>
  <c r="AG55" i="8"/>
  <c r="AG51" i="8"/>
  <c r="AG60" i="8"/>
  <c r="AG56" i="8"/>
  <c r="AG50" i="8"/>
  <c r="C33" i="4"/>
  <c r="B34" i="4" s="1"/>
  <c r="C34" i="4" s="1"/>
  <c r="AH36" i="8" l="1"/>
  <c r="AH37" i="8"/>
  <c r="AH38" i="8"/>
  <c r="AH39" i="8"/>
  <c r="AH43" i="8"/>
  <c r="AH40" i="8"/>
  <c r="AH44" i="8"/>
  <c r="AH35" i="8"/>
  <c r="AI35" i="8" s="1"/>
  <c r="AH46" i="8"/>
  <c r="AH52" i="8"/>
  <c r="AH56" i="8"/>
  <c r="AH47" i="8"/>
  <c r="AH49" i="8"/>
  <c r="AH53" i="8"/>
  <c r="AH57" i="8"/>
  <c r="AH45" i="8"/>
  <c r="AH50" i="8"/>
  <c r="AH51" i="8"/>
  <c r="AH55" i="8"/>
  <c r="AH41" i="8"/>
  <c r="AH59" i="8"/>
  <c r="AH54" i="8"/>
  <c r="AH48" i="8"/>
  <c r="AH60" i="8"/>
  <c r="AH42" i="8"/>
  <c r="AH58" i="8"/>
  <c r="AI36" i="8" l="1"/>
  <c r="AJ36" i="8" s="1"/>
  <c r="AI37" i="8"/>
  <c r="AI42" i="8"/>
  <c r="AI46" i="8"/>
  <c r="AI38" i="8"/>
  <c r="AI39" i="8"/>
  <c r="AI43" i="8"/>
  <c r="AI47" i="8"/>
  <c r="AI41" i="8"/>
  <c r="AI40" i="8"/>
  <c r="AI45" i="8"/>
  <c r="AI50" i="8"/>
  <c r="AI51" i="8"/>
  <c r="AI52" i="8"/>
  <c r="AI56" i="8"/>
  <c r="AI49" i="8"/>
  <c r="AI53" i="8"/>
  <c r="AI44" i="8"/>
  <c r="AI48" i="8"/>
  <c r="AI58" i="8"/>
  <c r="AI57" i="8"/>
  <c r="AI59" i="8"/>
  <c r="AI54" i="8"/>
  <c r="AI60" i="8"/>
  <c r="AI55" i="8"/>
  <c r="AJ41" i="8" l="1"/>
  <c r="AJ37" i="8"/>
  <c r="AK37" i="8" s="1"/>
  <c r="AJ42" i="8"/>
  <c r="AJ38" i="8"/>
  <c r="AJ39" i="8"/>
  <c r="AJ43" i="8"/>
  <c r="AJ44" i="8"/>
  <c r="AJ48" i="8"/>
  <c r="AJ40" i="8"/>
  <c r="AJ45" i="8"/>
  <c r="AJ50" i="8"/>
  <c r="AJ51" i="8"/>
  <c r="AJ55" i="8"/>
  <c r="AJ46" i="8"/>
  <c r="AJ47" i="8"/>
  <c r="AJ52" i="8"/>
  <c r="AJ56" i="8"/>
  <c r="AJ60" i="8"/>
  <c r="AJ54" i="8"/>
  <c r="AJ49" i="8"/>
  <c r="AJ53" i="8"/>
  <c r="AJ58" i="8"/>
  <c r="AJ57" i="8"/>
  <c r="AJ59" i="8"/>
  <c r="AK41" i="8" l="1"/>
  <c r="AK45" i="8"/>
  <c r="AK42" i="8"/>
  <c r="AK46" i="8"/>
  <c r="AK50" i="8"/>
  <c r="AK40" i="8"/>
  <c r="AK44" i="8"/>
  <c r="AK39" i="8"/>
  <c r="AK48" i="8"/>
  <c r="AK38" i="8"/>
  <c r="AL38" i="8" s="1"/>
  <c r="AK51" i="8"/>
  <c r="AK55" i="8"/>
  <c r="AK47" i="8"/>
  <c r="AK52" i="8"/>
  <c r="AK56" i="8"/>
  <c r="AK43" i="8"/>
  <c r="AK54" i="8"/>
  <c r="AK49" i="8"/>
  <c r="AK53" i="8"/>
  <c r="AK58" i="8"/>
  <c r="AK57" i="8"/>
  <c r="AK59" i="8"/>
  <c r="AK60" i="8"/>
  <c r="AL40" i="8" l="1"/>
  <c r="AL41" i="8"/>
  <c r="AL42" i="8"/>
  <c r="AL46" i="8"/>
  <c r="AL43" i="8"/>
  <c r="AL44" i="8"/>
  <c r="AL54" i="8"/>
  <c r="AL39" i="8"/>
  <c r="AM39" i="8" s="1"/>
  <c r="AL45" i="8"/>
  <c r="AL48" i="8"/>
  <c r="AL50" i="8"/>
  <c r="AL51" i="8"/>
  <c r="AL55" i="8"/>
  <c r="AL59" i="8"/>
  <c r="AL49" i="8"/>
  <c r="AL53" i="8"/>
  <c r="AL57" i="8"/>
  <c r="AL60" i="8"/>
  <c r="AL56" i="8"/>
  <c r="AL52" i="8"/>
  <c r="AL58" i="8"/>
  <c r="AL47" i="8"/>
  <c r="AM40" i="8" l="1"/>
  <c r="AN40" i="8" s="1"/>
  <c r="AM44" i="8"/>
  <c r="AM41" i="8"/>
  <c r="AM45" i="8"/>
  <c r="AM49" i="8"/>
  <c r="AM43" i="8"/>
  <c r="AM54" i="8"/>
  <c r="AM46" i="8"/>
  <c r="AM48" i="8"/>
  <c r="AM50" i="8"/>
  <c r="AM51" i="8"/>
  <c r="AM55" i="8"/>
  <c r="AM42" i="8"/>
  <c r="AM60" i="8"/>
  <c r="AM59" i="8"/>
  <c r="AM52" i="8"/>
  <c r="AM53" i="8"/>
  <c r="AM57" i="8"/>
  <c r="AM47" i="8"/>
  <c r="AM58" i="8"/>
  <c r="AM56" i="8"/>
  <c r="AN44" i="8" l="1"/>
  <c r="AN41" i="8"/>
  <c r="AO41" i="8" s="1"/>
  <c r="AN45" i="8"/>
  <c r="AN49" i="8"/>
  <c r="AN43" i="8"/>
  <c r="AN53" i="8"/>
  <c r="AN54" i="8"/>
  <c r="AN58" i="8"/>
  <c r="AN46" i="8"/>
  <c r="AN48" i="8"/>
  <c r="AN50" i="8"/>
  <c r="AN42" i="8"/>
  <c r="AN47" i="8"/>
  <c r="AN52" i="8"/>
  <c r="AN56" i="8"/>
  <c r="AN60" i="8"/>
  <c r="AN57" i="8"/>
  <c r="AN55" i="8"/>
  <c r="AN59" i="8"/>
  <c r="AN51" i="8"/>
  <c r="AO43" i="8" l="1"/>
  <c r="AO44" i="8"/>
  <c r="AO48" i="8"/>
  <c r="AO42" i="8"/>
  <c r="AP42" i="8" s="1"/>
  <c r="AO47" i="8"/>
  <c r="AO52" i="8"/>
  <c r="AO49" i="8"/>
  <c r="AO53" i="8"/>
  <c r="AO57" i="8"/>
  <c r="AO45" i="8"/>
  <c r="AO54" i="8"/>
  <c r="AO46" i="8"/>
  <c r="AO50" i="8"/>
  <c r="AO55" i="8"/>
  <c r="AO56" i="8"/>
  <c r="AO59" i="8"/>
  <c r="AO58" i="8"/>
  <c r="AO60" i="8"/>
  <c r="AO51" i="8"/>
  <c r="AP43" i="8" l="1"/>
  <c r="AQ43" i="8" s="1"/>
  <c r="AP44" i="8"/>
  <c r="AP47" i="8"/>
  <c r="AP52" i="8"/>
  <c r="AP56" i="8"/>
  <c r="AP49" i="8"/>
  <c r="AP53" i="8"/>
  <c r="AP57" i="8"/>
  <c r="AP45" i="8"/>
  <c r="AP51" i="8"/>
  <c r="AP55" i="8"/>
  <c r="AP46" i="8"/>
  <c r="AP50" i="8"/>
  <c r="AP59" i="8"/>
  <c r="AP48" i="8"/>
  <c r="AP54" i="8"/>
  <c r="AP60" i="8"/>
  <c r="AP58" i="8"/>
  <c r="AQ46" i="8" l="1"/>
  <c r="AQ47" i="8"/>
  <c r="AQ51" i="8"/>
  <c r="AQ44" i="8"/>
  <c r="AR44" i="8" s="1"/>
  <c r="AQ52" i="8"/>
  <c r="AQ56" i="8"/>
  <c r="AQ49" i="8"/>
  <c r="AQ53" i="8"/>
  <c r="AQ50" i="8"/>
  <c r="AQ55" i="8"/>
  <c r="AQ45" i="8"/>
  <c r="AQ59" i="8"/>
  <c r="AQ60" i="8"/>
  <c r="AQ48" i="8"/>
  <c r="AQ54" i="8"/>
  <c r="AQ57" i="8"/>
  <c r="AQ58" i="8"/>
  <c r="AR50" i="8" l="1"/>
  <c r="AR51" i="8"/>
  <c r="AR55" i="8"/>
  <c r="AR47" i="8"/>
  <c r="AR52" i="8"/>
  <c r="AR56" i="8"/>
  <c r="AR60" i="8"/>
  <c r="AR49" i="8"/>
  <c r="AR46" i="8"/>
  <c r="AR48" i="8"/>
  <c r="AR54" i="8"/>
  <c r="AR57" i="8"/>
  <c r="AR58" i="8"/>
  <c r="AR45" i="8"/>
  <c r="AS45" i="8" s="1"/>
  <c r="AR59" i="8"/>
  <c r="AR53" i="8"/>
  <c r="AS46" i="8" l="1"/>
  <c r="AT46" i="8" s="1"/>
  <c r="AS50" i="8"/>
  <c r="AS48" i="8"/>
  <c r="AS51" i="8"/>
  <c r="AS55" i="8"/>
  <c r="AS47" i="8"/>
  <c r="AS52" i="8"/>
  <c r="AS56" i="8"/>
  <c r="AS54" i="8"/>
  <c r="AS57" i="8"/>
  <c r="AS58" i="8"/>
  <c r="AS53" i="8"/>
  <c r="AS49" i="8"/>
  <c r="AS59" i="8"/>
  <c r="AS60" i="8"/>
  <c r="AT48" i="8" l="1"/>
  <c r="AT50" i="8"/>
  <c r="AT54" i="8"/>
  <c r="AT51" i="8"/>
  <c r="AT55" i="8"/>
  <c r="AT59" i="8"/>
  <c r="AT47" i="8"/>
  <c r="AU47" i="8" s="1"/>
  <c r="AT53" i="8"/>
  <c r="AT57" i="8"/>
  <c r="AT56" i="8"/>
  <c r="AT58" i="8"/>
  <c r="AT49" i="8"/>
  <c r="AT52" i="8"/>
  <c r="AT60" i="8"/>
  <c r="AU49" i="8" l="1"/>
  <c r="AU48" i="8"/>
  <c r="AV48" i="8" s="1"/>
  <c r="AU50" i="8"/>
  <c r="AU54" i="8"/>
  <c r="AU51" i="8"/>
  <c r="AU55" i="8"/>
  <c r="AU60" i="8"/>
  <c r="AU52" i="8"/>
  <c r="AU56" i="8"/>
  <c r="AU57" i="8"/>
  <c r="AU59" i="8"/>
  <c r="AU58" i="8"/>
  <c r="AU53" i="8"/>
  <c r="AV53" i="8" l="1"/>
  <c r="AV50" i="8"/>
  <c r="AV54" i="8"/>
  <c r="AV58" i="8"/>
  <c r="AV49" i="8"/>
  <c r="AW49" i="8" s="1"/>
  <c r="AV52" i="8"/>
  <c r="AV56" i="8"/>
  <c r="AV60" i="8"/>
  <c r="AV55" i="8"/>
  <c r="AV57" i="8"/>
  <c r="AV59" i="8"/>
  <c r="AV51" i="8"/>
  <c r="AW52" i="8" l="1"/>
  <c r="AW53" i="8"/>
  <c r="AW57" i="8"/>
  <c r="AW50" i="8"/>
  <c r="AX50" i="8" s="1"/>
  <c r="AW54" i="8"/>
  <c r="AW51" i="8"/>
  <c r="AW60" i="8"/>
  <c r="AW55" i="8"/>
  <c r="AW56" i="8"/>
  <c r="AW58" i="8"/>
  <c r="AW59" i="8"/>
  <c r="AX52" i="8" l="1"/>
  <c r="AX56" i="8"/>
  <c r="AX53" i="8"/>
  <c r="AX57" i="8"/>
  <c r="AX51" i="8"/>
  <c r="AY51" i="8" s="1"/>
  <c r="AX55" i="8"/>
  <c r="AX59" i="8"/>
  <c r="AX54" i="8"/>
  <c r="AX60" i="8"/>
  <c r="AX58" i="8"/>
  <c r="AY52" i="8" l="1"/>
  <c r="AZ52" i="8" s="1"/>
  <c r="AY56" i="8"/>
  <c r="AY53" i="8"/>
  <c r="AY59" i="8"/>
  <c r="AY54" i="8"/>
  <c r="AY58" i="8"/>
  <c r="AY55" i="8"/>
  <c r="AY57" i="8"/>
  <c r="AY60" i="8"/>
  <c r="AZ55" i="8" l="1"/>
  <c r="AZ56" i="8"/>
  <c r="AZ60" i="8"/>
  <c r="AZ54" i="8"/>
  <c r="AZ57" i="8"/>
  <c r="AZ59" i="8"/>
  <c r="AZ53" i="8"/>
  <c r="BA53" i="8" s="1"/>
  <c r="AZ58" i="8"/>
  <c r="BA55" i="8" l="1"/>
  <c r="BA56" i="8"/>
  <c r="BA58" i="8"/>
  <c r="BA57" i="8"/>
  <c r="BA54" i="8"/>
  <c r="BB54" i="8" s="1"/>
  <c r="BA59" i="8"/>
  <c r="BA60" i="8"/>
  <c r="BB55" i="8" l="1"/>
  <c r="BC55" i="8" s="1"/>
  <c r="BB59" i="8"/>
  <c r="BB57" i="8"/>
  <c r="BB58" i="8"/>
  <c r="BB60" i="8"/>
  <c r="BB56" i="8"/>
  <c r="BC58" i="8" l="1"/>
  <c r="BC56" i="8"/>
  <c r="BD56" i="8" s="1"/>
  <c r="BC59" i="8"/>
  <c r="BC57" i="8"/>
  <c r="BC60" i="8"/>
  <c r="BD58" i="8" l="1"/>
  <c r="BD57" i="8"/>
  <c r="BE57" i="8" s="1"/>
  <c r="BD60" i="8"/>
  <c r="BD59" i="8"/>
  <c r="BE60" i="8" l="1"/>
  <c r="BE58" i="8"/>
  <c r="BF58" i="8" s="1"/>
  <c r="BE59" i="8"/>
  <c r="BF60" i="8" l="1"/>
  <c r="BF59" i="8"/>
  <c r="BG59" i="8" s="1"/>
  <c r="BG60" i="8" s="1"/>
  <c r="BH60" i="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<sst xmlns="http://schemas.openxmlformats.org/spreadsheetml/2006/main" count="888" uniqueCount="887">
  <si>
    <t>Eredeti</t>
  </si>
  <si>
    <t>785 Pithecusae (Ischia) is settled by Euboean Greeks from Eretria and Chalcis</t>
  </si>
  <si>
    <t>777 Cumae is founded by Chalcis</t>
  </si>
  <si>
    <t>776 Traditional date for the first historic Olympic games.</t>
  </si>
  <si>
    <t>757 The First Messenian War starts. (Date disputed by Jerome, Pausanias and Diodorus; this estimate is based on a reading of Diodorus' Spartan king lists and Pausanias' description of the war).</t>
  </si>
  <si>
    <t>756 Kyzikus is settled by Ionians</t>
  </si>
  <si>
    <t>754 Polydorus becomes king of Sparta.</t>
  </si>
  <si>
    <t>753 Athens: Office of Archon reduced to 10 years. Members of the ruling family to possess the office starting with Charops. (Dating based on Pausanias).</t>
  </si>
  <si>
    <t>743 Rhegion is founded by Euboeans</t>
  </si>
  <si>
    <t>740 Zancle is founded by Euboeans</t>
  </si>
  <si>
    <t>738 Alternative date for the end of the First Messenian War.</t>
  </si>
  <si>
    <t>737 Rhegion and Zancle join in union under Zancle</t>
  </si>
  <si>
    <t>735 Perdiccas I of Macedon flees from Argos to Macedonia and conquers the land.</t>
  </si>
  <si>
    <t>734 Polydorus sends colonists to Italy.</t>
  </si>
  <si>
    <t>734 Syracuse is founded by Korinthians and Teneans</t>
  </si>
  <si>
    <t>734 Kerkyra is founded by Korinthians</t>
  </si>
  <si>
    <t>733 Naxos (Sicily) is founded by Euboeans</t>
  </si>
  <si>
    <t>733 Troliton is founded by Megarans</t>
  </si>
  <si>
    <t>732 Euboea splits between Chalcis and Eretria due to disputes</t>
  </si>
  <si>
    <t>731 Sigeion is founded by Mytilene</t>
  </si>
  <si>
    <t>731 Catania is founded by Chalcidians</t>
  </si>
  <si>
    <t>730 Leontini is founded by Naxos and controlled by the tyrant Euarchus</t>
  </si>
  <si>
    <t>730 Troliton is abandoned and settlers settled in Leontini</t>
  </si>
  <si>
    <t>728 Troliton settlers are ostracized from Leontini and settle Thapsos</t>
  </si>
  <si>
    <t>727-717 Hippomenes, archon of Athens, kills his daughter's adulterer by yoking him to his chariot and then locks his daughter Leimone in with a horse until she dies. (Pausanias and Aristotle).</t>
  </si>
  <si>
    <t>725 Lelantine War between Chalcis and Eretria. Many Greek cities are allied with one or the other. Dates before this time uncertain.</t>
  </si>
  <si>
    <t>725 Thapsos abandoned and Megara Hyblaea is settled by the Thapsos settlers</t>
  </si>
  <si>
    <t>720 Korinth removes the Liburnians from Kerkyra</t>
  </si>
  <si>
    <t>720 Sybaris is founded by Achaeans from Helice</t>
  </si>
  <si>
    <t>719 Polydorus, King of Sparta, is murdered by Polymarchus.</t>
  </si>
  <si>
    <t>716 Mylae is founded and annexed by Zancle</t>
  </si>
  <si>
    <t>716 According to legend: The reign of the Heraklids over Lydia is ended when Candaules, known as Myrsilus to the Greeks, is murdered by Gyges because of his wife's anger.</t>
  </si>
  <si>
    <t>715 Lydia annexes Colophon and Magnesia and sieges Smyrna</t>
  </si>
  <si>
    <t>712 Lydia abandons the siege of Smyrna and annexes parts of Troad and Sipylus</t>
  </si>
  <si>
    <t>712 Korinth annexes Perachora peninsula from Megara</t>
  </si>
  <si>
    <t>709 Kroton is founded by Achaeans</t>
  </si>
  <si>
    <t>707 Taras is founded by Dorians</t>
  </si>
  <si>
    <t>705 Hybla Minor is annexed by Megara Hyblaea</t>
  </si>
  <si>
    <t>704 Korinth gives Samos 4 ships</t>
  </si>
  <si>
    <t>700 The town of Phaselis is founded by the Rhodians</t>
  </si>
  <si>
    <t>700 Erythra is annexed by Rhegion[citation needed]</t>
  </si>
  <si>
    <t>699 Metapontion is founded by Kroton and Sybaris</t>
  </si>
  <si>
    <t>698 Euarchus is overthrown by Leontini</t>
  </si>
  <si>
    <t>696 Lefkandi is occupied by Chalcis</t>
  </si>
  <si>
    <t>695 Polieum is founded by Ionians</t>
  </si>
  <si>
    <t>691 Antandrus is founded and annexed by Mytilene</t>
  </si>
  <si>
    <t>690 Pheidon becomes tyrant of Argos.</t>
  </si>
  <si>
    <t>689 Gela is founded by Cretans and Rodians</t>
  </si>
  <si>
    <t>688 Arisba is annexed by Methymna and Mytilene declares war on Methymna</t>
  </si>
  <si>
    <t>687 Annual office of Archon established in Athens. Any Athenian citizen can be elected to the office if they have the qualifications. Creon elected first annual archon. (Dating based on Pausanias).</t>
  </si>
  <si>
    <t>686 Methymna is annexed by Mytilene</t>
  </si>
  <si>
    <t>686 Megara gains independence from Korinth</t>
  </si>
  <si>
    <t>685 The second Messenian war begins.</t>
  </si>
  <si>
    <t>685 Chalcedon is founded by Megarans</t>
  </si>
  <si>
    <t>680 Epizephyrian Lokros is founded by Opus</t>
  </si>
  <si>
    <t>676 Pergamon is founded by Ionians</t>
  </si>
  <si>
    <t>674 Karystus is occupied by Korinth</t>
  </si>
  <si>
    <t>672 Abydos is settled by Miletus</t>
  </si>
  <si>
    <t>671 Melia is destroyed by Samos and Priene, Samos builds Fort Carium to replace it and Samos and Priene split Melia</t>
  </si>
  <si>
    <t>670 Miletus is sieged by Lydia, Priene is annexed by Lydia, Samos annexes former Melian territory</t>
  </si>
  <si>
    <t>669 or 668 Battle of Hysiae</t>
  </si>
  <si>
    <t>668 Lydia abandons siege of Mietus</t>
  </si>
  <si>
    <t>667 Byzantium is founded by Korinthians</t>
  </si>
  <si>
    <t>665 The second Messenian war ends.</t>
  </si>
  <si>
    <t>664 Corcyran Revolt and First Sea Battle in ancient Greece between Corcyra and Korinthos</t>
  </si>
  <si>
    <t>664 Akrai is founded and annexed by Syracuse</t>
  </si>
  <si>
    <t>657 Cypselus subjects Corinth to tyranny.</t>
  </si>
  <si>
    <t>657 Founding of Lekas by Corinth</t>
  </si>
  <si>
    <t>655 Akanthus and Stageira are founded by Androsi</t>
  </si>
  <si>
    <t>654 Abdera is founded by Klazomenaites</t>
  </si>
  <si>
    <t>652 Ephesus and Priene are sacked by Cimmerians</t>
  </si>
  <si>
    <t>651 Levantine War ends, Chalcis wins and annexes Levantine Plain</t>
  </si>
  <si>
    <t>650 The Pontic Pentapolis: Apollonia, Callatis, Mesembria (Nessebar), Odessos (Varna), and Tomis (Constanța), all on the Euxeinos Pontos.</t>
  </si>
  <si>
    <t>650 Andros, Kea and Tenos gain independence from Eretria, Cypselus leaves Karystus</t>
  </si>
  <si>
    <t>650 Syracuse annexes Pantalica</t>
  </si>
  <si>
    <t>648 Himera is founded by Zancleans</t>
  </si>
  <si>
    <t>645-560 Spartan wars with Tegea all unsuccessful</t>
  </si>
  <si>
    <t>643 Kasmenai is founded and annexed by Syracuse</t>
  </si>
  <si>
    <t>637-630 Drought on Thera</t>
  </si>
  <si>
    <t>633 Ambrakia founded by Tyrant Gorgus and Korinthians</t>
  </si>
  <si>
    <t>632 Cylon, Athenian noble, seizes Acropolis and tries unsuccessfully to make himself king</t>
  </si>
  <si>
    <t>631 Battus establishes a Greek colony in Cyrene in Libya.</t>
  </si>
  <si>
    <t>630 Helorus is founded and annexed by Syracuse</t>
  </si>
  <si>
    <t>630 Histria is established by Milesian settlers in order to facilitate trade with the native Getae.</t>
  </si>
  <si>
    <t>630 Founding of Tripolis by Samos</t>
  </si>
  <si>
    <t>630 Formal pederasty is introduced, first in Crete, as a means of population control and an educational modality.</t>
  </si>
  <si>
    <t>628 Selinus is founded by Hyblaea Megarans</t>
  </si>
  <si>
    <t>627 Epidamos is founded by Kerkyreans</t>
  </si>
  <si>
    <t>627 Cypselus is succeeded by Periander</t>
  </si>
  <si>
    <t>625 Establishment of Naucratis</t>
  </si>
  <si>
    <t>621 Draco, Athenian lawgiver, issues code of laws, with many crimes punishable by death.</t>
  </si>
  <si>
    <t>621 Epidaurus is annexed by Korinth</t>
  </si>
  <si>
    <t>619 Herbessus is annexed by Syracuse</t>
  </si>
  <si>
    <t>616 Miletus is sieged by Lydia</t>
  </si>
  <si>
    <t>615 Leontini is overthrown by Panaetius</t>
  </si>
  <si>
    <t>612 Miletus is overthrown by Thrasybulos</t>
  </si>
  <si>
    <t>610 Panticapaeum (modern city Kerch) is founded by Milesians</t>
  </si>
  <si>
    <t>609 Panaetius is oust by Leontini</t>
  </si>
  <si>
    <t>606 Gorgus is succeeded by Periander</t>
  </si>
  <si>
    <t>604 Lydia abandons the Siege of Miletus</t>
  </si>
  <si>
    <t>603 Athenai annexes Sigeion</t>
  </si>
  <si>
    <t>601 Miletus and Korinth become allies</t>
  </si>
  <si>
    <t>600 Massalia founded by Phocaean Greeks (approximate date).[1]</t>
  </si>
  <si>
    <t>600 Segesta is Hellenized by Ionians</t>
  </si>
  <si>
    <t>598 Akrillai is founded and annexed by Syracuse</t>
  </si>
  <si>
    <t>598 Kamarina is founded and annexed by Syracuse</t>
  </si>
  <si>
    <t>597 Delphi gains independence from Kirrha</t>
  </si>
  <si>
    <t>596 Paleopoli is founded by Samosi</t>
  </si>
  <si>
    <t>595 Salamis is annexed by Athens</t>
  </si>
  <si>
    <t>595 Start of the First Sacred War</t>
  </si>
  <si>
    <t>594 Kirrha is sieged by Amphictyonic League</t>
  </si>
  <si>
    <t>594 Solon, Athenian statesman, becomes Archon pre-582 (cf. ML6 and Plutarch Sol. 14)—later, when member of the Areopagus is appointed to effect social reforms in order to preserve order in Athens, which include the abolition of the security of debts on a debtor's person (Aristotle Ath. Pol. 6), returning exiled Athenian slaves (Solon fr. 4 in Ath. Pol. 12), changing the value of weights and measures to the Korinthian standard, prohibiting the export of grain from Attica and encouraging the planting of olives (Plut. Sol. 22-4), established the property classes (Ar. Ath. Pol. 7) and the council of 400 (Ar. Ath. Pol. 8).</t>
  </si>
  <si>
    <t>592 Ephesus is sieged by Persia</t>
  </si>
  <si>
    <t>590 Siege of Ephesus is abandoned, Lydia annexes Smyrna and Median-Lydian war starts</t>
  </si>
  <si>
    <t>590 Muorica (Renamed Modica) is annexed by Syracuse</t>
  </si>
  <si>
    <t>590 Sappho, Greek poet, flourishes on island of Lesbos.</t>
  </si>
  <si>
    <t>589 Klazomenai is sieged by Lydia</t>
  </si>
  <si>
    <t>588 Poseidonia is founded by Sybaris</t>
  </si>
  <si>
    <t>587 Siege of Klazomenai is abandoned by Lydia</t>
  </si>
  <si>
    <t>586 Death of Lycophron tyrant of Corcyra</t>
  </si>
  <si>
    <t>586 Plataea gains independence from Thebai</t>
  </si>
  <si>
    <t>585 Kirrha is destroyed</t>
  </si>
  <si>
    <t>585 Lydian-Median border set at Halys River</t>
  </si>
  <si>
    <t>585 The philosopher Thales of Miletus predicts a solar eclipse that occurs during the Battle of Halys.</t>
  </si>
  <si>
    <t>585 Periander is overthrown by Psammetichus</t>
  </si>
  <si>
    <t>585 End of the First Sacred War</t>
  </si>
  <si>
    <t>583 Psammetichus is overthrown by Korinth</t>
  </si>
  <si>
    <t>582 Akragas is founded by Gelans</t>
  </si>
  <si>
    <t>582 First recorded Pythian Games</t>
  </si>
  <si>
    <t>581 Selinus attacks Motya</t>
  </si>
  <si>
    <t>581 Korinth join the Peloponnesian League</t>
  </si>
  <si>
    <t>580 Foundation of Parthenope</t>
  </si>
  <si>
    <t>580 Selinus is defeated by Carthage and withdraws from Motya</t>
  </si>
  <si>
    <t>580 Periander is overthrown by democrats in Ambrakia</t>
  </si>
  <si>
    <t>580 Elis joins the Peloponnesian League</t>
  </si>
  <si>
    <t>580 Lipari is founded by Knidosi</t>
  </si>
  <si>
    <t>578 Thrasybulos dies</t>
  </si>
  <si>
    <t>575 Empúries, also known as Ampurias (Greek: Ἐμπόριον, Catalan: Empúries [əmˈpuɾiəs], Spanish: Ampurias [amˈpuɾjas]), a town on the Mediterranean coast of the Catalan comarca of Alt Empordà in Catalonia, Spain is founded by Greek colonists from Phocaea with the name of Ἐμπόριον (Emporion, meaning "trading place", cf. emporion).</t>
  </si>
  <si>
    <t>572 Pisa and Olympia are annexed by Elis</t>
  </si>
  <si>
    <t>570 Akragas is overthrown by Phalaris</t>
  </si>
  <si>
    <t>570 Phocaeans from Massalia (modern day Marseille) founded the colony of Monoikos (Monaco).[2]</t>
  </si>
  <si>
    <t>569 Pythagoras is born.</t>
  </si>
  <si>
    <t>565 Peisistratos, Athenian general, organizes Diakrioi, party of poor people.</t>
  </si>
  <si>
    <t>561 Peisistratos takes power in Athens for first time.</t>
  </si>
  <si>
    <t>560 Ephesus is besieged by Lydia</t>
  </si>
  <si>
    <t>560 Phalaris annexes Himera</t>
  </si>
  <si>
    <t>559 Ephesus is annexed by Lydia</t>
  </si>
  <si>
    <t>559-550 Lydia annexes Aeolis and Ionia</t>
  </si>
  <si>
    <t>559 Achilleion is founded and annexed by Mytilene</t>
  </si>
  <si>
    <t>557 Argos is overthrown by Perilaus</t>
  </si>
  <si>
    <t>556 Phlius is overthrown by Leo</t>
  </si>
  <si>
    <t>555 Helike (Elche) is established by Greeks from the Achaian city of Helice</t>
  </si>
  <si>
    <t>555 Peisistratos driven out by Lycurgus who is commander of nobles.</t>
  </si>
  <si>
    <t>555 Miltiades I unites Thracian Chernessos under his rule</t>
  </si>
  <si>
    <t>554 Phalaris is overthrown by Akragas and Himera gains independence</t>
  </si>
  <si>
    <t>553 Kamarina declares independence from Syracuse</t>
  </si>
  <si>
    <t>552 Kamarina is annexed by Syracuse</t>
  </si>
  <si>
    <t>551 Telemachus overthrows Akragas</t>
  </si>
  <si>
    <t>550 Minoa is founded by Selinus</t>
  </si>
  <si>
    <t>550 Odessa[3] is established by the Greek city of Histria.</t>
  </si>
  <si>
    <t>550 Miltiades II is born</t>
  </si>
  <si>
    <t>549 Peisistratos restored by help of Megacles.</t>
  </si>
  <si>
    <t>549 Boeotian League is founded</t>
  </si>
  <si>
    <t>548 Lesbos sieges Sigeion</t>
  </si>
  <si>
    <t>547 Athens repulses the Lesbans and Sigeion (Now ruled by Hegesistratos) becomes an Athenian vassal</t>
  </si>
  <si>
    <t>546 Sparta annexes Kynouria, Thyrea and Kythera from Argos</t>
  </si>
  <si>
    <t>546 Croesus, rich king of Lydia, captured at Sardis by Persians.</t>
  </si>
  <si>
    <t>545 Miletus is overthrown by Molpagoras</t>
  </si>
  <si>
    <t>545 Lygdamis becomes Tyrant of Naxos</t>
  </si>
  <si>
    <t>545 The ancient Greek colony of Hermonassa (Krasnodar Krai, Russia) is founded by Ionians and Cretans.[4]</t>
  </si>
  <si>
    <t>544 Abdera starts its Golden Age</t>
  </si>
  <si>
    <t>543 Phanagoria, (Krasnodar Krai, Russia), is founded by Teian colonists who had to flee Asia Minor in consequence of their conflict with Cyrus the Great.</t>
  </si>
  <si>
    <t>542 Peisistratos expelled, makes fortune from Thracian mines.</t>
  </si>
  <si>
    <t>542 The colony of Gorgippia (Krasnodar Krai, Russia) was built by Pontic Greeks.</t>
  </si>
  <si>
    <t>541 Telemachus is overthrown by Alcamenes</t>
  </si>
  <si>
    <t>540 Naxan vassalization of Paros</t>
  </si>
  <si>
    <t>540 Selinus is overthrown by Theron</t>
  </si>
  <si>
    <t>538 Sybaris conquers Siris</t>
  </si>
  <si>
    <t>538 Samos is overthrown by Polycrates</t>
  </si>
  <si>
    <t>536 Samos annexes South Mycale from Miletus</t>
  </si>
  <si>
    <t>535 Perilaus dies</t>
  </si>
  <si>
    <t>534 Athens starts extracting tribute from Ios</t>
  </si>
  <si>
    <t>532 Croton is overthrown by Cylonius</t>
  </si>
  <si>
    <t>532 Peisistratos restored by Thessaly and Lygdamis of Naxos.</t>
  </si>
  <si>
    <t>531 Ikaria is annexed by Samos</t>
  </si>
  <si>
    <t>530 Emporion becomes a Carthaginian vassal</t>
  </si>
  <si>
    <t>530 Maktorion is founded by exiled Gelans</t>
  </si>
  <si>
    <t>530 Tegea joins the Peloponnesian League</t>
  </si>
  <si>
    <t>529 Leo dies</t>
  </si>
  <si>
    <t>528 Maktorion is abandoned and the settlers move to Gela</t>
  </si>
  <si>
    <t>527 Peisistratos dies, succeeded by sons Hippias and Hipparchus.</t>
  </si>
  <si>
    <t>527 Rineia and Delos are annexed by Samos</t>
  </si>
  <si>
    <t>526 Cylonius is overthrown by Kroton</t>
  </si>
  <si>
    <t>525 Netum is annexed by Syracuse</t>
  </si>
  <si>
    <t>525 The ancient Greek city of Euesperides, (modern day Benghazi) is founded by people from Cyrene</t>
  </si>
  <si>
    <t>525 Persian Cambyses II, son of Cyrus the Great takes Egypt.</t>
  </si>
  <si>
    <t>524 Samos annexes Donousa</t>
  </si>
  <si>
    <t>524 Lgydamis of Naxos is overthrown</t>
  </si>
  <si>
    <t>523 Chalcedon is annexed by Persian Empire</t>
  </si>
  <si>
    <t>522 Death of Polycrates of Samos and succession of Maiandrios</t>
  </si>
  <si>
    <t>521 Overthrow of Maiandros by Persian backed Syloson</t>
  </si>
  <si>
    <t>520 Peithagoras overthrows Theron</t>
  </si>
  <si>
    <t>519 Plataea leaves the Boeotian League and is sieged by the latter</t>
  </si>
  <si>
    <t>519 Miltiades is overthrown by Stesagoras</t>
  </si>
  <si>
    <t>519 Abydos declares independence from Stesagoras and is led by the Persian Tyrant Daphnis</t>
  </si>
  <si>
    <t>518 Athens repulses the Boeotians from Plataea</t>
  </si>
  <si>
    <t>517 Sybaris is overthrown by Telys</t>
  </si>
  <si>
    <t>516 Miltiades II an Athenian Tyrant succeeds Stesagoras and reincorporates Abydos</t>
  </si>
  <si>
    <t>516 Cassaibile is annexed by Syracuse</t>
  </si>
  <si>
    <t>515 Molpagoras is succeeded by Histiaeos</t>
  </si>
  <si>
    <t>515 Hippias becomes sole ruler after the death of Hipparchus.</t>
  </si>
  <si>
    <t>514 Tenedos, Lesbos and Abydos is annexed by Persian Empire</t>
  </si>
  <si>
    <t>513 Miltiades II defects from Athens to Persia</t>
  </si>
  <si>
    <t>513 Myrcinos is founded by Ionians</t>
  </si>
  <si>
    <t>513 Persia annexes Thrace (Region)</t>
  </si>
  <si>
    <t>513 Cinyps, Libya, a failed Greek attempt to build a city under the leadership of Dorieus.[5]</t>
  </si>
  <si>
    <t>512 Antandrus is annexed by Persian Empire</t>
  </si>
  <si>
    <t>512 Persian vassalization of Naxos</t>
  </si>
  <si>
    <t>511 Piraeus is founded and annexed by Athens</t>
  </si>
  <si>
    <t>511 Thracian Chernessos is annexed by Persian Empire</t>
  </si>
  <si>
    <t>510 Kroton annexes Sybaris and overthrows Telys</t>
  </si>
  <si>
    <t>510 Pythagoras establishes his own school.</t>
  </si>
  <si>
    <t>510 Peithagoras is overthrown by Euryleon</t>
  </si>
  <si>
    <t>510 Minoa is renamed Heraclea Minoa</t>
  </si>
  <si>
    <t>510 Cinyps is annexed by Carthage</t>
  </si>
  <si>
    <t>508 Andros and Naxos are annexed by Persian Empire</t>
  </si>
  <si>
    <t>508 Hippias is forced to leave Athens.</t>
  </si>
  <si>
    <t>507 Plataea is sieged by Boeotian League</t>
  </si>
  <si>
    <t>507 Cleisthenes, Greek reformer, takes power, increases democracy.</t>
  </si>
  <si>
    <t>506 Boeotian League is repulsed from Plataea by Athens</t>
  </si>
  <si>
    <t>506 Cumae is overthrown by Aristodemus</t>
  </si>
  <si>
    <t>506 Alcamenes is overthrown by Alcandros</t>
  </si>
  <si>
    <t>506 The Levantine Plain is conquered by Athens and becomes a Cleurchy</t>
  </si>
  <si>
    <t>505 Hegesistratos of Sigeion dies</t>
  </si>
  <si>
    <t>505 Cleander overthrows Gela</t>
  </si>
  <si>
    <t>504 Cleinias overthrows Croton</t>
  </si>
  <si>
    <t>504 Taras defeats the Iapygians</t>
  </si>
  <si>
    <t>503 Naxos declares independence from the Persian Empire</t>
  </si>
  <si>
    <t>502 Euryleon is overthrown by Selinus</t>
  </si>
  <si>
    <t>500 Pythagoras dies in Croton, Italy</t>
  </si>
  <si>
    <t>500 Heraclea Minoa is sacked by Carthage</t>
  </si>
  <si>
    <t>500 Morgantina and Centuripe are hellenized and Licodia is founded by Leontini</t>
  </si>
  <si>
    <t>499 Miletus Siege of Naxos (Naxan Victory)</t>
  </si>
  <si>
    <t>499 Independence of Paros</t>
  </si>
  <si>
    <t>499 Alcandros is overthrown by Akragas</t>
  </si>
  <si>
    <t>499 Ionian Revolt starts</t>
  </si>
  <si>
    <t>499 Éphesos, Klazomenai, Mílētos, Samos, Myus, Chios, Samos, Mytilene, Mylasa, Termera, Kyme and Priene declare independence from Persian Empire</t>
  </si>
  <si>
    <t>498 Cyprus (Except Amathos), Caria, Paesos, Abydos, Cios, Percote, Lampsakos, Myrcinos, Tenedos, Dardanos, and Byzantium declare independence from Persian Empire</t>
  </si>
  <si>
    <t>498 Amathos is sieged by Cyprus</t>
  </si>
  <si>
    <t>498 Cleander is overthrown by Hippocrates</t>
  </si>
  <si>
    <t>498 Hippocrates vassalized Leontini and puts Aenesidemus as tyrant</t>
  </si>
  <si>
    <t>498 Licodia is annexed by Syracuse</t>
  </si>
  <si>
    <t>497 Eion is sieged by Athens</t>
  </si>
  <si>
    <t>497 Dardanos, Myrcinos, Abydos, Kyme, Klazomenai, Percote, Lampsakos, Cyprus, Cios and Paesos are reannexed by Persian Empire</t>
  </si>
  <si>
    <t>497 Catania is vassalized by Hippocrates and Deinmenes is put in charge as tyrant</t>
  </si>
  <si>
    <t>497 Persian Empire occupies all Carian land north of Pedasos (Carian)</t>
  </si>
  <si>
    <t>496 Byzantium is overthrown by Histiaeos</t>
  </si>
  <si>
    <t>496 Myrcinos is reannexed by the Persian Empire</t>
  </si>
  <si>
    <t>496 Athenian Tyrant Miltiades II annexes Thracian Chernessos</t>
  </si>
  <si>
    <t>496 Naxos is vassalized by Hippocrates</t>
  </si>
  <si>
    <t>495 Cleinias dies</t>
  </si>
  <si>
    <t>494 Rhegium is overthrown by Anaxilas</t>
  </si>
  <si>
    <t>494 Zancle is vassalized by Hippocrates and Scythes put in charge</t>
  </si>
  <si>
    <t>494 Priene, Samos and Miletus are annexed by Persian Empire</t>
  </si>
  <si>
    <t>493 Byzantium sieges Thasus</t>
  </si>
  <si>
    <t>493 Ionian revolt crushed</t>
  </si>
  <si>
    <t>493 Zancle is settled by Samian refugees and renamed Messene</t>
  </si>
  <si>
    <t>493 Zancle is conquered by Rhegion</t>
  </si>
  <si>
    <t>492 Kamarina (now rebuilt) and Ergezio [it] are vassalized by Hippocrates</t>
  </si>
  <si>
    <t>492 Abdera and Thracian Chernessos are annexed by the Persian Empire</t>
  </si>
  <si>
    <t>491 Hippocrates is overthrown by Gelon</t>
  </si>
  <si>
    <t>491 Fort Scyllaeum is founded by Rhegion</t>
  </si>
  <si>
    <t>490 Aristodemus dies</t>
  </si>
  <si>
    <t>490 Persian conquest of Rhodes</t>
  </si>
  <si>
    <t>490 Persian Siege of Naxos (Naxan Victory)</t>
  </si>
  <si>
    <t>490 Persian conquest of Paros</t>
  </si>
  <si>
    <t>490 Persian sacking of Eretria</t>
  </si>
  <si>
    <t>490 Themistocles and Miltiades, Athenians, defeat Darius at Marathon, Phidippides runs with news.</t>
  </si>
  <si>
    <t>490 Taras defeats the Iapygians in battle</t>
  </si>
  <si>
    <t>488 Akragas is overthrown by Theron</t>
  </si>
  <si>
    <t>486 Himera is overthrown by Terillus</t>
  </si>
  <si>
    <t>485 Gelon annexes Syracuse (Except Kamarina and Licodia), Gela is given to Hieron</t>
  </si>
  <si>
    <t>484 Kamarina is destroyed by Gelon</t>
  </si>
  <si>
    <t>484 Aeschylus, Athenian playwright wins his first victory at the City Dionysia.</t>
  </si>
  <si>
    <t>483 Megara Hyblaea and Licodia are destroyed by Gelon</t>
  </si>
  <si>
    <t>483 Theron puts his son Thrasydaeus in charge of Himera as his vassal</t>
  </si>
  <si>
    <t>481 Andros, Aegina and Akanthus among many other Greek Poleis declare allegiance to Persia</t>
  </si>
  <si>
    <t>481 The Naxos, Milos, Sparta, Athens, Korinth, Kythnos and many other Greek Poleis form the Hellenic League to fight against the Persian Empire</t>
  </si>
  <si>
    <t>480 Aegina and Andros are impressed into the Hellenic League</t>
  </si>
  <si>
    <t>480 Emporion ousts Carthaginian influences</t>
  </si>
  <si>
    <t>480 Leonidas, Spartan, sacrifices 300 Spartan soldiers at the Battle of Thermopylae so main force can escape; Xerxes son of Darius is commanding the Persians.</t>
  </si>
  <si>
    <t>480 Croton, Leucas and Corcyra joins the Hellenic League</t>
  </si>
  <si>
    <t>480 Simultaneous with Thermopylae, the Greeks and Persians fight to a draw in the naval Battle of Artemisium.</t>
  </si>
  <si>
    <t>480 Boeotia, Attica and Phocis are occupied by Persia</t>
  </si>
  <si>
    <t>480 Battle of Salamis: Themistocles, Athenian general, lures Persians into Bay of Salamis, Xerxes loses and goes home, leaves behind Mardonius.</t>
  </si>
  <si>
    <t>480 Possibly simultaneous with the Battle of Salamis, Battle of Himera between Carthage and Akragas (Theron)-Syracuse (Gelon)-Himera (Thrasydaeus)</t>
  </si>
  <si>
    <t>479 Pausanias, Greek general routs Mardonius at the Battle of Plataea.</t>
  </si>
  <si>
    <t>479 Battle of Mycale</t>
  </si>
  <si>
    <t>479 Rhodes, Samos, Kos and many Greek cities in Persia begin to declare independence</t>
  </si>
  <si>
    <t>479 Paros is vassalized by Athens</t>
  </si>
  <si>
    <t>479 Athens annexes Tenedos</t>
  </si>
  <si>
    <t>479 Sestos is besieged by Athens</t>
  </si>
  <si>
    <t>479 Boeotian League is dissolved by Hellenic League</t>
  </si>
  <si>
    <t>479 Sicel Ducetius overthrows Miniu</t>
  </si>
  <si>
    <t>478 Byzantium is besieged by Athens</t>
  </si>
  <si>
    <t>478 Delian League is founded by Athens and is soon joined by Ionia, Delos, Kos, Euboea, Tilos, Rhodes, Karpathos, Athenai, Paros, Troezen, Sifnos, Doris, Aeolis, Andros, Aenea, Akanthos, Samos, Chalcis, Eretria, Chios, Methymna, Chalkidiki, Mutilḗnē, Sigeion, Éphesos and many others</t>
  </si>
  <si>
    <t>478 Gelon dies and is succeeded by Hieron, Polyzelos is put in control of Gela</t>
  </si>
  <si>
    <t>477 The Persian Empire abandons Europe except Doriskus and Eion</t>
  </si>
  <si>
    <t>477 Chalcedon, Byzantium, Carystus, Ainos, Perinthos and others join the Delian League</t>
  </si>
  <si>
    <t>477 Andros is turned into an Athenian cleurchy</t>
  </si>
  <si>
    <t>476 Micythus becomes Tyrant of Rhegion after Anaxilas' death</t>
  </si>
  <si>
    <t>476 Catania is split between Hieron and Ducetius, Catania is renamed Aetna, settled by Dorians and ruled by the Tyrant Deinmenes II</t>
  </si>
  <si>
    <t>476 Taras allies with Rhegion to protect themselves from the Iapygians, but later lose to them in battle</t>
  </si>
  <si>
    <t>476 Himera is settled by Doric colonists</t>
  </si>
  <si>
    <t>476 Sybaris declares independence from Kroton</t>
  </si>
  <si>
    <t>476-462 Cimon elected general each year</t>
  </si>
  <si>
    <t>475 Sybaris is annexed by Kroton</t>
  </si>
  <si>
    <t>475 Abdera and Eion join the Delian League</t>
  </si>
  <si>
    <t>475 Skyros is annexed by Athens</t>
  </si>
  <si>
    <t>474 Battle of Cumae</t>
  </si>
  <si>
    <t>474 Naxos joins the Delian League</t>
  </si>
  <si>
    <t>474 Hieron occupies the Parthenopean Islands</t>
  </si>
  <si>
    <t>474 Pindar, Greek poet relocates to Thebes (in Greece) from court at Syracuse.</t>
  </si>
  <si>
    <t>473 Taras is defeated by the Iapygians</t>
  </si>
  <si>
    <t>472 Thrasydaeus annexes Akragas after death of Theron</t>
  </si>
  <si>
    <t>471 Naxos leaves the Delian League and is subsequently sieged by Athens</t>
  </si>
  <si>
    <t>471 Themistocles ostracized.</t>
  </si>
  <si>
    <t>470 Dénia, Hēmeroskopeion (Ancient Greek: Ἡμεροσκοπεῖον) is founded by Massaliot Greeks.[6][7][8] The town was situated on the cape then called Artemisium (Ancient Greek: Ἀρτεμίσιον) or Dianium[9] (Ancient Greek: Διάνιον), named from a temple of Ephesia Artemis built upon it (goddess Artemis was called Diana in Latin).</t>
  </si>
  <si>
    <t>470 Naxos is impressed into the Delian League</t>
  </si>
  <si>
    <t>470 Ducetius annexes Ergezio</t>
  </si>
  <si>
    <t>470 The new urban zone of Neápolis (Νεάπολις) was founded by citizens of the nearby Greek city of Cumae on the plain of Parthenope after the victorious Battle of Cumae</t>
  </si>
  <si>
    <t>469 Illios is annexed by Mytilene</t>
  </si>
  <si>
    <t>469 Klazomenai, Phaselis, Aspendos, Doris and Priene join the Delian League</t>
  </si>
  <si>
    <t>468 Thrasydaeus is overthrown by Akragas</t>
  </si>
  <si>
    <t>468 Sophocles, Greek playwright, defeats Aeschylus for Athenian Prize for drama.</t>
  </si>
  <si>
    <t>467 Micythus steps down to Leophron</t>
  </si>
  <si>
    <t>466 Taras is defeated by the Iapygians</t>
  </si>
  <si>
    <t>466 Taras' monarchy is overthrown by democrats</t>
  </si>
  <si>
    <t>466 Thrasybulos succeeds Hieron</t>
  </si>
  <si>
    <t>465 Thasus leaves the Delian League and is sieged by Athens</t>
  </si>
  <si>
    <t>465 Abydos and Troad join the Delian League</t>
  </si>
  <si>
    <t>465 Thracian Chernessos is annexed by Athens</t>
  </si>
  <si>
    <t>465 Deinmenes II, Aenesidemus, Thrasybulos and Polyzelos are overthrown by their respective cities</t>
  </si>
  <si>
    <t>463 Thasus is impressed into the Delian League</t>
  </si>
  <si>
    <t>462 Megara leaves the Peloponnesian League</t>
  </si>
  <si>
    <t>461 Catania, Naxos and Catania declare independence from Syracuse, Dorian settlers are removed from Catania</t>
  </si>
  <si>
    <t>461 Kamarina is refounded under the Tyranny of Psaumis</t>
  </si>
  <si>
    <t>461 Cimon ostracized.</t>
  </si>
  <si>
    <t>461 Thera joins the Peloponnesian League</t>
  </si>
  <si>
    <t>461 Messene and Rhegion separate and oust Leophron</t>
  </si>
  <si>
    <t>460 Taras defeats the Iapygians</t>
  </si>
  <si>
    <t>460 Aetna is founded</t>
  </si>
  <si>
    <t>460 First Peloponnesian War Starts</t>
  </si>
  <si>
    <t>459 Aegina is besieged by Athens</t>
  </si>
  <si>
    <t>459 Morgantina is annexed by Ducetius</t>
  </si>
  <si>
    <t>459-455 Siege of Memphis, destruction of the Athenian fleet by Megabyzus</t>
  </si>
  <si>
    <t>458 Imbros is annexed by Athens</t>
  </si>
  <si>
    <t>457 Aegina is impressed into the Delian League</t>
  </si>
  <si>
    <t>457 Delphi is annexed by Phocis</t>
  </si>
  <si>
    <t>457 Pericles, Athenian statesman begins Golden Age, he was taught by Anaxagoras, who believed in dualistic Universe and atoms.</t>
  </si>
  <si>
    <t>457 Boeotia (Except Thebes), Phocis and Locris join the Delian League</t>
  </si>
  <si>
    <t>456 Gythium is raided by Athens</t>
  </si>
  <si>
    <t>456 Zakynthos joins the Delian League</t>
  </si>
  <si>
    <t>456 Castrugiuvanni (Enna) join Ducetius</t>
  </si>
  <si>
    <t>456 Aeschylus dies.</t>
  </si>
  <si>
    <t>455 Nafpaktos is impressed into the Delian League and settled with Messenian Helots</t>
  </si>
  <si>
    <t>454 Abacaenum is annexed by Ducetius</t>
  </si>
  <si>
    <t>454 Movement of Delian treasury to Athens and start of the First Athenian Empire</t>
  </si>
  <si>
    <t>454 Athenian annexation of Delos</t>
  </si>
  <si>
    <t>453 Palike is founded by Ducetius</t>
  </si>
  <si>
    <t>452 Akragas and Aetna are annexed by Ducetius, Ducetius sieges Motyon</t>
  </si>
  <si>
    <t>452 Nea Sybaris is founded by Sybarites</t>
  </si>
  <si>
    <t>451 Athens besieges Kition</t>
  </si>
  <si>
    <t>451 Motyon is occupied by Ducetius</t>
  </si>
  <si>
    <t>450 Naxos becomes a cleurchy</t>
  </si>
  <si>
    <t>450 Akragas and Motyon are liberated from Ducetius starting a decades long conflict between Syracuse+friends and the Sicels</t>
  </si>
  <si>
    <t>449 Delphi declares independence from Phocis</t>
  </si>
  <si>
    <t>449 Ducetius abandons the Sicel Federation he created and is forced to go into exile at Korinth</t>
  </si>
  <si>
    <t>449 Morgantina is annexed Syracuse</t>
  </si>
  <si>
    <t>449 Herodotus, Greek Historian, writes History of Greco-Persian War from 490 to 479.</t>
  </si>
  <si>
    <t>448 Delphi is annexed by Phocis</t>
  </si>
  <si>
    <t>447 Ictinus and Callicrates, Greek architects, begin construction of the Parthenon.</t>
  </si>
  <si>
    <t>447 Nea Sybaris is annexed by Kroton</t>
  </si>
  <si>
    <t>447 Chalcis leaves the Delian League and is besieged by Athens</t>
  </si>
  <si>
    <t>446 Phocis, Locris and Boeotia leave the Delian League, Boeotia unites into the Boeotian League and joins the Peloponnesian League</t>
  </si>
  <si>
    <t>446 Megara joins the Peloponnesian League</t>
  </si>
  <si>
    <t>446 Kale Akte is founded by Ducetius</t>
  </si>
  <si>
    <t>446 Achaea and Trozen leave the Peloponnesian League and join the Delian League</t>
  </si>
  <si>
    <t>446-445 Euboean Revolt</t>
  </si>
  <si>
    <t>445 Euboea is impressed into the Delian League</t>
  </si>
  <si>
    <t>445 Histiaea becomes an Athenian cleurchy</t>
  </si>
  <si>
    <t>445 First Peloponnesian War Ends</t>
  </si>
  <si>
    <t>445 Troezen is impressed into the Peloponnesian League</t>
  </si>
  <si>
    <t>443 Thurii is founded by Sybarites and Various Hellenes</t>
  </si>
  <si>
    <t>441 Euripides, Greek playwright, wins Athenian prize.</t>
  </si>
  <si>
    <t>441 Sybaris on the Traeis is founded by Sybarites exiled from Thurii</t>
  </si>
  <si>
    <t>440 Samos leaves the Delian League and is besieged by Athens</t>
  </si>
  <si>
    <t>440 Palike is destroyed, ending the Sicel Federation</t>
  </si>
  <si>
    <t>440 Ducetius dies</t>
  </si>
  <si>
    <t>439 Samos is impressed into the Delian League</t>
  </si>
  <si>
    <t>438 Founding of the Bosporan Kingdom[10]</t>
  </si>
  <si>
    <t>437 Newly founded Amphipolis annexes Eion</t>
  </si>
  <si>
    <t>437 Athens allies with Messapia</t>
  </si>
  <si>
    <t>436 Taulantii-Epidamos War</t>
  </si>
  <si>
    <t>435 Phidias, Greek sculptor, completes statue of Zeus at Elis, 1 of 7 wonders of the world.</t>
  </si>
  <si>
    <t>434 Epidamos becomes a democracy</t>
  </si>
  <si>
    <t>434 Epidamos is annexed by Korinth</t>
  </si>
  <si>
    <t>434 Kerkyra allies with Taulantii and besiege Epidamos</t>
  </si>
  <si>
    <t>434 Kerkyra seizes Outer Epidamos (City)</t>
  </si>
  <si>
    <t>434 Battle of Leukimme</t>
  </si>
  <si>
    <t>434 Kerkyra raids Kyllene</t>
  </si>
  <si>
    <t>434 Kerkyra joins Delian League</t>
  </si>
  <si>
    <t>433 Battle of Sybota</t>
  </si>
  <si>
    <t>433 Anactorium is annexed by Korinth</t>
  </si>
  <si>
    <t>432 Psaumis dies</t>
  </si>
  <si>
    <t>432 Potidaea leaves the Delian League and is sieged by Athens</t>
  </si>
  <si>
    <t>432 Pydna is besieged by Athens</t>
  </si>
  <si>
    <t>432 End of "Golden Age" of Athens</t>
  </si>
  <si>
    <t>431 Sparta commanded by King Archidamus II prepares to destroy Athens thus starting the Peloponnesian War.</t>
  </si>
  <si>
    <t>431 Plataea is besieged by Thebes</t>
  </si>
  <si>
    <t>431 Pagae and Atalanta is occupied by Athens</t>
  </si>
  <si>
    <t>431 Aegina is annexed by Athens</t>
  </si>
  <si>
    <t>431 Empedocles, Greek doctor, believes body has Four Temperaments.</t>
  </si>
  <si>
    <t>430 Athens abandons the Siege of Pydna</t>
  </si>
  <si>
    <t>430 Herakleion is impressed into the Delian League</t>
  </si>
  <si>
    <t>430 Spartan Siege of Zakynthos (Local Victory)</t>
  </si>
  <si>
    <t>430 Failed peace mission by Athens, bubonic plague year, Sparta takes no prisoners.</t>
  </si>
  <si>
    <t>430 Leucippus, Greek philosopher, believes every natural event has natural cause. Athenian Plague begins in Athens.</t>
  </si>
  <si>
    <t>429 Herakleion is annexed by Macedonia</t>
  </si>
  <si>
    <t>429 Potidaea is impressed into the Delian League</t>
  </si>
  <si>
    <t>429 All Chalkidiki cities (Except Mende, Acanthus, Scione, Stagirus and Aphytis) leave the Delian League</t>
  </si>
  <si>
    <t>429 Athens Siege of Kydonia (Local Victory)</t>
  </si>
  <si>
    <t>429 Phormio, Athenian admiral, wins the Battle of Chalcis/Rhium.</t>
  </si>
  <si>
    <t>429 Pericles dies of Athenian Plague, possibly typhus or bubonic plague.</t>
  </si>
  <si>
    <t>429 Hippocrates, Greek doctor, believes diseases have physical cause.</t>
  </si>
  <si>
    <t>429 First Battle of Naupaktos (Athenian Victory)</t>
  </si>
  <si>
    <t>428 Plato born.</t>
  </si>
  <si>
    <t>428 Mytilene and Antissa leave the Delian league and Mytilene is sieged by Athens, Antissa is sieged by Methymna</t>
  </si>
  <si>
    <t>428 Illios joins the Delian League</t>
  </si>
  <si>
    <t>427 Suppression of Mytilene, Antissa is annexed by Methymna, Mytilene becomes an Athenian Cleurchy, Mytilene Troad joins the Delian League as independent cities</t>
  </si>
  <si>
    <t>427 Archidamus II dies, Alcidas, Greek admiral sent to help Lesbos, raids Ionia and flees after seeing Athenian might. Athenian Plague returns.</t>
  </si>
  <si>
    <t>427 Plataea is impressed into the Boeotian League and by extension, the Peloponnesian League</t>
  </si>
  <si>
    <t>427 Aristophanes, Greek playwright, wins Athenian Prize.</t>
  </si>
  <si>
    <t>427 Corcyran Civil War (Democratic Victory)</t>
  </si>
  <si>
    <t>427 First Athenian Intervention in Sicily begins</t>
  </si>
  <si>
    <t>426 Megara occupies Pegae</t>
  </si>
  <si>
    <t>426 Athens sieges Lecus</t>
  </si>
  <si>
    <t>426 Pylos, Messene, Mylae, Aegitium and Tichium are occupied by Athens, Pylos is founded by escaped Helots</t>
  </si>
  <si>
    <t>426 Battle of Tanagra</t>
  </si>
  <si>
    <t>426 Amfissa joins the Peloponnesian League</t>
  </si>
  <si>
    <t>426 Ozolian Locris join the Delian League</t>
  </si>
  <si>
    <t>426 Demosthenes, Athenian general, and Cleon, Athenian demagogue, revitalizes Athenian forces, makes bold plans opposed by Nicias, his first military campaign barely succeeds.</t>
  </si>
  <si>
    <t>426 Ambrakia occupies Olpae and Argos</t>
  </si>
  <si>
    <t>426 Acarnanian League and Amphilochian League are founded and join the Delian League</t>
  </si>
  <si>
    <t>425 Acarnania occupies Olpae and Argos</t>
  </si>
  <si>
    <t>425 Athenian fleet bottles up Spartan navy at Navarino Bay, Nicias resigns.</t>
  </si>
  <si>
    <t>425 Herakleion is impressed into the Delian League</t>
  </si>
  <si>
    <t>425 Athens occupies Sphacteria</t>
  </si>
  <si>
    <t>425 Morgantina is annexed by Kamarina</t>
  </si>
  <si>
    <t>425 Ozolian Locris joins the Peloponnesian League</t>
  </si>
  <si>
    <t>425 Athens withdraws from Lecas and Acarnania</t>
  </si>
  <si>
    <t>425 Athens withdraws from Messene and Mylae is impressed into the Delian League</t>
  </si>
  <si>
    <t>424 Herakleion is annexed by Makedonia</t>
  </si>
  <si>
    <t>424 Eion, Akanthus and Amphipolis are besieged by Sparta</t>
  </si>
  <si>
    <t>424 Stagira joins the Peloponnesian League</t>
  </si>
  <si>
    <t>424 Nisaia, and Siphae are occupied by Athenai</t>
  </si>
  <si>
    <t>424 Thyrea is occupied by Athens</t>
  </si>
  <si>
    <t>424 First Athenian Intervention in Sicily ends</t>
  </si>
  <si>
    <t>424 Pagondas of Thebes (in Greece) crushes Athenian army at the Battle of Delium, Brasidas a Spartan general, has a successful campaign in the Chalcidice, Cleon exiles Thucydides for 20 years for arriving late.</t>
  </si>
  <si>
    <t>423 Sparta occupied Amphipolis and Scione</t>
  </si>
  <si>
    <t>423 Torone is occupied by Makedonia</t>
  </si>
  <si>
    <t>423 Akanthus joins the Peloponnesian League</t>
  </si>
  <si>
    <t>423 Truce of Laches supposed to stop Brasidas but doesn't, Nicias commands Athenian forces in retaking Mende.</t>
  </si>
  <si>
    <t>423 Olynthus form the Chalcidian League independent of the Delian League</t>
  </si>
  <si>
    <t>422 Stagira is besieged by Athens</t>
  </si>
  <si>
    <t>422 Neapolis is annexed by Rome</t>
  </si>
  <si>
    <t>422 Torone and Scione are impressed into the Delian League</t>
  </si>
  <si>
    <t>422 Cleon meets Brasidas outside of Amphipolis, both are killed (Battle of Amphipolis).</t>
  </si>
  <si>
    <t>422 Syracuse annexes the now weak Leontini</t>
  </si>
  <si>
    <t>421 Peace of Nicias brings temporary end to war, but Alcibiades, a nephew of Pericles, makes anti-Sparta alliance.</t>
  </si>
  <si>
    <t>421 Herakleion is impressed into the Delian League</t>
  </si>
  <si>
    <t>421 Cumae is annexed by Oscans</t>
  </si>
  <si>
    <t>421 Athens abandons the Siege of Stagira</t>
  </si>
  <si>
    <t>421 Delphi declares independence from Phocis</t>
  </si>
  <si>
    <t>421 Argulus, Apollonia, Potidaea, Akanthus, Stageira and others join the Chalcidian League</t>
  </si>
  <si>
    <t>420 Mantineia, Argos, Elis, Sicyon and Achaea betray Sparta and switch to the Delian League</t>
  </si>
  <si>
    <t>419 Athens occupies Epidauros</t>
  </si>
  <si>
    <t>419 King Agis II of Sparta attacks Argos, makes treaty.</t>
  </si>
  <si>
    <t>418 Battle of Mantinea, greatest land battle of war, gives Sparta victory over Argos, which violated treaty, Alcibiades thrown out, alliance ended.</t>
  </si>
  <si>
    <t>418 Orchmenos is occupied by Argos</t>
  </si>
  <si>
    <t>417 Orchmenos is given to Boeotia</t>
  </si>
  <si>
    <t>417 Sicyon joins the Peloponnesian League</t>
  </si>
  <si>
    <t>417 Epidauros is occupied by Sparta</t>
  </si>
  <si>
    <t>416 Melos is besieged by Athens</t>
  </si>
  <si>
    <t>416 Alcibiades makes plans, is restored to power.</t>
  </si>
  <si>
    <t>416 Selinus annexes Segesta's frontier provinces</t>
  </si>
  <si>
    <t>416 Massacre of the Melians.</t>
  </si>
  <si>
    <t>415 Hermai statues are mutilated in Athens, Alcibiades accused, asks for inquiry, told to set sail for battle (Sicilian Expedition), is condemned to death in absentia, he defects to Sparta.</t>
  </si>
  <si>
    <t>415 Many Syracusan cities rebel</t>
  </si>
  <si>
    <t>415-413 Siege of Syracuse</t>
  </si>
  <si>
    <t>414-413 Metapontion allies with Athens</t>
  </si>
  <si>
    <t>414 Lamachus, Athenian commander killed at Syracuse.</t>
  </si>
  <si>
    <t>413 Nicias and Demosthenes killed at Syracuse</t>
  </si>
  <si>
    <t>413 Leontini and Kamarina are vassalized by Syracuse</t>
  </si>
  <si>
    <t>413 Herakleion is annexed by Makedonia</t>
  </si>
  <si>
    <t>413 Miletus and Khios betray Athens and join the Peloponnesian League</t>
  </si>
  <si>
    <t>412 Alcibiades is expelled from Sparta, conspires to come back to Athens.</t>
  </si>
  <si>
    <t>412 Methymna is occupied by Sparta</t>
  </si>
  <si>
    <t>412 Klazomenai and Kyzikus betray Athens and join the Peloponnesian League</t>
  </si>
  <si>
    <t>412 Chios is sieged by Athens</t>
  </si>
  <si>
    <t>412 Aygrion dies and is succeeded by Aygris</t>
  </si>
  <si>
    <t>411 Sparta allies with Persia</t>
  </si>
  <si>
    <t>411 Aspendos is annexed by Persia</t>
  </si>
  <si>
    <t>411 Kyzikus and Klazomenai are impressed into the Delian League</t>
  </si>
  <si>
    <t>411 Oropos is occupied by Boeotia</t>
  </si>
  <si>
    <t>411 Illios is annexes by Lampsacus</t>
  </si>
  <si>
    <t>411 Athens abandons the Siege of Chios</t>
  </si>
  <si>
    <t>411 Sparta leaves Methymna</t>
  </si>
  <si>
    <t>411 Euboea, Byzantium, Abydos, Andros, Antandrus, Lampsacus, Chalcedon and Rodos betray Athens and join the Peloponnesian League</t>
  </si>
  <si>
    <t>411 Abydos is overthrown by Dercylidas</t>
  </si>
  <si>
    <t>411 Selinus attacks Segesta once again and aggravates Carthage</t>
  </si>
  <si>
    <t>411 Athens is overthrown by the Four Hundred</t>
  </si>
  <si>
    <t>410 After several successes, Athenian demagogue Cleophon rejects Spartan peace offers.</t>
  </si>
  <si>
    <t>410 Segesta is annexed by Carthage</t>
  </si>
  <si>
    <t>410 Four Hundred are overthrown by Athens</t>
  </si>
  <si>
    <t>409 Antandrus is annexed by Persia</t>
  </si>
  <si>
    <t>409 Abydos is besieged by Athens</t>
  </si>
  <si>
    <t>409 Sparta sieges Klazomenai</t>
  </si>
  <si>
    <t>409 Selinus and Himera are sacked by Carthage</t>
  </si>
  <si>
    <t>409 Byzantium recaptured by Alcibiades for Athens.</t>
  </si>
  <si>
    <t>408 The 3 poleis of Rodos unite and build a new capital called Rodos</t>
  </si>
  <si>
    <t>408 Athens besieges Paleopoli</t>
  </si>
  <si>
    <t>408 Athens abandons Siege of Abydos</t>
  </si>
  <si>
    <t>408 Sparta abandons the Siege of Klazomenai</t>
  </si>
  <si>
    <t>408 Alcibiades reenters Athens in triumph, Lysander, a Spartan commander, has fleet built at Ephesus.</t>
  </si>
  <si>
    <t>407 Thermae is founded by Carthage</t>
  </si>
  <si>
    <t>407 Athens abandons the Siege of Paleopoli</t>
  </si>
  <si>
    <t>407 Lysander begins destruction of Athenian fleet, Alcibiades stripped of power.</t>
  </si>
  <si>
    <t>406 Sparta sieges Methymna</t>
  </si>
  <si>
    <t>406 Akragas is sacked by Carthage</t>
  </si>
  <si>
    <t>406 Callicratides, Spartan naval commander, loses Battle of Arginusae over blockade of Mitylene harbor, Sparta sues for peace, rejected by Cleophon.</t>
  </si>
  <si>
    <t>405 Methymna is impressed into the Peloponnesian League</t>
  </si>
  <si>
    <t>405 Syracuse is overthrown by Dionysius the Elder</t>
  </si>
  <si>
    <t>405 Melos is annexed by Sparta</t>
  </si>
  <si>
    <t>405 Gela, Kamarina and Akrillai is sacked by Carthage</t>
  </si>
  <si>
    <t>405 Carthage allow the people of the sacked cities to return as Carthaginian subjects and rebuild their cities</t>
  </si>
  <si>
    <t>405 Leontini and Morgantina declare independence from Syracuse</t>
  </si>
  <si>
    <t>405 Carthage annexes Elymi, Sicel and Sican territory</t>
  </si>
  <si>
    <t>405 The naval Battle of Aegospotami in which Lysander captures the Athenian fleet, Spartan king Pausanias besieges Athens, Cleophon executed, Corinth and Thebes demand destruction of Athens.</t>
  </si>
  <si>
    <t>405 Klazomenai and Ephesus betray Athens and join the Peloponnesian League. All Carthaginian subjects (Except Ziz, their islands, Motya, Solus, Elymi, Segesta, and Entella) gain independence</t>
  </si>
  <si>
    <t>404 Athens capitulates April 25. Theramenes secures terms, prevents total destruction of Athens, Theramenes and Alcibiades are killed.</t>
  </si>
  <si>
    <t>404 Delian League is dissolved</t>
  </si>
  <si>
    <t>404 Korinth leaves the Peloponnesian League</t>
  </si>
  <si>
    <t>404 Entella is overthrown by mercenaries loyal to Carthage</t>
  </si>
  <si>
    <t>404 Aygris becomes a Syracusan Subject</t>
  </si>
  <si>
    <t>404 Nafpaktos is annexed by Ozolian Locris</t>
  </si>
  <si>
    <t>404 Athens is overthrown by the Thirty</t>
  </si>
  <si>
    <t>404 Athens joins the Peloponnesian League</t>
  </si>
  <si>
    <t>403 Aeimnestus, who is loyal to Dionysius, overthrows Castrugiuvanni</t>
  </si>
  <si>
    <t>403 Aetna is overthrown by mercenaries loyal to Dionysius</t>
  </si>
  <si>
    <t>403 Dionysius destroys Naxos and Catania and Sicels split Naxos with Syracuse, Catania is ruled by Campanian mercenaries loyal to Dionysius</t>
  </si>
  <si>
    <t>403 Athens overthrows the Thirty</t>
  </si>
  <si>
    <t>403 Athens leaves the Peloponnesian League and refounds the Delian League</t>
  </si>
  <si>
    <t>402 Elis leaves the Peloponnesian League and is subsequently sieged by Sparta</t>
  </si>
  <si>
    <t>401 Euboea joins the Delian League</t>
  </si>
  <si>
    <t>401 Elis is sacked and impressed into the Peloponnesian League</t>
  </si>
  <si>
    <t>401 Dionysius free Castrugiuvanni from Aeimnestus</t>
  </si>
  <si>
    <t>401 Poseidonia is annexed by Lucanians</t>
  </si>
  <si>
    <t>401 Thucydides, Greek historian, leaves account of "Golden Age of Pericles" and Peloponnesian War at his death (History of the Peloponnesian War).</t>
  </si>
  <si>
    <t>400 Adranon is founded by Dionysius</t>
  </si>
  <si>
    <t>400 Aygris annexes Centuripe</t>
  </si>
  <si>
    <t>400 Democritus, Greek philosopher, develops Atomic theory, believes cause and necessity, nothing comes out of nothing</t>
  </si>
  <si>
    <t>399 Illios declares independence from Lampsacus</t>
  </si>
  <si>
    <t>399 Sparta sways Persian Controlled Greek cities near Pergamon to their side and march on Egyptian Larissa and siege it</t>
  </si>
  <si>
    <t>399 Socrates, Greek philosopher, condemned to death for corrupting youth.</t>
  </si>
  <si>
    <t>398 Ionia joins the Peloponnesian League</t>
  </si>
  <si>
    <t>398 All Carthaginian subjects (Except Ziz, their islands, Motya, Solus, Elymi, Segesta, and Entella) gain independence from Carthage</t>
  </si>
  <si>
    <t>398 Dionysius sieges Segesta and Entella</t>
  </si>
  <si>
    <t>398 Mainland territory of Motya is occupied by Dionysius</t>
  </si>
  <si>
    <t>397 Motya is destroyed by Dionysius and the Carthaginians build Lilybaion to replace it</t>
  </si>
  <si>
    <t>397 Dionysius abandons the Sieges of Entella and Segesta</t>
  </si>
  <si>
    <t>397 Eryx, Segesta, Lipari, Messene and Entella are annexed by Carthage</t>
  </si>
  <si>
    <t>397 Carthage allies with the Sicel cities except Assorus</t>
  </si>
  <si>
    <t>397 Tauormenion is founded by Carthage to be a supply base, settled by Sicels</t>
  </si>
  <si>
    <t>397 Carthaginian forces have to go the long way around Mount Etna due to an eruption</t>
  </si>
  <si>
    <t>397 Catania is occupied by Carthage</t>
  </si>
  <si>
    <t>397 Battle of Catania</t>
  </si>
  <si>
    <t>397 Syracuse is besieged by Carthage</t>
  </si>
  <si>
    <t>396 Carthage lifts the Siege of Syracuse and abandons Eastern Sicily except Messene and Lipari</t>
  </si>
  <si>
    <t>396 Himera and Selinus are annexed by Carthage</t>
  </si>
  <si>
    <t>396 Gela, Ergezio, Catania, Adranon, Kamarina and Leontini are annexed by Dionysius</t>
  </si>
  <si>
    <t>396 Tyndaris is founded by Dionysius to combat piracy and a base of operations</t>
  </si>
  <si>
    <t>396 Persia annexes Rodos</t>
  </si>
  <si>
    <t>396 Sparta campaigns in Phrygia</t>
  </si>
  <si>
    <t>395 Sparta campaigns in Ionia, Caria and march up to Sardis</t>
  </si>
  <si>
    <t>395 Orchmenus leaves the Boeotian League</t>
  </si>
  <si>
    <t>395 Cephaloedium is annexed by Dionysius</t>
  </si>
  <si>
    <t>395 Mylae is annexed by Rhegion</t>
  </si>
  <si>
    <t>395 Argos, Korinthos and Boeotian League leave the Peloponnesian League</t>
  </si>
  <si>
    <t>394 Sparta withdraws from Anatolia</t>
  </si>
  <si>
    <t>394 All Thracian and Anatolian Greek cities leave the Peloponnesian League (Except Sestos and Abydos)</t>
  </si>
  <si>
    <t>394 Virtually all Greek Anatolian cities are annexed by Persia</t>
  </si>
  <si>
    <t>394 Klazomenaites relocate to an island off shore</t>
  </si>
  <si>
    <t>394 Mylae is annexed by Syracuse</t>
  </si>
  <si>
    <t>393 Lipari is annexed by Syracuse</t>
  </si>
  <si>
    <t>393 Italiote League is formed by Sybaris on the Traeis, Croton, Caulonia, Thurii, Rhegium and Velia</t>
  </si>
  <si>
    <t>393 Imbros, Lemnos and Skyros are annexed by Athens</t>
  </si>
  <si>
    <t>393 Makedonia starts paying tribute to the newly formed Kingdom of Dardania</t>
  </si>
  <si>
    <t>393 Chalcidian League annexes some Makedonian land</t>
  </si>
  <si>
    <t>392 Sparta occupies Lechaeum</t>
  </si>
  <si>
    <t>392 Heraclea Minoa, Akragas and Sicani territory are annexed by Carthage</t>
  </si>
  <si>
    <t>392 Sicel territory is annexed by Dionysius</t>
  </si>
  <si>
    <t>392 Makedonia stops paying tribute to Dardania</t>
  </si>
  <si>
    <t>392 Makedonia reannexes the land taken by the Chalcidian League</t>
  </si>
  <si>
    <t>392 Damastion is annexed by Dardania</t>
  </si>
  <si>
    <t>391 Korinth occupies Phlius</t>
  </si>
  <si>
    <t>391 Tauromenion is overthrown by mercenaries loyal to Dionysius</t>
  </si>
  <si>
    <t>391 Makedonia starts pays tribute to Dardania</t>
  </si>
  <si>
    <t>390 The Acarnanian League joins the Peloponnesian League</t>
  </si>
  <si>
    <t>390 Dercylidas is succeeded by Anaxibios</t>
  </si>
  <si>
    <t>390 Himera is merged into Thermae</t>
  </si>
  <si>
    <t>390 Dionysius transfers control of Mylae to Messene</t>
  </si>
  <si>
    <t>390 Kroton is annexed by Syracuse</t>
  </si>
  <si>
    <t>390 Argos and Korinth unite into Argos-Korinth</t>
  </si>
  <si>
    <t>390 Castrugiuvani is annexed by Syracuse</t>
  </si>
  <si>
    <t>389 Metapontion is annexed by Syracuse</t>
  </si>
  <si>
    <t>389 Anaxibios is overthrown by Abydos</t>
  </si>
  <si>
    <t>387 Rhegion is annexed by Syracuse and renamed it to Phoebea</t>
  </si>
  <si>
    <t>387 Peace of Antalcidas concluded between the Greeks and the Persians that leads to virtually all Greek cities in Asia Minor being annexed by Persia</t>
  </si>
  <si>
    <t>387 Ancona is founded by Greek settlers from Syracuse, who gave it its name: Ancona stems from the Greek word Ἀγκών (Ankòn), meaning "elbow"</t>
  </si>
  <si>
    <t>387 Argos and Korinth split</t>
  </si>
  <si>
    <t>387 All cities gain independence and all league except the Peloponnesian League are disbanded</t>
  </si>
  <si>
    <t>386 Phlius becomes a democracy</t>
  </si>
  <si>
    <t>385 Dardania attacks Molossia</t>
  </si>
  <si>
    <t>385 The Greeks colonized the island of Pharos (Hvar, Croatia).[11]</t>
  </si>
  <si>
    <t>384 Dionysius occupies Pyrgi and Caere</t>
  </si>
  <si>
    <t>384 Chalcidian League annexes Makedonia land including Pella</t>
  </si>
  <si>
    <t>383 Gela gains independence from Syracuse</t>
  </si>
  <si>
    <t>383 Dionysius leaves Eturia</t>
  </si>
  <si>
    <t>383 Liburnia besieges Pharos</t>
  </si>
  <si>
    <t>383 Potidaea leaves the Chalcidian League</t>
  </si>
  <si>
    <t>382 Thebes is overthrown by Leontiades and Archias</t>
  </si>
  <si>
    <t>382 Thebes is impressed into the Peloponnesian League</t>
  </si>
  <si>
    <t>380 Sparta besieges Phlius</t>
  </si>
  <si>
    <t>380 Makedonia recaptures their former territory</t>
  </si>
  <si>
    <t>379 Kroton is annexed by Dionysius</t>
  </si>
  <si>
    <t>379 Phlius is impressed into the Peloponnesian League</t>
  </si>
  <si>
    <t>379 The Chalcidian League is disbanded and its former members are impressed into the Peloponnesian League and Potidaea and Korinth also join the league</t>
  </si>
  <si>
    <t>379 Leontiades and Archias are overthrown and Thebes leaves the Peloponnesian League</t>
  </si>
  <si>
    <t>379 Sparta occupies Thespiae</t>
  </si>
  <si>
    <t>378 Themison overthrows Eretria</t>
  </si>
  <si>
    <t>377 The Boeotian League is refounded by Thebes</t>
  </si>
  <si>
    <t>376 Abdera is sacked by the Triballi and Maroneia</t>
  </si>
  <si>
    <t>376 Thespiae and the rest of Boeotia are liberated and join the Boeotian League</t>
  </si>
  <si>
    <t>375 The Acarnanian League defects from the Peloponnesian League and joins the Delian League</t>
  </si>
  <si>
    <t>375 Chalcidian League is reestablished by Olynthus and joins the Delian League</t>
  </si>
  <si>
    <t>373 Kerkyra is besieged by Sparta</t>
  </si>
  <si>
    <t>371 Sparta leaves Kerkyra</t>
  </si>
  <si>
    <t>370 Gythium is occupied by Thebes</t>
  </si>
  <si>
    <t>370 Heraclea Sintica is founded by Makedonia</t>
  </si>
  <si>
    <t>369 Korinth is overthrown by Timophanes</t>
  </si>
  <si>
    <t>368 Aetolian League is founded</t>
  </si>
  <si>
    <t>367 Daparria is annexed by Dardania</t>
  </si>
  <si>
    <t>367 Kroton is annexed by Bruttian League</t>
  </si>
  <si>
    <t>366 Opus declares independence from Athens with the help of Themison</t>
  </si>
  <si>
    <t>365 Opus requests Thebes to protect them from Athens and sends a garrison. Opus is impressed into the Boeotian League</t>
  </si>
  <si>
    <t>364 Timophanes is assassinated</t>
  </si>
  <si>
    <t>364 Orchmenus leaves the Boeotian League and is subsequently sieged by Thebes</t>
  </si>
  <si>
    <t>363 Orchmenus is impressed into the Boeotian League</t>
  </si>
  <si>
    <t>363 Pydna is impressed into the Delian League</t>
  </si>
  <si>
    <t>362 Themison dies and is succeeded by Plutarch</t>
  </si>
  <si>
    <t>361 Potidaea and Torone are impressed into the Delian League and become Athenian Cluerchies</t>
  </si>
  <si>
    <t>360 Tauromenion overthrows the mercenaries and falls under the tyranny of Andromache</t>
  </si>
  <si>
    <t>360 Illios is overthrown by Charidemos</t>
  </si>
  <si>
    <t>360 Abydos is overthrown by Iphiades</t>
  </si>
  <si>
    <t>359 Charidemos is overthrown by Illios</t>
  </si>
  <si>
    <t>359 Dardania annexes Lake Ohrid and Upper Macedonia</t>
  </si>
  <si>
    <t>359 Archelaus annexes Methone, Aegae and Pydna</t>
  </si>
  <si>
    <t>358 Archelaus is annexed by Makedonia</t>
  </si>
  <si>
    <t>358 Macedonia reannexes Lake Ohrid, Lynkestis and Upper Macedonia from Dardania</t>
  </si>
  <si>
    <t>358 Makedonia annexes Paeonia</t>
  </si>
  <si>
    <t>357 Social War Starts</t>
  </si>
  <si>
    <t>357 Kos, Khios, Rodos and Byzantium leave the Delian League</t>
  </si>
  <si>
    <t>357 Makedonia annexes Pydna and Amphipolis</t>
  </si>
  <si>
    <t>357 Dionysius II is overthrown by Dion</t>
  </si>
  <si>
    <t>356 Phocis annexes Delphi</t>
  </si>
  <si>
    <t>356 Locris is annexed by Dionysius II</t>
  </si>
  <si>
    <t>356 Lemnos, Samos and Imbros is occupied by Chios and leave the Delian League</t>
  </si>
  <si>
    <t>356 Makedonia annexes Crenides, renames it Philippi and settles it with Makedonians</t>
  </si>
  <si>
    <t>356 Makedonian border set on Nestus river</t>
  </si>
  <si>
    <t>356 Potidaea and Anthemus are annexed by Chalcidian League</t>
  </si>
  <si>
    <t>356 Makedonia besieges Methone</t>
  </si>
  <si>
    <t>356 Lokros is overthrown by Dionysius II</t>
  </si>
  <si>
    <t>355 Social War Ends</t>
  </si>
  <si>
    <t>355 Argolas is besieged by Phocis</t>
  </si>
  <si>
    <t>355 Dion is overthrown by Callipus</t>
  </si>
  <si>
    <t>354 Methone and Abdera are annexed by Makedonia</t>
  </si>
  <si>
    <t>354 Phocis abandons the Siege of Argolas</t>
  </si>
  <si>
    <t>354 Thessaly is vassalized by Phocis</t>
  </si>
  <si>
    <t>353 Catania is annexed by Callipus</t>
  </si>
  <si>
    <t>353 Makedonia occupied Pagasae</t>
  </si>
  <si>
    <t>353 Thessaly is vassalized by Makedonia</t>
  </si>
  <si>
    <t>352 Callipus is overthrown by Hipparinos (Callipus keeps Catania)</t>
  </si>
  <si>
    <t>352 Nicodemus overthrows Centuripe</t>
  </si>
  <si>
    <t>352 Orchmenus and Chaeronea are occupied by Phocis</t>
  </si>
  <si>
    <t>351 Rhegion is annexed by Callipus</t>
  </si>
  <si>
    <t>350 Akanthos is annexed by Makedonia</t>
  </si>
  <si>
    <t>350 Nice (Nicaea) is founded by the Greeks of Massalia (Marseille), and was given the name of Nikaia (Νίκαια) in honour of a victory over the neighbouring Ligurians; Nike (Νίκη) was the Greek goddess of victory.</t>
  </si>
  <si>
    <t>350 Hipparinos is overthrown by Aretaeus</t>
  </si>
  <si>
    <t>350 Mamercus ousts Callippus from Catania</t>
  </si>
  <si>
    <t>349 Plutarch is expelled from Eretria</t>
  </si>
  <si>
    <t>349 Aretaeus is overthrown by Nysaios</t>
  </si>
  <si>
    <t>348 Stagira is annexed by Makedonia</t>
  </si>
  <si>
    <t>348 Callipus is overthrown by Leptines</t>
  </si>
  <si>
    <t>347 Leontini is overthrown by Hicetas</t>
  </si>
  <si>
    <t>347 Plato, Greek philosopher, founder of Academy, dies.</t>
  </si>
  <si>
    <t>347 Methymna is overthrown by Kleommis</t>
  </si>
  <si>
    <t>346 Phocis withdraws from Boeotia</t>
  </si>
  <si>
    <t>346 Dionysius II leaves Locris and overthrows Nysaios</t>
  </si>
  <si>
    <t>346 Lyttos is besieged by Knossos</t>
  </si>
  <si>
    <t>346 Makedonia occupies Thermopylae and Antikyra, Nicaea is occupied by Thessaly</t>
  </si>
  <si>
    <t>345 Makedonia withdraws from Thermopylae and Antikyra</t>
  </si>
  <si>
    <t>345 Grabaei becomes a vassal of Macedonia</t>
  </si>
  <si>
    <t>345 Hicetas sieges Syracuse and seizes Syracuse's territory</t>
  </si>
  <si>
    <t>345 The Pro-Makedonian Tyrant Hipparchus overthrows Eretria</t>
  </si>
  <si>
    <t>345 Mainland Syracuse (City) is occupied by Hicetas leaving only the citadel in Dionysius' control</t>
  </si>
  <si>
    <t>344 Macedonia occupies Illios and annexes Tenedos</t>
  </si>
  <si>
    <t>344 Siege of Lyttos lifted by Knossos</t>
  </si>
  <si>
    <t>344 Knossos besieges Kydonia</t>
  </si>
  <si>
    <t>344 Hicetas is repulsed by Timoleon from Syracuse</t>
  </si>
  <si>
    <t>344 Timoleon takes control of all Syracusan forces outside the citadel</t>
  </si>
  <si>
    <t>343 Messene is rebuilt by Timoelon, Adranon is freed from mercenary control, Nicodemus is overthrown by Centuripe with help of Timoleon</t>
  </si>
  <si>
    <t>343 Timoleon annexes the citadel</t>
  </si>
  <si>
    <t>343 Siege of Kydonia is lifted by Knossos</t>
  </si>
  <si>
    <t>342 Rhegion is freed by Timoleon</t>
  </si>
  <si>
    <t>342 Aristotle, Greek philosopher, begins teaching Alexander, son of Philip of Macedon.</t>
  </si>
  <si>
    <t>341 Hipparchus is overthrown by Athenian forces and impressed into the Delian league</t>
  </si>
  <si>
    <t>341 Samothrace is annexed by Makedonia</t>
  </si>
  <si>
    <t>340 Antipolis (modern day Antibes) is founded by Phocaean Greeks from Massilia.[12]</t>
  </si>
  <si>
    <t>340 Skyros is annexed by Makedonia</t>
  </si>
  <si>
    <t>340 Entella is freed by Timoleon</t>
  </si>
  <si>
    <t>339 Elateia is occupied by Makedonia</t>
  </si>
  <si>
    <t>339 Agyris and Aetna are freed by Timoleon</t>
  </si>
  <si>
    <t>339 Nicaea is occupied by Boeotia</t>
  </si>
  <si>
    <t>338 Amphissa is annexed by Delphi</t>
  </si>
  <si>
    <t>338 Thyrea is annexed by Argos</t>
  </si>
  <si>
    <t>338 Mamercus dies</t>
  </si>
  <si>
    <t>338 Cumae is annexed by Rome</t>
  </si>
  <si>
    <t>338 Leontini is freed by Timoleon</t>
  </si>
  <si>
    <t>338 Nafpaktos joins the Aetolian League</t>
  </si>
  <si>
    <t>338 King Philip II of Macedon defeats Athens and Thebes at Battle of Chaeronea August 2 and establishes League of Corinth during winter of 338 BC/337 BC.</t>
  </si>
  <si>
    <t>337 Amfissa declares independence from Delphi</t>
  </si>
  <si>
    <t>336 Timoleon dies</t>
  </si>
  <si>
    <t>336 Lesbos is annexed by Makedonia</t>
  </si>
  <si>
    <t>336 Alexander succeeds father Philip II, who was assassinated by Pausanias of Orestis.</t>
  </si>
  <si>
    <t>334 Andromache dies and his city is annexed by Syracuse</t>
  </si>
  <si>
    <t>334 Battle of the Granicus</t>
  </si>
  <si>
    <t>333 Saminum is occupied by Epirus</t>
  </si>
  <si>
    <t>333 Alexander defeats Persians at Battle of Issus, but Darius III escapes.</t>
  </si>
  <si>
    <t>332 Epirus occupies Heraclea, Metapontium, Southern Lucania, Daunia, Paestum, Terina and Sipontum</t>
  </si>
  <si>
    <t>332 Siege of Tyre</t>
  </si>
  <si>
    <t>332 Siege of Gaza</t>
  </si>
  <si>
    <t>332 Alexander conquers Egypt.</t>
  </si>
  <si>
    <t>332 Alexandria is founded by Alexander the Great</t>
  </si>
  <si>
    <t>331 Epirus occupies Cosentia</t>
  </si>
  <si>
    <t>331 Battle of Pandosia</t>
  </si>
  <si>
    <t>331 Gerasa (Jordan) is founded by Makedonian veterans</t>
  </si>
  <si>
    <t>331 at Battle of Gaugamela October 1, Alexander ends Achaemenid Dynasty and conquers Persian Empire.</t>
  </si>
  <si>
    <t>331 Alexander the Great enters in Babylon</t>
  </si>
  <si>
    <t>331 Tauromenion is freed by Carthage</t>
  </si>
  <si>
    <t>331 Battle of the Uxian Defile (East of Susa, Iran)</t>
  </si>
  <si>
    <t>330 Sparta joins the League of Corinth</t>
  </si>
  <si>
    <t>330 Battle of the Persian Gate, destruction of Persepolis (modern Iran)</t>
  </si>
  <si>
    <t>330-325 Pytheas makes the earliest Greek voyage to Great Britain and the Arctic Circle for which there is a record.</t>
  </si>
  <si>
    <t>329 Siege of Cyropolis</t>
  </si>
  <si>
    <t>329 Battle of Jaxartes</t>
  </si>
  <si>
    <t>329 Alexander conquers Samarkand, Uzbekistan</t>
  </si>
  <si>
    <t>329 Alexander the Great founds Alexandria Eschate in modern Tajikistan</t>
  </si>
  <si>
    <t>329-160 Dayuan Kingdom.[13]</t>
  </si>
  <si>
    <t>328 Sybaris on the Traeis is annexed by Bruttian League</t>
  </si>
  <si>
    <t>327 Oenidae is impressed into the Aetolian League</t>
  </si>
  <si>
    <t>327 Under the command of Alexander the Great the forces of the Hellenic League captures the fortress of the Sogdian Rock. Sogdiana and the Kabul region came under Hellenic control</t>
  </si>
  <si>
    <t>327 Alexander invades northern India, but his army is despondent and refuses to march further eastwards.</t>
  </si>
  <si>
    <t>326 Battle of the Hydaspes</t>
  </si>
  <si>
    <t>326 Samos joins the Delian League</t>
  </si>
  <si>
    <t>326 Alexandria Bucephalous (located on the Hydaspes river, Pakistan) is founded by Alexander the Great in memory of his beloved horse Bucephalus</t>
  </si>
  <si>
    <t>325 Nearchus serving under Alexander the Great discovers Tylos (the name used by the Greeks to refer to Bahrain).[14]</t>
  </si>
  <si>
    <t>324 Kroton is overthrown by Menedemus</t>
  </si>
  <si>
    <t>324 Charax Spasinu, one of Alexander's last cities before his death, is established at the head of the Persian Gulf (modern Iran) replacing a small Persian settlement, Durine.[15]</t>
  </si>
  <si>
    <t>323 King Alexander dies, his generals vie for power in Wars of the Diadochi</t>
  </si>
  <si>
    <t>322-320 First War of the Diadochi.</t>
  </si>
  <si>
    <t>320 Partition of Triparadisus</t>
  </si>
  <si>
    <t>320-311 Second War of the Diadochi</t>
  </si>
  <si>
    <t>316 Menander, Greek playwright, wins Athenian prize.</t>
  </si>
  <si>
    <t>312-63 Seleucid Empire</t>
  </si>
  <si>
    <t>310 Zeno of Citium founds his stoic school in Athens.</t>
  </si>
  <si>
    <t>310 Battle of White Tunis (near modern Tunis, Tunisia)</t>
  </si>
  <si>
    <t>307 Epicurus founds his philosophic school in Athens.</t>
  </si>
  <si>
    <t>305-30 Ptolemaic Kingdom</t>
  </si>
  <si>
    <t>305 Seleucia, also known as Seleucia-on-Tigris or Seleucia on the Tigris (modern Iraq) is founded by Seleucus I Nicator</t>
  </si>
  <si>
    <t>301 Battle of Ipsus</t>
  </si>
  <si>
    <t>300 Antioch, is founded by Seleucus I Nicator in honor of his father Antiochus</t>
  </si>
  <si>
    <t>300 Euclid, Greek mathematician, publishes Elements, treating both geometry and number theory (see also Euclidean algorithm).</t>
  </si>
  <si>
    <t>295 Athens falls to Demetrius, Lachares killed.</t>
  </si>
  <si>
    <t>282-133 Kingdom of Pergamon</t>
  </si>
  <si>
    <t>281 Creation of the Achaean League</t>
  </si>
  <si>
    <t>280 The Greek colony of Aspálathos (Aσπάλαθος) is founded (modern day Split).</t>
  </si>
  <si>
    <t>280-275 Pyrrhic War</t>
  </si>
  <si>
    <t>279 Gallic invasion of the Balkans</t>
  </si>
  <si>
    <t>276 Eratosthenes is born.</t>
  </si>
  <si>
    <t>274-271 First Syrian War</t>
  </si>
  <si>
    <t>267-262 Chremonidean War</t>
  </si>
  <si>
    <t>265 Archimedes, Greek mathematician, develops Archimedes' screw, specific gravity, center of gravity; anticipates discoveries of integral calculus.</t>
  </si>
  <si>
    <t>260-253 Second Syrian War</t>
  </si>
  <si>
    <t>256-125 Greco-Bactrian Kingdom</t>
  </si>
  <si>
    <t>240 Eratosthenes calculates the circumference of the Earth</t>
  </si>
  <si>
    <t>246-241 Third Syrian War</t>
  </si>
  <si>
    <t>235 Tanais (Rostov-on-Don, Russia) is founded by merchant adventurers from Miletus</t>
  </si>
  <si>
    <t>220 Euthydemus I of the Greco-Bactrians led expeditions as far as Kashgar and Ürümqi in Xinjiang, leading to the first known contacts between China and the West.[16]</t>
  </si>
  <si>
    <t>219-217 Fourth Syrian War</t>
  </si>
  <si>
    <t>214-205 First Macedonian War</t>
  </si>
  <si>
    <t>203-200 Fifth Syrian War</t>
  </si>
  <si>
    <t>200-196 Second Macedonian War</t>
  </si>
  <si>
    <t>194 Eratosthenes dies in Alexandria</t>
  </si>
  <si>
    <t>192-188 Roman-Syrian War</t>
  </si>
  <si>
    <t>172-167 Third Macedonian War</t>
  </si>
  <si>
    <t>170-168 Sixth Syrian War</t>
  </si>
  <si>
    <t>155 Attack of the Indo-Greeks on Pataliputra,[17] a magnificent fortified city with 570 towers and 64 gates according to Megasthenes,[18] who describes the ultimate destruction of the city's walls.[19]</t>
  </si>
  <si>
    <t>150 King Attalus II of Pergamon founds the city of Attaleia or Antalya in his honour.</t>
  </si>
  <si>
    <t>150-148 Fourth Macedonian War</t>
  </si>
  <si>
    <t>146 Battle of Corinth</t>
  </si>
  <si>
    <t>30 Death of Ptolemaic Queen Cleopatra</t>
  </si>
  <si>
    <t>Évszám</t>
  </si>
  <si>
    <t>Kezdet</t>
  </si>
  <si>
    <t>Vége</t>
  </si>
  <si>
    <t>Kezdő esemény</t>
  </si>
  <si>
    <t>Záró esemény</t>
  </si>
  <si>
    <t>Gergely-naptár év</t>
  </si>
  <si>
    <t>Olimpiai idő</t>
  </si>
  <si>
    <t>Esemény</t>
  </si>
  <si>
    <t>Keresett szó:</t>
  </si>
  <si>
    <t>Első előfordulásának éve:</t>
  </si>
  <si>
    <t>Előfordulások száma</t>
  </si>
  <si>
    <t>Kifejezés kereső</t>
  </si>
  <si>
    <t>Greek</t>
  </si>
  <si>
    <t>Feljegyzés</t>
  </si>
  <si>
    <t>Év</t>
  </si>
  <si>
    <t>The philosopher Thales of Miletus predicts a solar eclipse that occurs during the Battle of Halys.</t>
  </si>
  <si>
    <t>Pythagoras is born.</t>
  </si>
  <si>
    <t>Pythagoras establishes his own school.</t>
  </si>
  <si>
    <t>Pythagoras dies in Croton, Italy</t>
  </si>
  <si>
    <t>Euclid, Greek mathematician, publishes Elements, treating both geometry and number theory (see also Euclidean algorithm).</t>
  </si>
  <si>
    <t>Eratosthenes is born.</t>
  </si>
  <si>
    <t>Eratosthenes calculates the circumference of the Earth</t>
  </si>
  <si>
    <t>Eratosthenes dies in Alexandria</t>
  </si>
  <si>
    <t>Statisztika</t>
  </si>
  <si>
    <t>Feljegyzések híres matematikusokról</t>
  </si>
  <si>
    <t>Leghosszabb jelzett időintervallum:</t>
  </si>
  <si>
    <t>Leggyakoribb évszám számossága:</t>
  </si>
  <si>
    <t>Leggyakoribb évszám:</t>
  </si>
  <si>
    <t>Számok:</t>
  </si>
  <si>
    <t>Osztandó</t>
  </si>
  <si>
    <t>Osztó</t>
  </si>
  <si>
    <t>Maradék</t>
  </si>
  <si>
    <t>Függvénnyel:</t>
  </si>
  <si>
    <t>fok</t>
  </si>
  <si>
    <t>rad</t>
  </si>
  <si>
    <t>r *cos</t>
  </si>
  <si>
    <t>r*sin</t>
  </si>
  <si>
    <t>C:</t>
  </si>
  <si>
    <t>A:</t>
  </si>
  <si>
    <t>B:</t>
  </si>
  <si>
    <t>C':</t>
  </si>
  <si>
    <t>Kör sugara:</t>
  </si>
  <si>
    <t>C--&gt;A</t>
  </si>
  <si>
    <t>C--&gt;B</t>
  </si>
  <si>
    <t>A--&gt;B</t>
  </si>
  <si>
    <t>b:</t>
  </si>
  <si>
    <t>a:</t>
  </si>
  <si>
    <t>c:</t>
  </si>
  <si>
    <t>(x;</t>
  </si>
  <si>
    <t xml:space="preserve"> y)</t>
  </si>
  <si>
    <t>|b|²=</t>
  </si>
  <si>
    <t>|a|²=</t>
  </si>
  <si>
    <t>|AB|²=</t>
  </si>
  <si>
    <t>|d|²=</t>
  </si>
  <si>
    <t>Össz: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</si>
</sst>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i.e. &quot;0"/>
    <numFmt numFmtId="165" formatCode="0&quot;.&quot;"/>
    <numFmt numFmtId="166" formatCode="0&quot; db&quot;"/>
    <numFmt numFmtId="168" formatCode="0.00&quot;)&quot;"/>
    <numFmt numFmtId="169" formatCode="&quot;(&quot;0.00&quot;; &quot;"/>
  </numFmts>
  <fonts count="9" x14ac:knownFonts="1">
    <font>
      <sz val="11"/>
      <color theme="1"/>
      <name val="Aptos Narrow"/>
      <family val="2"/>
      <charset val="238"/>
      <scheme val="minor"/>
    </font>
    <font>
      <b/>
      <sz val="11"/>
      <color theme="1"/>
      <name val="Aptos Narrow"/>
      <family val="2"/>
      <scheme val="minor"/>
    </font>
    <font>
      <b/>
      <sz val="11"/>
      <color theme="0"/>
      <name val="Aptos Narrow"/>
      <family val="2"/>
      <scheme val="minor"/>
    </font>
    <font>
      <sz val="18"/>
      <color theme="1"/>
      <name val="Aptos Narrow"/>
      <family val="2"/>
      <charset val="238"/>
      <scheme val="minor"/>
    </font>
    <font>
      <b/>
      <sz val="18"/>
      <color theme="1"/>
      <name val="Aptos Narrow"/>
      <family val="2"/>
      <scheme val="minor"/>
    </font>
    <font>
      <b/>
      <sz val="18"/>
      <color theme="0"/>
      <name val="Aptos Narrow"/>
      <family val="2"/>
      <scheme val="minor"/>
    </font>
    <font>
      <sz val="18"/>
      <color theme="0" tint="-0.14999847407452621"/>
      <name val="Aptos Narrow"/>
      <family val="2"/>
      <charset val="238"/>
      <scheme val="minor"/>
    </font>
    <font>
      <b/>
      <sz val="18"/>
      <color theme="0" tint="-0.14999847407452621"/>
      <name val="Aptos Narrow"/>
      <family val="2"/>
      <scheme val="minor"/>
    </font>
    <font>
      <sz val="8"/>
      <name val="Aptos Narrow"/>
      <family val="2"/>
      <charset val="238"/>
      <scheme val="minor"/>
    </font>
  </fonts>
  <fills count="5">
    <fill>
      <patternFill patternType="none"/>
    </fill>
    <fill>
      <patternFill patternType="gray125"/>
    </fill>
    <fill>
      <patternFill patternType="solid">
        <fgColor rgb="FF477C22"/>
        <bgColor indexed="64"/>
      </patternFill>
    </fill>
    <fill>
      <patternFill patternType="solid">
        <fgColor rgb="FFDBF1CE"/>
        <bgColor indexed="64"/>
      </patternFill>
    </fill>
    <fill>
      <patternFill patternType="solid">
        <fgColor rgb="FF3C7D22"/>
        <bgColor indexed="64"/>
      </patternFill>
    </fill>
  </fills>
  <borders count="12">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rgb="FF92D050"/>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rgb="FF92D050"/>
      </right>
      <top style="thin">
        <color rgb="FF92D050"/>
      </top>
      <bottom style="thin">
        <color auto="1"/>
      </bottom>
      <diagonal/>
    </border>
    <border>
      <left/>
      <right/>
      <top style="thin">
        <color auto="1"/>
      </top>
      <bottom/>
      <diagonal/>
    </border>
    <border>
      <left/>
      <right style="thin">
        <color auto="1"/>
      </right>
      <top/>
      <bottom/>
      <diagonal/>
    </border>
  </borders>
  <cellStyleXfs count="1">
    <xf numFmtId="0" fontId="0" fillId="0" borderId="0"/>
  </cellStyleXfs>
  <cellXfs count="47">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0" borderId="0" xfId="0" applyFont="1" applyAlignment="1">
      <alignment horizontal="center"/>
    </xf>
    <xf numFmtId="0" fontId="0" fillId="0" borderId="0" xfId="0" applyAlignment="1">
      <alignment wrapText="1"/>
    </xf>
    <xf numFmtId="0" fontId="0" fillId="0" borderId="8" xfId="0" applyBorder="1"/>
    <xf numFmtId="0" fontId="0" fillId="3" borderId="7" xfId="0" applyFill="1" applyBorder="1" applyAlignment="1">
      <alignment horizontal="center"/>
    </xf>
    <xf numFmtId="0" fontId="2" fillId="2" borderId="9" xfId="0" applyFont="1" applyFill="1" applyBorder="1" applyAlignment="1">
      <alignment horizontal="center"/>
    </xf>
    <xf numFmtId="164" fontId="0" fillId="0" borderId="0" xfId="0" applyNumberFormat="1" applyAlignment="1">
      <alignment horizontal="center" vertical="top"/>
    </xf>
    <xf numFmtId="165" fontId="0" fillId="0" borderId="0" xfId="0" applyNumberFormat="1" applyAlignment="1">
      <alignment horizontal="center" vertical="top"/>
    </xf>
    <xf numFmtId="164" fontId="0" fillId="3" borderId="7" xfId="0" applyNumberFormat="1" applyFill="1" applyBorder="1" applyAlignment="1">
      <alignment horizontal="center"/>
    </xf>
    <xf numFmtId="0" fontId="1" fillId="0" borderId="0" xfId="0" applyFont="1" applyAlignment="1">
      <alignment horizontal="center" vertical="center"/>
    </xf>
    <xf numFmtId="0" fontId="1" fillId="0" borderId="10" xfId="0" applyFont="1" applyBorder="1" applyAlignment="1">
      <alignment horizontal="center" vertical="center"/>
    </xf>
    <xf numFmtId="164" fontId="0" fillId="3" borderId="7" xfId="0" applyNumberFormat="1" applyFill="1" applyBorder="1"/>
    <xf numFmtId="166" fontId="0" fillId="3" borderId="7" xfId="0" applyNumberFormat="1" applyFill="1" applyBorder="1"/>
    <xf numFmtId="0" fontId="0" fillId="3" borderId="7" xfId="0" applyFill="1" applyBorder="1"/>
    <xf numFmtId="0" fontId="3" fillId="0" borderId="0" xfId="0" applyFont="1"/>
    <xf numFmtId="0" fontId="4" fillId="0" borderId="0" xfId="0" applyFont="1"/>
    <xf numFmtId="0" fontId="4" fillId="0" borderId="0" xfId="0" applyFont="1" applyAlignment="1">
      <alignment vertical="center"/>
    </xf>
    <xf numFmtId="0" fontId="5" fillId="4" borderId="0" xfId="0" applyFont="1" applyFill="1" applyAlignment="1">
      <alignment horizontal="center" vertical="center"/>
    </xf>
    <xf numFmtId="0" fontId="1" fillId="0" borderId="0" xfId="0" applyFont="1"/>
    <xf numFmtId="0" fontId="0" fillId="0" borderId="0" xfId="0" applyAlignment="1">
      <alignment horizontal="center"/>
    </xf>
    <xf numFmtId="168" fontId="3" fillId="0" borderId="0" xfId="0" applyNumberFormat="1" applyFont="1" applyAlignment="1">
      <alignment horizontal="left"/>
    </xf>
    <xf numFmtId="0" fontId="3" fillId="0" borderId="0" xfId="0" applyFont="1" applyAlignment="1">
      <alignment horizontal="center"/>
    </xf>
    <xf numFmtId="168" fontId="6" fillId="0" borderId="0" xfId="0" applyNumberFormat="1" applyFont="1" applyAlignment="1">
      <alignment horizontal="left"/>
    </xf>
    <xf numFmtId="0" fontId="6" fillId="0" borderId="0" xfId="0" applyFont="1" applyAlignment="1">
      <alignment horizontal="center"/>
    </xf>
    <xf numFmtId="0" fontId="0" fillId="0" borderId="0" xfId="0" applyAlignment="1">
      <alignment horizontal="right"/>
    </xf>
    <xf numFmtId="0" fontId="0" fillId="0" borderId="0" xfId="0" applyAlignment="1">
      <alignment horizontal="left"/>
    </xf>
    <xf numFmtId="169" fontId="3" fillId="0" borderId="0" xfId="0" applyNumberFormat="1" applyFont="1" applyAlignment="1">
      <alignment horizontal="right"/>
    </xf>
    <xf numFmtId="169" fontId="6" fillId="0" borderId="0" xfId="0" applyNumberFormat="1" applyFont="1" applyAlignment="1">
      <alignment horizontal="right"/>
    </xf>
    <xf numFmtId="169" fontId="0" fillId="0" borderId="0" xfId="0" applyNumberFormat="1" applyAlignment="1">
      <alignment horizontal="right"/>
    </xf>
    <xf numFmtId="168" fontId="0" fillId="0" borderId="0" xfId="0" applyNumberFormat="1" applyAlignment="1">
      <alignment horizontal="left"/>
    </xf>
    <xf numFmtId="0" fontId="3" fillId="0" borderId="0" xfId="0" applyFont="1" applyAlignment="1">
      <alignment horizontal="right"/>
    </xf>
    <xf numFmtId="2" fontId="3" fillId="0" borderId="0" xfId="0" applyNumberFormat="1" applyFont="1" applyAlignment="1">
      <alignment horizontal="right"/>
    </xf>
    <xf numFmtId="1" fontId="3" fillId="0" borderId="0" xfId="0" applyNumberFormat="1" applyFont="1" applyAlignment="1">
      <alignment horizontal="right"/>
    </xf>
    <xf numFmtId="0" fontId="7" fillId="4" borderId="0" xfId="0" applyFont="1" applyFill="1" applyAlignment="1">
      <alignment horizontal="center"/>
    </xf>
    <xf numFmtId="169" fontId="7" fillId="4" borderId="0" xfId="0" applyNumberFormat="1" applyFont="1" applyFill="1" applyAlignment="1">
      <alignment horizontal="right"/>
    </xf>
    <xf numFmtId="168" fontId="7" fillId="4" borderId="0" xfId="0" applyNumberFormat="1" applyFont="1" applyFill="1" applyAlignment="1">
      <alignment horizontal="left"/>
    </xf>
    <xf numFmtId="1" fontId="0" fillId="0" borderId="0" xfId="0" applyNumberFormat="1"/>
    <xf numFmtId="0" fontId="0" fillId="0" borderId="0" xfId="0" applyNumberFormat="1"/>
    <xf numFmtId="0" fontId="0" fillId="0" borderId="11" xfId="0" applyNumberFormat="1" applyBorder="1" applyAlignment="1">
      <alignment horizontal="center" vertical="center"/>
    </xf>
    <xf numFmtId="0" fontId="0" fillId="0" borderId="0" xfId="0" applyNumberFormat="1" applyAlignment="1">
      <alignment horizontal="center" vertical="center"/>
    </xf>
    <xf numFmtId="0" fontId="0" fillId="0" borderId="0" xfId="0" applyAlignment="1">
      <alignment horizontal="center" vertical="center"/>
    </xf>
  </cellXfs>
  <cellStyles count="1">
    <cellStyle name="Normál" xfId="0" builtinId="0"/>
  </cellStyles>
  <dxfs count="23">
    <dxf>
      <font>
        <b/>
        <i val="0"/>
      </font>
      <fill>
        <patternFill>
          <bgColor rgb="FFF1A983"/>
        </patternFill>
      </fill>
    </dxf>
    <dxf>
      <numFmt numFmtId="0" formatCode="General"/>
      <fill>
        <patternFill>
          <bgColor rgb="FFFBE2D5"/>
        </patternFill>
      </fill>
    </dxf>
    <dxf>
      <numFmt numFmtId="173" formatCode=";;;"/>
      <fill>
        <patternFill>
          <bgColor rgb="FFD9D9D9"/>
        </patternFill>
      </fill>
    </dxf>
    <dxf>
      <numFmt numFmtId="173" formatCode=";;;"/>
      <fill>
        <patternFill>
          <bgColor rgb="FFF1A983"/>
        </patternFill>
      </fill>
    </dxf>
    <dxf>
      <numFmt numFmtId="173" formatCode=";;;"/>
    </dxf>
    <dxf>
      <numFmt numFmtId="0" formatCode="General"/>
      <fill>
        <patternFill>
          <bgColor rgb="FF404040"/>
        </patternFill>
      </fill>
    </dxf>
    <dxf>
      <numFmt numFmtId="0" formatCode="General"/>
      <fill>
        <patternFill>
          <bgColor rgb="FFFBE2D5"/>
        </patternFill>
      </fill>
    </dxf>
    <dxf>
      <font>
        <b/>
        <i val="0"/>
      </font>
      <fill>
        <patternFill>
          <bgColor rgb="FFF1A983"/>
        </patternFill>
      </fill>
    </dxf>
    <dxf>
      <numFmt numFmtId="173" formatCode=";;;"/>
      <fill>
        <patternFill>
          <bgColor rgb="FFD9D9D9"/>
        </patternFill>
      </fill>
    </dxf>
    <dxf>
      <numFmt numFmtId="173" formatCode=";;;"/>
      <fill>
        <patternFill>
          <bgColor rgb="FFF1A983"/>
        </patternFill>
      </fill>
    </dxf>
    <dxf>
      <numFmt numFmtId="173" formatCode=";;;"/>
    </dxf>
    <dxf>
      <numFmt numFmtId="0" formatCode="General"/>
      <fill>
        <patternFill>
          <bgColor rgb="FF404040"/>
        </patternFill>
      </fill>
    </dxf>
    <dxf>
      <fill>
        <patternFill>
          <bgColor rgb="FFFFFF00"/>
        </patternFill>
      </fill>
    </dxf>
    <dxf>
      <numFmt numFmtId="0" formatCode="General"/>
    </dxf>
    <dxf>
      <numFmt numFmtId="0" formatCode="General"/>
    </dxf>
    <dxf>
      <numFmt numFmtId="0" formatCode="General"/>
    </dxf>
    <dxf>
      <numFmt numFmtId="165" formatCode="0&quot;.&quot;"/>
      <alignment horizontal="center" vertical="top" textRotation="0" wrapText="0" indent="0" justifyLastLine="0" shrinkToFit="0" readingOrder="0"/>
    </dxf>
    <dxf>
      <numFmt numFmtId="164" formatCode="&quot;i.e. &quot;0"/>
      <alignment horizontal="center" vertical="top" textRotation="0" wrapText="0"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bgColor rgb="FFDBF1CE"/>
        </patternFill>
      </fill>
    </dxf>
    <dxf>
      <font>
        <b/>
        <i val="0"/>
        <color theme="0"/>
      </font>
      <fill>
        <patternFill>
          <bgColor rgb="FF477C22"/>
        </patternFill>
      </fill>
    </dxf>
    <dxf>
      <border>
        <left style="thin">
          <color rgb="FF92D050"/>
        </left>
        <right style="thin">
          <color rgb="FF92D050"/>
        </right>
        <top style="thin">
          <color rgb="FF92D050"/>
        </top>
        <bottom style="thin">
          <color theme="1"/>
        </bottom>
        <vertical style="thin">
          <color theme="1"/>
        </vertical>
        <horizontal style="thin">
          <color theme="1"/>
        </horizontal>
      </border>
    </dxf>
  </dxfs>
  <tableStyles count="1" defaultTableStyle="TableStyleMedium2" defaultPivotStyle="PivotStyleLight16">
    <tableStyle name="Táblázatstílus 1" pivot="0" count="3" xr9:uid="{2D59934A-3575-4646-90DD-EE424221397E}">
      <tableStyleElement type="wholeTable" dxfId="22"/>
      <tableStyleElement type="headerRow" dxfId="21"/>
      <tableStyleElement type="firstRowStripe" dxfId="20"/>
    </tableStyle>
  </tableStyles>
  <colors>
    <mruColors>
      <color rgb="FFFBE2D5"/>
      <color rgb="FFF1A983"/>
      <color rgb="FFD9D9D9"/>
      <color rgb="FF404040"/>
      <color rgb="FFC00000"/>
      <color rgb="FF0070C0"/>
      <color rgb="FF7030A0"/>
      <color rgb="FF3C7D22"/>
      <color rgb="FFDBF1CE"/>
      <color rgb="FF477C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u-H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tx>
            <c:v>C</c:v>
          </c:tx>
          <c:spPr>
            <a:ln w="25400" cap="rnd">
              <a:noFill/>
              <a:round/>
            </a:ln>
            <a:effectLst/>
          </c:spPr>
          <c:marker>
            <c:symbol val="circle"/>
            <c:size val="6"/>
            <c:spPr>
              <a:solidFill>
                <a:srgbClr val="7030A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u-HU"/>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Thales!$B$2</c:f>
              <c:numCache>
                <c:formatCode>"("0.00"; "</c:formatCode>
                <c:ptCount val="1"/>
                <c:pt idx="0">
                  <c:v>3.2014872910992</c:v>
                </c:pt>
              </c:numCache>
            </c:numRef>
          </c:xVal>
          <c:yVal>
            <c:numRef>
              <c:f>Thales!$C$2</c:f>
              <c:numCache>
                <c:formatCode>0.00")"</c:formatCode>
                <c:ptCount val="1"/>
                <c:pt idx="0">
                  <c:v>-6.2249882831159056</c:v>
                </c:pt>
              </c:numCache>
            </c:numRef>
          </c:yVal>
          <c:smooth val="0"/>
          <c:extLst>
            <c:ext xmlns:c16="http://schemas.microsoft.com/office/drawing/2014/chart" uri="{C3380CC4-5D6E-409C-BE32-E72D297353CC}">
              <c16:uniqueId val="{00000000-2AD8-435F-BB2F-9E7B44A1306D}"/>
            </c:ext>
          </c:extLst>
        </c:ser>
        <c:ser>
          <c:idx val="1"/>
          <c:order val="1"/>
          <c:tx>
            <c:v>A</c:v>
          </c:tx>
          <c:spPr>
            <a:ln w="25400" cap="rnd">
              <a:noFill/>
              <a:round/>
            </a:ln>
            <a:effectLst/>
          </c:spPr>
          <c:marker>
            <c:symbol val="circle"/>
            <c:size val="6"/>
            <c:spPr>
              <a:solidFill>
                <a:srgbClr val="C0000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u-HU"/>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Thales!$B$3</c:f>
              <c:numCache>
                <c:formatCode>"("0.00"; "</c:formatCode>
                <c:ptCount val="1"/>
                <c:pt idx="0">
                  <c:v>-2.6810472542013795</c:v>
                </c:pt>
              </c:numCache>
            </c:numRef>
          </c:xVal>
          <c:yVal>
            <c:numRef>
              <c:f>Thales!$C$3</c:f>
              <c:numCache>
                <c:formatCode>0.00")"</c:formatCode>
                <c:ptCount val="1"/>
                <c:pt idx="0">
                  <c:v>-6.4662188039641251</c:v>
                </c:pt>
              </c:numCache>
            </c:numRef>
          </c:yVal>
          <c:smooth val="0"/>
          <c:extLst>
            <c:ext xmlns:c16="http://schemas.microsoft.com/office/drawing/2014/chart" uri="{C3380CC4-5D6E-409C-BE32-E72D297353CC}">
              <c16:uniqueId val="{00000001-2AD8-435F-BB2F-9E7B44A1306D}"/>
            </c:ext>
          </c:extLst>
        </c:ser>
        <c:ser>
          <c:idx val="2"/>
          <c:order val="2"/>
          <c:tx>
            <c:v>B</c:v>
          </c:tx>
          <c:spPr>
            <a:ln w="25400" cap="rnd">
              <a:noFill/>
              <a:round/>
            </a:ln>
            <a:effectLst/>
          </c:spPr>
          <c:marker>
            <c:symbol val="circle"/>
            <c:size val="6"/>
            <c:spPr>
              <a:solidFill>
                <a:srgbClr val="0070C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u-HU"/>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Thales!$B$4</c:f>
              <c:numCache>
                <c:formatCode>"("0.00"; "</c:formatCode>
                <c:ptCount val="1"/>
                <c:pt idx="0">
                  <c:v>2.6810472542013795</c:v>
                </c:pt>
              </c:numCache>
            </c:numRef>
          </c:xVal>
          <c:yVal>
            <c:numRef>
              <c:f>Thales!$C$4</c:f>
              <c:numCache>
                <c:formatCode>0.00")"</c:formatCode>
                <c:ptCount val="1"/>
                <c:pt idx="0">
                  <c:v>6.4662188039641251</c:v>
                </c:pt>
              </c:numCache>
            </c:numRef>
          </c:yVal>
          <c:smooth val="0"/>
          <c:extLst>
            <c:ext xmlns:c16="http://schemas.microsoft.com/office/drawing/2014/chart" uri="{C3380CC4-5D6E-409C-BE32-E72D297353CC}">
              <c16:uniqueId val="{00000002-2AD8-435F-BB2F-9E7B44A1306D}"/>
            </c:ext>
          </c:extLst>
        </c:ser>
        <c:ser>
          <c:idx val="4"/>
          <c:order val="3"/>
          <c:tx>
            <c:v>c</c:v>
          </c:tx>
          <c:spPr>
            <a:ln w="19050" cap="rnd">
              <a:solidFill>
                <a:srgbClr val="7030A0"/>
              </a:solidFill>
              <a:round/>
            </a:ln>
            <a:effectLst/>
          </c:spPr>
          <c:marker>
            <c:symbol val="none"/>
          </c:marker>
          <c:dLbls>
            <c:delete val="1"/>
          </c:dLbls>
          <c:xVal>
            <c:numRef>
              <c:f>Thales!$B$3:$B$4</c:f>
              <c:numCache>
                <c:formatCode>"("0.00"; "</c:formatCode>
                <c:ptCount val="2"/>
                <c:pt idx="0">
                  <c:v>-2.6810472542013795</c:v>
                </c:pt>
                <c:pt idx="1">
                  <c:v>2.6810472542013795</c:v>
                </c:pt>
              </c:numCache>
            </c:numRef>
          </c:xVal>
          <c:yVal>
            <c:numRef>
              <c:f>Thales!$C$3:$C$4</c:f>
              <c:numCache>
                <c:formatCode>0.00")"</c:formatCode>
                <c:ptCount val="2"/>
                <c:pt idx="0">
                  <c:v>-6.4662188039641251</c:v>
                </c:pt>
                <c:pt idx="1">
                  <c:v>6.4662188039641251</c:v>
                </c:pt>
              </c:numCache>
            </c:numRef>
          </c:yVal>
          <c:smooth val="0"/>
          <c:extLst>
            <c:ext xmlns:c16="http://schemas.microsoft.com/office/drawing/2014/chart" uri="{C3380CC4-5D6E-409C-BE32-E72D297353CC}">
              <c16:uniqueId val="{00000003-2AD8-435F-BB2F-9E7B44A1306D}"/>
            </c:ext>
          </c:extLst>
        </c:ser>
        <c:ser>
          <c:idx val="5"/>
          <c:order val="4"/>
          <c:tx>
            <c:v>a</c:v>
          </c:tx>
          <c:spPr>
            <a:ln w="19050" cap="rnd">
              <a:solidFill>
                <a:srgbClr val="C00000"/>
              </a:solidFill>
              <a:round/>
            </a:ln>
            <a:effectLst/>
          </c:spPr>
          <c:marker>
            <c:symbol val="circle"/>
            <c:size val="6"/>
            <c:spPr>
              <a:solidFill>
                <a:srgbClr val="0070C0"/>
              </a:solidFill>
              <a:ln w="9525">
                <a:noFill/>
              </a:ln>
              <a:effectLst/>
            </c:spPr>
          </c:marker>
          <c:dPt>
            <c:idx val="0"/>
            <c:marker>
              <c:symbol val="none"/>
            </c:marker>
            <c:bubble3D val="0"/>
            <c:spPr>
              <a:ln w="19050" cap="rnd">
                <a:solidFill>
                  <a:srgbClr val="C00000"/>
                </a:solidFill>
                <a:round/>
              </a:ln>
              <a:effectLst/>
            </c:spPr>
            <c:extLst>
              <c:ext xmlns:c16="http://schemas.microsoft.com/office/drawing/2014/chart" uri="{C3380CC4-5D6E-409C-BE32-E72D297353CC}">
                <c16:uniqueId val="{00000005-2AD8-435F-BB2F-9E7B44A1306D}"/>
              </c:ext>
            </c:extLst>
          </c:dPt>
          <c:dLbls>
            <c:delete val="1"/>
          </c:dLbls>
          <c:xVal>
            <c:numRef>
              <c:f>(Thales!$B$4,Thales!$B$2)</c:f>
              <c:numCache>
                <c:formatCode>"("0.00"; "</c:formatCode>
                <c:ptCount val="2"/>
                <c:pt idx="0">
                  <c:v>2.6810472542013795</c:v>
                </c:pt>
                <c:pt idx="1">
                  <c:v>3.2014872910992</c:v>
                </c:pt>
              </c:numCache>
            </c:numRef>
          </c:xVal>
          <c:yVal>
            <c:numRef>
              <c:f>(Thales!$C$4,Thales!$C$2)</c:f>
              <c:numCache>
                <c:formatCode>0.00")"</c:formatCode>
                <c:ptCount val="2"/>
                <c:pt idx="0">
                  <c:v>6.4662188039641251</c:v>
                </c:pt>
                <c:pt idx="1">
                  <c:v>-6.2249882831159056</c:v>
                </c:pt>
              </c:numCache>
            </c:numRef>
          </c:yVal>
          <c:smooth val="0"/>
          <c:extLst>
            <c:ext xmlns:c16="http://schemas.microsoft.com/office/drawing/2014/chart" uri="{C3380CC4-5D6E-409C-BE32-E72D297353CC}">
              <c16:uniqueId val="{00000006-2AD8-435F-BB2F-9E7B44A1306D}"/>
            </c:ext>
          </c:extLst>
        </c:ser>
        <c:ser>
          <c:idx val="6"/>
          <c:order val="5"/>
          <c:tx>
            <c:v>b</c:v>
          </c:tx>
          <c:spPr>
            <a:ln w="19050" cap="rnd">
              <a:solidFill>
                <a:srgbClr val="0070C0"/>
              </a:solidFill>
              <a:round/>
            </a:ln>
            <a:effectLst/>
          </c:spPr>
          <c:marker>
            <c:symbol val="none"/>
          </c:marker>
          <c:dPt>
            <c:idx val="0"/>
            <c:marker>
              <c:symbol val="circle"/>
              <c:size val="6"/>
              <c:spPr>
                <a:solidFill>
                  <a:srgbClr val="7030A0"/>
                </a:solidFill>
                <a:ln w="9525">
                  <a:noFill/>
                </a:ln>
                <a:effectLst/>
              </c:spPr>
            </c:marker>
            <c:bubble3D val="0"/>
            <c:spPr>
              <a:ln w="25400" cap="rnd">
                <a:solidFill>
                  <a:srgbClr val="0070C0"/>
                </a:solidFill>
                <a:round/>
              </a:ln>
              <a:effectLst/>
            </c:spPr>
            <c:extLst>
              <c:ext xmlns:c16="http://schemas.microsoft.com/office/drawing/2014/chart" uri="{C3380CC4-5D6E-409C-BE32-E72D297353CC}">
                <c16:uniqueId val="{00000008-2AD8-435F-BB2F-9E7B44A1306D}"/>
              </c:ext>
            </c:extLst>
          </c:dPt>
          <c:dPt>
            <c:idx val="1"/>
            <c:marker>
              <c:symbol val="circle"/>
              <c:size val="6"/>
              <c:spPr>
                <a:solidFill>
                  <a:srgbClr val="C00000"/>
                </a:solidFill>
                <a:ln w="9525">
                  <a:noFill/>
                </a:ln>
                <a:effectLst/>
              </c:spPr>
            </c:marker>
            <c:bubble3D val="0"/>
            <c:spPr>
              <a:ln w="19050" cap="rnd">
                <a:solidFill>
                  <a:srgbClr val="0070C0"/>
                </a:solidFill>
                <a:round/>
              </a:ln>
              <a:effectLst/>
            </c:spPr>
            <c:extLst>
              <c:ext xmlns:c16="http://schemas.microsoft.com/office/drawing/2014/chart" uri="{C3380CC4-5D6E-409C-BE32-E72D297353CC}">
                <c16:uniqueId val="{0000000A-2AD8-435F-BB2F-9E7B44A1306D}"/>
              </c:ext>
            </c:extLst>
          </c:dPt>
          <c:dLbls>
            <c:delete val="1"/>
          </c:dLbls>
          <c:xVal>
            <c:numRef>
              <c:f>Thales!$B$2:$B$3</c:f>
              <c:numCache>
                <c:formatCode>"("0.00"; "</c:formatCode>
                <c:ptCount val="2"/>
                <c:pt idx="0">
                  <c:v>3.2014872910992</c:v>
                </c:pt>
                <c:pt idx="1">
                  <c:v>-2.6810472542013795</c:v>
                </c:pt>
              </c:numCache>
            </c:numRef>
          </c:xVal>
          <c:yVal>
            <c:numRef>
              <c:f>Thales!$C$2:$C$3</c:f>
              <c:numCache>
                <c:formatCode>0.00")"</c:formatCode>
                <c:ptCount val="2"/>
                <c:pt idx="0">
                  <c:v>-6.2249882831159056</c:v>
                </c:pt>
                <c:pt idx="1">
                  <c:v>-6.4662188039641251</c:v>
                </c:pt>
              </c:numCache>
            </c:numRef>
          </c:yVal>
          <c:smooth val="0"/>
          <c:extLst>
            <c:ext xmlns:c16="http://schemas.microsoft.com/office/drawing/2014/chart" uri="{C3380CC4-5D6E-409C-BE32-E72D297353CC}">
              <c16:uniqueId val="{0000000B-2AD8-435F-BB2F-9E7B44A1306D}"/>
            </c:ext>
          </c:extLst>
        </c:ser>
        <c:ser>
          <c:idx val="0"/>
          <c:order val="6"/>
          <c:tx>
            <c:v>kör</c:v>
          </c:tx>
          <c:spPr>
            <a:ln w="25400" cap="rnd">
              <a:solidFill>
                <a:schemeClr val="tx1"/>
              </a:solidFill>
              <a:round/>
            </a:ln>
            <a:effectLst/>
          </c:spPr>
          <c:marker>
            <c:symbol val="none"/>
          </c:marker>
          <c:dLbls>
            <c:delete val="1"/>
          </c:dLbls>
          <c:xVal>
            <c:numRef>
              <c:f>Thales!$C$26:$C$386</c:f>
              <c:numCache>
                <c:formatCode>General</c:formatCode>
                <c:ptCount val="361"/>
                <c:pt idx="0">
                  <c:v>7</c:v>
                </c:pt>
                <c:pt idx="1">
                  <c:v>6.9989338660947391</c:v>
                </c:pt>
                <c:pt idx="2">
                  <c:v>6.9957357891336702</c:v>
                </c:pt>
                <c:pt idx="3">
                  <c:v>6.9904067432820165</c:v>
                </c:pt>
                <c:pt idx="4">
                  <c:v>6.9829483518187692</c:v>
                </c:pt>
                <c:pt idx="5">
                  <c:v>6.973362886642219</c:v>
                </c:pt>
                <c:pt idx="6">
                  <c:v>6.9616532675779128</c:v>
                </c:pt>
                <c:pt idx="7">
                  <c:v>6.9478230614892542</c:v>
                </c:pt>
                <c:pt idx="8">
                  <c:v>6.9318764811909928</c:v>
                </c:pt>
                <c:pt idx="9">
                  <c:v>6.9138183841659639</c:v>
                </c:pt>
                <c:pt idx="10">
                  <c:v>6.893654271085456</c:v>
                </c:pt>
                <c:pt idx="11">
                  <c:v>6.8713902841336481</c:v>
                </c:pt>
                <c:pt idx="12">
                  <c:v>6.8470332051366398</c:v>
                </c:pt>
                <c:pt idx="13">
                  <c:v>6.8205904534966466</c:v>
                </c:pt>
                <c:pt idx="14">
                  <c:v>6.792070083931975</c:v>
                </c:pt>
                <c:pt idx="15">
                  <c:v>6.7614807840234779</c:v>
                </c:pt>
                <c:pt idx="16">
                  <c:v>6.7288318715682323</c:v>
                </c:pt>
                <c:pt idx="17">
                  <c:v>6.6941332917412479</c:v>
                </c:pt>
                <c:pt idx="18">
                  <c:v>6.6573956140660746</c:v>
                </c:pt>
                <c:pt idx="19">
                  <c:v>6.6186300291952183</c:v>
                </c:pt>
                <c:pt idx="20">
                  <c:v>6.5778483455013586</c:v>
                </c:pt>
                <c:pt idx="21">
                  <c:v>6.5350629854804119</c:v>
                </c:pt>
                <c:pt idx="22">
                  <c:v>6.490286981967512</c:v>
                </c:pt>
                <c:pt idx="23">
                  <c:v>6.4435339741670825</c:v>
                </c:pt>
                <c:pt idx="24">
                  <c:v>6.3948182034982057</c:v>
                </c:pt>
                <c:pt idx="25">
                  <c:v>6.3441545092565494</c:v>
                </c:pt>
                <c:pt idx="26">
                  <c:v>6.2915583240941695</c:v>
                </c:pt>
                <c:pt idx="27">
                  <c:v>6.237045669318575</c:v>
                </c:pt>
                <c:pt idx="28">
                  <c:v>6.1806331500124889</c:v>
                </c:pt>
                <c:pt idx="29">
                  <c:v>6.12233794997577</c:v>
                </c:pt>
                <c:pt idx="30">
                  <c:v>6.0621778264910713</c:v>
                </c:pt>
                <c:pt idx="31">
                  <c:v>6.0001711049147861</c:v>
                </c:pt>
                <c:pt idx="32">
                  <c:v>5.9363366730949814</c:v>
                </c:pt>
                <c:pt idx="33">
                  <c:v>5.8706939756179679</c:v>
                </c:pt>
                <c:pt idx="34">
                  <c:v>5.8032630078852918</c:v>
                </c:pt>
                <c:pt idx="35">
                  <c:v>5.7340643100229425</c:v>
                </c:pt>
                <c:pt idx="36">
                  <c:v>5.6631189606246322</c:v>
                </c:pt>
                <c:pt idx="37">
                  <c:v>5.5904485703310502</c:v>
                </c:pt>
                <c:pt idx="38">
                  <c:v>5.5160752752470534</c:v>
                </c:pt>
                <c:pt idx="39">
                  <c:v>5.4400217301987963</c:v>
                </c:pt>
                <c:pt idx="40">
                  <c:v>5.3623111018328462</c:v>
                </c:pt>
                <c:pt idx="41">
                  <c:v>5.282967061559404</c:v>
                </c:pt>
                <c:pt idx="42">
                  <c:v>5.2020137783417599</c:v>
                </c:pt>
                <c:pt idx="43">
                  <c:v>5.1194759113341934</c:v>
                </c:pt>
                <c:pt idx="44">
                  <c:v>5.0353786023705585</c:v>
                </c:pt>
                <c:pt idx="45">
                  <c:v>4.9497474683058327</c:v>
                </c:pt>
                <c:pt idx="46">
                  <c:v>4.8626085932129808</c:v>
                </c:pt>
                <c:pt idx="47">
                  <c:v>4.7739885204374897</c:v>
                </c:pt>
                <c:pt idx="48">
                  <c:v>4.6839142445120077</c:v>
                </c:pt>
                <c:pt idx="49">
                  <c:v>4.5924132029335514</c:v>
                </c:pt>
                <c:pt idx="50">
                  <c:v>4.4995132678057752</c:v>
                </c:pt>
                <c:pt idx="51">
                  <c:v>4.4052427373488623</c:v>
                </c:pt>
                <c:pt idx="52">
                  <c:v>4.3096303272796082</c:v>
                </c:pt>
                <c:pt idx="53">
                  <c:v>4.2127051620643385</c:v>
                </c:pt>
                <c:pt idx="54">
                  <c:v>4.1144967660473117</c:v>
                </c:pt>
                <c:pt idx="55">
                  <c:v>4.0150350544573232</c:v>
                </c:pt>
                <c:pt idx="56">
                  <c:v>3.9143503242952278</c:v>
                </c:pt>
                <c:pt idx="57">
                  <c:v>3.8124732451051897</c:v>
                </c:pt>
                <c:pt idx="58">
                  <c:v>3.7094348496324345</c:v>
                </c:pt>
                <c:pt idx="59">
                  <c:v>3.605266524370379</c:v>
                </c:pt>
                <c:pt idx="60">
                  <c:v>3.5000000000000009</c:v>
                </c:pt>
                <c:pt idx="61">
                  <c:v>3.3936673417243597</c:v>
                </c:pt>
                <c:pt idx="62">
                  <c:v>3.2863009395012361</c:v>
                </c:pt>
                <c:pt idx="63">
                  <c:v>3.1779334981768277</c:v>
                </c:pt>
                <c:pt idx="64">
                  <c:v>3.0685980275235423</c:v>
                </c:pt>
                <c:pt idx="65">
                  <c:v>2.9583278321848963</c:v>
                </c:pt>
                <c:pt idx="66">
                  <c:v>2.8471565015306015</c:v>
                </c:pt>
                <c:pt idx="67">
                  <c:v>2.7351178994249161</c:v>
                </c:pt>
                <c:pt idx="68">
                  <c:v>2.6222461539113837</c:v>
                </c:pt>
                <c:pt idx="69">
                  <c:v>2.5085756468171025</c:v>
                </c:pt>
                <c:pt idx="70">
                  <c:v>2.3941410032796817</c:v>
                </c:pt>
                <c:pt idx="71">
                  <c:v>2.2789770812000971</c:v>
                </c:pt>
                <c:pt idx="72">
                  <c:v>2.1631189606246322</c:v>
                </c:pt>
                <c:pt idx="73">
                  <c:v>2.0466019330591574</c:v>
                </c:pt>
                <c:pt idx="74">
                  <c:v>1.9294614907189942</c:v>
                </c:pt>
                <c:pt idx="75">
                  <c:v>1.8117333157176452</c:v>
                </c:pt>
                <c:pt idx="76">
                  <c:v>1.6934532691976738</c:v>
                </c:pt>
                <c:pt idx="77">
                  <c:v>1.5746573804070545</c:v>
                </c:pt>
                <c:pt idx="78">
                  <c:v>1.4553818357243162</c:v>
                </c:pt>
                <c:pt idx="79">
                  <c:v>1.3356629676358145</c:v>
                </c:pt>
                <c:pt idx="80">
                  <c:v>1.2155372436685128</c:v>
                </c:pt>
                <c:pt idx="81">
                  <c:v>1.0950412552816164</c:v>
                </c:pt>
                <c:pt idx="82">
                  <c:v>0.97421170672045831</c:v>
                </c:pt>
                <c:pt idx="83">
                  <c:v>0.85308540383603249</c:v>
                </c:pt>
                <c:pt idx="84">
                  <c:v>0.73169924287357424</c:v>
                </c:pt>
                <c:pt idx="85">
                  <c:v>0.61009019923360697</c:v>
                </c:pt>
                <c:pt idx="86">
                  <c:v>0.48829531620887662</c:v>
                </c:pt>
                <c:pt idx="87">
                  <c:v>0.36635169370060777</c:v>
                </c:pt>
                <c:pt idx="88">
                  <c:v>0.24429647691750755</c:v>
                </c:pt>
                <c:pt idx="89">
                  <c:v>0.12216684506098519</c:v>
                </c:pt>
                <c:pt idx="90">
                  <c:v>4.28801959218017E-16</c:v>
                </c:pt>
                <c:pt idx="91">
                  <c:v>-0.12216684506098434</c:v>
                </c:pt>
                <c:pt idx="92">
                  <c:v>-0.24429647691750669</c:v>
                </c:pt>
                <c:pt idx="93">
                  <c:v>-0.36635169370060688</c:v>
                </c:pt>
                <c:pt idx="94">
                  <c:v>-0.48829531620887734</c:v>
                </c:pt>
                <c:pt idx="95">
                  <c:v>-0.61009019923360763</c:v>
                </c:pt>
                <c:pt idx="96">
                  <c:v>-0.73169924287357491</c:v>
                </c:pt>
                <c:pt idx="97">
                  <c:v>-0.8530854038360316</c:v>
                </c:pt>
                <c:pt idx="98">
                  <c:v>-0.97421170672045743</c:v>
                </c:pt>
                <c:pt idx="99">
                  <c:v>-1.0950412552816158</c:v>
                </c:pt>
                <c:pt idx="100">
                  <c:v>-1.2155372436685121</c:v>
                </c:pt>
                <c:pt idx="101">
                  <c:v>-1.3356629676358136</c:v>
                </c:pt>
                <c:pt idx="102">
                  <c:v>-1.4553818357243153</c:v>
                </c:pt>
                <c:pt idx="103">
                  <c:v>-1.5746573804070552</c:v>
                </c:pt>
                <c:pt idx="104">
                  <c:v>-1.6934532691976745</c:v>
                </c:pt>
                <c:pt idx="105">
                  <c:v>-1.8117333157176461</c:v>
                </c:pt>
                <c:pt idx="106">
                  <c:v>-1.9294614907189933</c:v>
                </c:pt>
                <c:pt idx="107">
                  <c:v>-2.0466019330591565</c:v>
                </c:pt>
                <c:pt idx="108">
                  <c:v>-2.1631189606246313</c:v>
                </c:pt>
                <c:pt idx="109">
                  <c:v>-2.2789770812000967</c:v>
                </c:pt>
                <c:pt idx="110">
                  <c:v>-2.3941410032796808</c:v>
                </c:pt>
                <c:pt idx="111">
                  <c:v>-2.5085756468171017</c:v>
                </c:pt>
                <c:pt idx="112">
                  <c:v>-2.6222461539113846</c:v>
                </c:pt>
                <c:pt idx="113">
                  <c:v>-2.7351178994249166</c:v>
                </c:pt>
                <c:pt idx="114">
                  <c:v>-2.847156501530602</c:v>
                </c:pt>
                <c:pt idx="115">
                  <c:v>-2.9583278321848954</c:v>
                </c:pt>
                <c:pt idx="116">
                  <c:v>-3.0685980275235427</c:v>
                </c:pt>
                <c:pt idx="117">
                  <c:v>-3.1779334981768268</c:v>
                </c:pt>
                <c:pt idx="118">
                  <c:v>-3.2863009395012366</c:v>
                </c:pt>
                <c:pt idx="119">
                  <c:v>-3.3936673417243588</c:v>
                </c:pt>
                <c:pt idx="120">
                  <c:v>-3.4999999999999982</c:v>
                </c:pt>
                <c:pt idx="121">
                  <c:v>-3.6052665243703799</c:v>
                </c:pt>
                <c:pt idx="122">
                  <c:v>-3.7094348496324336</c:v>
                </c:pt>
                <c:pt idx="123">
                  <c:v>-3.8124732451051897</c:v>
                </c:pt>
                <c:pt idx="124">
                  <c:v>-3.9143503242952269</c:v>
                </c:pt>
                <c:pt idx="125">
                  <c:v>-4.0150350544573232</c:v>
                </c:pt>
                <c:pt idx="126">
                  <c:v>-4.1144967660473108</c:v>
                </c:pt>
                <c:pt idx="127">
                  <c:v>-4.2127051620643385</c:v>
                </c:pt>
                <c:pt idx="128">
                  <c:v>-4.3096303272796082</c:v>
                </c:pt>
                <c:pt idx="129">
                  <c:v>-4.4052427373488605</c:v>
                </c:pt>
                <c:pt idx="130">
                  <c:v>-4.4995132678057752</c:v>
                </c:pt>
                <c:pt idx="131">
                  <c:v>-4.5924132029335505</c:v>
                </c:pt>
                <c:pt idx="132">
                  <c:v>-4.6839142445120077</c:v>
                </c:pt>
                <c:pt idx="133">
                  <c:v>-4.7739885204374888</c:v>
                </c:pt>
                <c:pt idx="134">
                  <c:v>-4.8626085932129817</c:v>
                </c:pt>
                <c:pt idx="135">
                  <c:v>-4.9497474683058318</c:v>
                </c:pt>
                <c:pt idx="136">
                  <c:v>-5.0353786023705585</c:v>
                </c:pt>
                <c:pt idx="137">
                  <c:v>-5.1194759113341934</c:v>
                </c:pt>
                <c:pt idx="138">
                  <c:v>-5.2020137783417582</c:v>
                </c:pt>
                <c:pt idx="139">
                  <c:v>-5.282967061559404</c:v>
                </c:pt>
                <c:pt idx="140">
                  <c:v>-5.3623111018328453</c:v>
                </c:pt>
                <c:pt idx="141">
                  <c:v>-5.4400217301987963</c:v>
                </c:pt>
                <c:pt idx="142">
                  <c:v>-5.5160752752470534</c:v>
                </c:pt>
                <c:pt idx="143">
                  <c:v>-5.5904485703310502</c:v>
                </c:pt>
                <c:pt idx="144">
                  <c:v>-5.6631189606246313</c:v>
                </c:pt>
                <c:pt idx="145">
                  <c:v>-5.7340643100229434</c:v>
                </c:pt>
                <c:pt idx="146">
                  <c:v>-5.8032630078852918</c:v>
                </c:pt>
                <c:pt idx="147">
                  <c:v>-5.8706939756179679</c:v>
                </c:pt>
                <c:pt idx="148">
                  <c:v>-5.9363366730949814</c:v>
                </c:pt>
                <c:pt idx="149">
                  <c:v>-6.0001711049147852</c:v>
                </c:pt>
                <c:pt idx="150">
                  <c:v>-6.0621778264910713</c:v>
                </c:pt>
                <c:pt idx="151">
                  <c:v>-6.12233794997577</c:v>
                </c:pt>
                <c:pt idx="152">
                  <c:v>-6.1806331500124889</c:v>
                </c:pt>
                <c:pt idx="153">
                  <c:v>-6.2370456693185741</c:v>
                </c:pt>
                <c:pt idx="154">
                  <c:v>-6.2915583240941695</c:v>
                </c:pt>
                <c:pt idx="155">
                  <c:v>-6.3441545092565494</c:v>
                </c:pt>
                <c:pt idx="156">
                  <c:v>-6.3948182034982057</c:v>
                </c:pt>
                <c:pt idx="157">
                  <c:v>-6.4435339741670825</c:v>
                </c:pt>
                <c:pt idx="158">
                  <c:v>-6.4902869819675111</c:v>
                </c:pt>
                <c:pt idx="159">
                  <c:v>-6.5350629854804119</c:v>
                </c:pt>
                <c:pt idx="160">
                  <c:v>-6.5778483455013586</c:v>
                </c:pt>
                <c:pt idx="161">
                  <c:v>-6.6186300291952183</c:v>
                </c:pt>
                <c:pt idx="162">
                  <c:v>-6.6573956140660746</c:v>
                </c:pt>
                <c:pt idx="163">
                  <c:v>-6.6941332917412488</c:v>
                </c:pt>
                <c:pt idx="164">
                  <c:v>-6.7288318715682323</c:v>
                </c:pt>
                <c:pt idx="165">
                  <c:v>-6.7614807840234779</c:v>
                </c:pt>
                <c:pt idx="166">
                  <c:v>-6.792070083931975</c:v>
                </c:pt>
                <c:pt idx="167">
                  <c:v>-6.8205904534966457</c:v>
                </c:pt>
                <c:pt idx="168">
                  <c:v>-6.8470332051366398</c:v>
                </c:pt>
                <c:pt idx="169">
                  <c:v>-6.8713902841336481</c:v>
                </c:pt>
                <c:pt idx="170">
                  <c:v>-6.893654271085456</c:v>
                </c:pt>
                <c:pt idx="171">
                  <c:v>-6.9138183841659639</c:v>
                </c:pt>
                <c:pt idx="172">
                  <c:v>-6.9318764811909928</c:v>
                </c:pt>
                <c:pt idx="173">
                  <c:v>-6.9478230614892542</c:v>
                </c:pt>
                <c:pt idx="174">
                  <c:v>-6.9616532675779128</c:v>
                </c:pt>
                <c:pt idx="175">
                  <c:v>-6.973362886642219</c:v>
                </c:pt>
                <c:pt idx="176">
                  <c:v>-6.9829483518187692</c:v>
                </c:pt>
                <c:pt idx="177">
                  <c:v>-6.9904067432820165</c:v>
                </c:pt>
                <c:pt idx="178">
                  <c:v>-6.9957357891336702</c:v>
                </c:pt>
                <c:pt idx="179">
                  <c:v>-6.9989338660947391</c:v>
                </c:pt>
                <c:pt idx="180">
                  <c:v>-7</c:v>
                </c:pt>
                <c:pt idx="181">
                  <c:v>-6.9989338660947391</c:v>
                </c:pt>
                <c:pt idx="182">
                  <c:v>-6.9957357891336702</c:v>
                </c:pt>
                <c:pt idx="183">
                  <c:v>-6.9904067432820165</c:v>
                </c:pt>
                <c:pt idx="184">
                  <c:v>-6.9829483518187692</c:v>
                </c:pt>
                <c:pt idx="185">
                  <c:v>-6.973362886642219</c:v>
                </c:pt>
                <c:pt idx="186">
                  <c:v>-6.9616532675779128</c:v>
                </c:pt>
                <c:pt idx="187">
                  <c:v>-6.9478230614892542</c:v>
                </c:pt>
                <c:pt idx="188">
                  <c:v>-6.9318764811909919</c:v>
                </c:pt>
                <c:pt idx="189">
                  <c:v>-6.9138183841659639</c:v>
                </c:pt>
                <c:pt idx="190">
                  <c:v>-6.893654271085456</c:v>
                </c:pt>
                <c:pt idx="191">
                  <c:v>-6.8713902841336481</c:v>
                </c:pt>
                <c:pt idx="192">
                  <c:v>-6.8470332051366389</c:v>
                </c:pt>
                <c:pt idx="193">
                  <c:v>-6.8205904534966466</c:v>
                </c:pt>
                <c:pt idx="194">
                  <c:v>-6.792070083931975</c:v>
                </c:pt>
                <c:pt idx="195">
                  <c:v>-6.7614807840234779</c:v>
                </c:pt>
                <c:pt idx="196">
                  <c:v>-6.7288318715682323</c:v>
                </c:pt>
                <c:pt idx="197">
                  <c:v>-6.6941332917412479</c:v>
                </c:pt>
                <c:pt idx="198">
                  <c:v>-6.6573956140660755</c:v>
                </c:pt>
                <c:pt idx="199">
                  <c:v>-6.6186300291952174</c:v>
                </c:pt>
                <c:pt idx="200">
                  <c:v>-6.5778483455013586</c:v>
                </c:pt>
                <c:pt idx="201">
                  <c:v>-6.5350629854804119</c:v>
                </c:pt>
                <c:pt idx="202">
                  <c:v>-6.490286981967512</c:v>
                </c:pt>
                <c:pt idx="203">
                  <c:v>-6.4435339741670825</c:v>
                </c:pt>
                <c:pt idx="204">
                  <c:v>-6.3948182034982057</c:v>
                </c:pt>
                <c:pt idx="205">
                  <c:v>-6.3441545092565503</c:v>
                </c:pt>
                <c:pt idx="206">
                  <c:v>-6.2915583240941686</c:v>
                </c:pt>
                <c:pt idx="207">
                  <c:v>-6.237045669318575</c:v>
                </c:pt>
                <c:pt idx="208">
                  <c:v>-6.180633150012488</c:v>
                </c:pt>
                <c:pt idx="209">
                  <c:v>-6.1223379499757709</c:v>
                </c:pt>
                <c:pt idx="210">
                  <c:v>-6.0621778264910704</c:v>
                </c:pt>
                <c:pt idx="211">
                  <c:v>-6.0001711049147861</c:v>
                </c:pt>
                <c:pt idx="212">
                  <c:v>-5.9363366730949823</c:v>
                </c:pt>
                <c:pt idx="213">
                  <c:v>-5.8706939756179679</c:v>
                </c:pt>
                <c:pt idx="214">
                  <c:v>-5.8032630078852927</c:v>
                </c:pt>
                <c:pt idx="215">
                  <c:v>-5.7340643100229425</c:v>
                </c:pt>
                <c:pt idx="216">
                  <c:v>-5.663118960624633</c:v>
                </c:pt>
                <c:pt idx="217">
                  <c:v>-5.5904485703310502</c:v>
                </c:pt>
                <c:pt idx="218">
                  <c:v>-5.5160752752470543</c:v>
                </c:pt>
                <c:pt idx="219">
                  <c:v>-5.4400217301987954</c:v>
                </c:pt>
                <c:pt idx="220">
                  <c:v>-5.3623111018328462</c:v>
                </c:pt>
                <c:pt idx="221">
                  <c:v>-5.2829670615594049</c:v>
                </c:pt>
                <c:pt idx="222">
                  <c:v>-5.2020137783417599</c:v>
                </c:pt>
                <c:pt idx="223">
                  <c:v>-5.1194759113341943</c:v>
                </c:pt>
                <c:pt idx="224">
                  <c:v>-5.0353786023705576</c:v>
                </c:pt>
                <c:pt idx="225">
                  <c:v>-4.9497474683058336</c:v>
                </c:pt>
                <c:pt idx="226">
                  <c:v>-4.8626085932129808</c:v>
                </c:pt>
                <c:pt idx="227">
                  <c:v>-4.7739885204374897</c:v>
                </c:pt>
                <c:pt idx="228">
                  <c:v>-4.6839142445120068</c:v>
                </c:pt>
                <c:pt idx="229">
                  <c:v>-4.5924132029335514</c:v>
                </c:pt>
                <c:pt idx="230">
                  <c:v>-4.4995132678057761</c:v>
                </c:pt>
                <c:pt idx="231">
                  <c:v>-4.405242737348865</c:v>
                </c:pt>
                <c:pt idx="232">
                  <c:v>-4.3096303272796064</c:v>
                </c:pt>
                <c:pt idx="233">
                  <c:v>-4.2127051620643376</c:v>
                </c:pt>
                <c:pt idx="234">
                  <c:v>-4.1144967660473126</c:v>
                </c:pt>
                <c:pt idx="235">
                  <c:v>-4.015035054457325</c:v>
                </c:pt>
                <c:pt idx="236">
                  <c:v>-3.914350324295226</c:v>
                </c:pt>
                <c:pt idx="237">
                  <c:v>-3.8124732451051888</c:v>
                </c:pt>
                <c:pt idx="238">
                  <c:v>-3.709434849632435</c:v>
                </c:pt>
                <c:pt idx="239">
                  <c:v>-3.6052665243703812</c:v>
                </c:pt>
                <c:pt idx="240">
                  <c:v>-3.5000000000000031</c:v>
                </c:pt>
                <c:pt idx="241">
                  <c:v>-3.3936673417243579</c:v>
                </c:pt>
                <c:pt idx="242">
                  <c:v>-3.2863009395012353</c:v>
                </c:pt>
                <c:pt idx="243">
                  <c:v>-3.1779334981768286</c:v>
                </c:pt>
                <c:pt idx="244">
                  <c:v>-3.068598027523544</c:v>
                </c:pt>
                <c:pt idx="245">
                  <c:v>-2.958327832184894</c:v>
                </c:pt>
                <c:pt idx="246">
                  <c:v>-2.8471565015306006</c:v>
                </c:pt>
                <c:pt idx="247">
                  <c:v>-2.7351178994249166</c:v>
                </c:pt>
                <c:pt idx="248">
                  <c:v>-2.6222461539113859</c:v>
                </c:pt>
                <c:pt idx="249">
                  <c:v>-2.5085756468171052</c:v>
                </c:pt>
                <c:pt idx="250">
                  <c:v>-2.3941410032796799</c:v>
                </c:pt>
                <c:pt idx="251">
                  <c:v>-2.2789770812000967</c:v>
                </c:pt>
                <c:pt idx="252">
                  <c:v>-2.163118960624633</c:v>
                </c:pt>
                <c:pt idx="253">
                  <c:v>-2.0466019330591596</c:v>
                </c:pt>
                <c:pt idx="254">
                  <c:v>-1.9294614907189922</c:v>
                </c:pt>
                <c:pt idx="255">
                  <c:v>-1.8117333157176443</c:v>
                </c:pt>
                <c:pt idx="256">
                  <c:v>-1.6934532691976745</c:v>
                </c:pt>
                <c:pt idx="257">
                  <c:v>-1.5746573804070567</c:v>
                </c:pt>
                <c:pt idx="258">
                  <c:v>-1.4553818357243185</c:v>
                </c:pt>
                <c:pt idx="259">
                  <c:v>-1.3356629676358123</c:v>
                </c:pt>
                <c:pt idx="260">
                  <c:v>-1.2155372436685123</c:v>
                </c:pt>
                <c:pt idx="261">
                  <c:v>-1.0950412552816173</c:v>
                </c:pt>
                <c:pt idx="262">
                  <c:v>-0.97421170672046076</c:v>
                </c:pt>
                <c:pt idx="263">
                  <c:v>-0.85308540383603015</c:v>
                </c:pt>
                <c:pt idx="264">
                  <c:v>-0.73169924287357357</c:v>
                </c:pt>
                <c:pt idx="265">
                  <c:v>-0.61009019923360774</c:v>
                </c:pt>
                <c:pt idx="266">
                  <c:v>-0.48829531620887906</c:v>
                </c:pt>
                <c:pt idx="267">
                  <c:v>-0.36635169370061016</c:v>
                </c:pt>
                <c:pt idx="268">
                  <c:v>-0.24429647691750533</c:v>
                </c:pt>
                <c:pt idx="269">
                  <c:v>-0.12216684506098449</c:v>
                </c:pt>
                <c:pt idx="270">
                  <c:v>-1.286405877654051E-15</c:v>
                </c:pt>
                <c:pt idx="271">
                  <c:v>0.12216684506098191</c:v>
                </c:pt>
                <c:pt idx="272">
                  <c:v>0.24429647691750897</c:v>
                </c:pt>
                <c:pt idx="273">
                  <c:v>0.36635169370060761</c:v>
                </c:pt>
                <c:pt idx="274">
                  <c:v>0.48829531620887656</c:v>
                </c:pt>
                <c:pt idx="275">
                  <c:v>0.61009019923360519</c:v>
                </c:pt>
                <c:pt idx="276">
                  <c:v>0.73169924287357091</c:v>
                </c:pt>
                <c:pt idx="277">
                  <c:v>0.85308540383603382</c:v>
                </c:pt>
                <c:pt idx="278">
                  <c:v>0.97421170672045831</c:v>
                </c:pt>
                <c:pt idx="279">
                  <c:v>1.0950412552816147</c:v>
                </c:pt>
                <c:pt idx="280">
                  <c:v>1.2155372436685097</c:v>
                </c:pt>
                <c:pt idx="281">
                  <c:v>1.3356629676358158</c:v>
                </c:pt>
                <c:pt idx="282">
                  <c:v>1.455381835724316</c:v>
                </c:pt>
                <c:pt idx="283">
                  <c:v>1.5746573804070545</c:v>
                </c:pt>
                <c:pt idx="284">
                  <c:v>1.6934532691976723</c:v>
                </c:pt>
                <c:pt idx="285">
                  <c:v>1.8117333157176421</c:v>
                </c:pt>
                <c:pt idx="286">
                  <c:v>1.9294614907189958</c:v>
                </c:pt>
                <c:pt idx="287">
                  <c:v>2.0466019330591569</c:v>
                </c:pt>
                <c:pt idx="288">
                  <c:v>2.1631189606246304</c:v>
                </c:pt>
                <c:pt idx="289">
                  <c:v>2.278977081200094</c:v>
                </c:pt>
                <c:pt idx="290">
                  <c:v>2.394141003279683</c:v>
                </c:pt>
                <c:pt idx="291">
                  <c:v>2.5085756468171025</c:v>
                </c:pt>
                <c:pt idx="292">
                  <c:v>2.6222461539113837</c:v>
                </c:pt>
                <c:pt idx="293">
                  <c:v>2.7351178994249143</c:v>
                </c:pt>
                <c:pt idx="294">
                  <c:v>2.8471565015305984</c:v>
                </c:pt>
                <c:pt idx="295">
                  <c:v>2.9583278321848971</c:v>
                </c:pt>
                <c:pt idx="296">
                  <c:v>3.0685980275235418</c:v>
                </c:pt>
                <c:pt idx="297">
                  <c:v>3.1779334981768264</c:v>
                </c:pt>
                <c:pt idx="298">
                  <c:v>3.286300939501233</c:v>
                </c:pt>
                <c:pt idx="299">
                  <c:v>3.393667341724361</c:v>
                </c:pt>
                <c:pt idx="300">
                  <c:v>3.5000000000000009</c:v>
                </c:pt>
                <c:pt idx="301">
                  <c:v>3.605266524370379</c:v>
                </c:pt>
                <c:pt idx="302">
                  <c:v>3.7094348496324328</c:v>
                </c:pt>
                <c:pt idx="303">
                  <c:v>3.8124732451051866</c:v>
                </c:pt>
                <c:pt idx="304">
                  <c:v>3.9143503242952291</c:v>
                </c:pt>
                <c:pt idx="305">
                  <c:v>4.0150350544573223</c:v>
                </c:pt>
                <c:pt idx="306">
                  <c:v>4.11449676604731</c:v>
                </c:pt>
                <c:pt idx="307">
                  <c:v>4.2127051620643359</c:v>
                </c:pt>
                <c:pt idx="308">
                  <c:v>4.3096303272796099</c:v>
                </c:pt>
                <c:pt idx="309">
                  <c:v>4.4052427373488623</c:v>
                </c:pt>
                <c:pt idx="310">
                  <c:v>4.4995132678057743</c:v>
                </c:pt>
                <c:pt idx="311">
                  <c:v>4.5924132029335496</c:v>
                </c:pt>
                <c:pt idx="312">
                  <c:v>4.683914244512005</c:v>
                </c:pt>
                <c:pt idx="313">
                  <c:v>4.7739885204374897</c:v>
                </c:pt>
                <c:pt idx="314">
                  <c:v>4.8626085932129808</c:v>
                </c:pt>
                <c:pt idx="315">
                  <c:v>4.9497474683058318</c:v>
                </c:pt>
                <c:pt idx="316">
                  <c:v>5.0353786023705558</c:v>
                </c:pt>
                <c:pt idx="317">
                  <c:v>5.1194759113341952</c:v>
                </c:pt>
                <c:pt idx="318">
                  <c:v>5.2020137783417599</c:v>
                </c:pt>
                <c:pt idx="319">
                  <c:v>5.2829670615594031</c:v>
                </c:pt>
                <c:pt idx="320">
                  <c:v>5.3623111018328444</c:v>
                </c:pt>
                <c:pt idx="321">
                  <c:v>5.4400217301987936</c:v>
                </c:pt>
                <c:pt idx="322">
                  <c:v>5.5160752752470543</c:v>
                </c:pt>
                <c:pt idx="323">
                  <c:v>5.5904485703310502</c:v>
                </c:pt>
                <c:pt idx="324">
                  <c:v>5.6631189606246313</c:v>
                </c:pt>
                <c:pt idx="325">
                  <c:v>5.7340643100229407</c:v>
                </c:pt>
                <c:pt idx="326">
                  <c:v>5.8032630078852927</c:v>
                </c:pt>
                <c:pt idx="327">
                  <c:v>5.8706939756179679</c:v>
                </c:pt>
                <c:pt idx="328">
                  <c:v>5.9363366730949814</c:v>
                </c:pt>
                <c:pt idx="329">
                  <c:v>6.0001711049147843</c:v>
                </c:pt>
                <c:pt idx="330">
                  <c:v>6.0621778264910686</c:v>
                </c:pt>
                <c:pt idx="331">
                  <c:v>6.1223379499757709</c:v>
                </c:pt>
                <c:pt idx="332">
                  <c:v>6.180633150012488</c:v>
                </c:pt>
                <c:pt idx="333">
                  <c:v>6.2370456693185741</c:v>
                </c:pt>
                <c:pt idx="334">
                  <c:v>6.2915583240941677</c:v>
                </c:pt>
                <c:pt idx="335">
                  <c:v>6.3441545092565503</c:v>
                </c:pt>
                <c:pt idx="336">
                  <c:v>6.3948182034982066</c:v>
                </c:pt>
                <c:pt idx="337">
                  <c:v>6.4435339741670816</c:v>
                </c:pt>
                <c:pt idx="338">
                  <c:v>6.4902869819675111</c:v>
                </c:pt>
                <c:pt idx="339">
                  <c:v>6.535062985480411</c:v>
                </c:pt>
                <c:pt idx="340">
                  <c:v>6.5778483455013586</c:v>
                </c:pt>
                <c:pt idx="341">
                  <c:v>6.6186300291952183</c:v>
                </c:pt>
                <c:pt idx="342">
                  <c:v>6.6573956140660746</c:v>
                </c:pt>
                <c:pt idx="343">
                  <c:v>6.694133291741247</c:v>
                </c:pt>
                <c:pt idx="344">
                  <c:v>6.7288318715682323</c:v>
                </c:pt>
                <c:pt idx="345">
                  <c:v>6.7614807840234779</c:v>
                </c:pt>
                <c:pt idx="346">
                  <c:v>6.792070083931975</c:v>
                </c:pt>
                <c:pt idx="347">
                  <c:v>6.8205904534966457</c:v>
                </c:pt>
                <c:pt idx="348">
                  <c:v>6.8470332051366389</c:v>
                </c:pt>
                <c:pt idx="349">
                  <c:v>6.8713902841336481</c:v>
                </c:pt>
                <c:pt idx="350">
                  <c:v>6.893654271085456</c:v>
                </c:pt>
                <c:pt idx="351">
                  <c:v>6.9138183841659639</c:v>
                </c:pt>
                <c:pt idx="352">
                  <c:v>6.9318764811909919</c:v>
                </c:pt>
                <c:pt idx="353">
                  <c:v>6.9478230614892542</c:v>
                </c:pt>
                <c:pt idx="354">
                  <c:v>6.9616532675779128</c:v>
                </c:pt>
                <c:pt idx="355">
                  <c:v>6.973362886642219</c:v>
                </c:pt>
                <c:pt idx="356">
                  <c:v>6.9829483518187692</c:v>
                </c:pt>
                <c:pt idx="357">
                  <c:v>6.9904067432820165</c:v>
                </c:pt>
                <c:pt idx="358">
                  <c:v>6.9957357891336702</c:v>
                </c:pt>
                <c:pt idx="359">
                  <c:v>6.9989338660947391</c:v>
                </c:pt>
                <c:pt idx="360">
                  <c:v>7</c:v>
                </c:pt>
              </c:numCache>
            </c:numRef>
          </c:xVal>
          <c:yVal>
            <c:numRef>
              <c:f>Thales!$D$26:$D$386</c:f>
              <c:numCache>
                <c:formatCode>General</c:formatCode>
                <c:ptCount val="361"/>
                <c:pt idx="0">
                  <c:v>0</c:v>
                </c:pt>
                <c:pt idx="1">
                  <c:v>0.12216684506098457</c:v>
                </c:pt>
                <c:pt idx="2">
                  <c:v>0.24429647691750678</c:v>
                </c:pt>
                <c:pt idx="3">
                  <c:v>0.36635169370060683</c:v>
                </c:pt>
                <c:pt idx="4">
                  <c:v>0.48829531620887712</c:v>
                </c:pt>
                <c:pt idx="5">
                  <c:v>0.61009019923360719</c:v>
                </c:pt>
                <c:pt idx="6">
                  <c:v>0.73169924287357424</c:v>
                </c:pt>
                <c:pt idx="7">
                  <c:v>0.85308540383603237</c:v>
                </c:pt>
                <c:pt idx="8">
                  <c:v>0.97421170672045809</c:v>
                </c:pt>
                <c:pt idx="9">
                  <c:v>1.095041255281616</c:v>
                </c:pt>
                <c:pt idx="10">
                  <c:v>1.2155372436685123</c:v>
                </c:pt>
                <c:pt idx="11">
                  <c:v>1.3356629676358136</c:v>
                </c:pt>
                <c:pt idx="12">
                  <c:v>1.4553818357243153</c:v>
                </c:pt>
                <c:pt idx="13">
                  <c:v>1.5746573804070549</c:v>
                </c:pt>
                <c:pt idx="14">
                  <c:v>1.693453269197674</c:v>
                </c:pt>
                <c:pt idx="15">
                  <c:v>1.8117333157176452</c:v>
                </c:pt>
                <c:pt idx="16">
                  <c:v>1.9294614907189942</c:v>
                </c:pt>
                <c:pt idx="17">
                  <c:v>2.0466019330591574</c:v>
                </c:pt>
                <c:pt idx="18">
                  <c:v>2.1631189606246317</c:v>
                </c:pt>
                <c:pt idx="19">
                  <c:v>2.2789770812000967</c:v>
                </c:pt>
                <c:pt idx="20">
                  <c:v>2.3941410032796808</c:v>
                </c:pt>
                <c:pt idx="21">
                  <c:v>2.5085756468171017</c:v>
                </c:pt>
                <c:pt idx="22">
                  <c:v>2.6222461539113842</c:v>
                </c:pt>
                <c:pt idx="23">
                  <c:v>2.7351178994249166</c:v>
                </c:pt>
                <c:pt idx="24">
                  <c:v>2.8471565015306015</c:v>
                </c:pt>
                <c:pt idx="25">
                  <c:v>2.9583278321848963</c:v>
                </c:pt>
                <c:pt idx="26">
                  <c:v>3.0685980275235418</c:v>
                </c:pt>
                <c:pt idx="27">
                  <c:v>3.1779334981768272</c:v>
                </c:pt>
                <c:pt idx="28">
                  <c:v>3.2863009395012357</c:v>
                </c:pt>
                <c:pt idx="29">
                  <c:v>3.3936673417243592</c:v>
                </c:pt>
                <c:pt idx="30">
                  <c:v>3.4999999999999996</c:v>
                </c:pt>
                <c:pt idx="31">
                  <c:v>3.605266524370379</c:v>
                </c:pt>
                <c:pt idx="32">
                  <c:v>3.7094348496324345</c:v>
                </c:pt>
                <c:pt idx="33">
                  <c:v>3.8124732451051897</c:v>
                </c:pt>
                <c:pt idx="34">
                  <c:v>3.9143503242952282</c:v>
                </c:pt>
                <c:pt idx="35">
                  <c:v>4.0150350544573223</c:v>
                </c:pt>
                <c:pt idx="36">
                  <c:v>4.1144967660473117</c:v>
                </c:pt>
                <c:pt idx="37">
                  <c:v>4.2127051620643376</c:v>
                </c:pt>
                <c:pt idx="38">
                  <c:v>4.3096303272796082</c:v>
                </c:pt>
                <c:pt idx="39">
                  <c:v>4.4052427373488614</c:v>
                </c:pt>
                <c:pt idx="40">
                  <c:v>4.4995132678057743</c:v>
                </c:pt>
                <c:pt idx="41">
                  <c:v>4.5924132029335514</c:v>
                </c:pt>
                <c:pt idx="42">
                  <c:v>4.6839142445120077</c:v>
                </c:pt>
                <c:pt idx="43">
                  <c:v>4.7739885204374897</c:v>
                </c:pt>
                <c:pt idx="44">
                  <c:v>4.8626085932129808</c:v>
                </c:pt>
                <c:pt idx="45">
                  <c:v>4.9497474683058318</c:v>
                </c:pt>
                <c:pt idx="46">
                  <c:v>5.0353786023705576</c:v>
                </c:pt>
                <c:pt idx="47">
                  <c:v>5.1194759113341934</c:v>
                </c:pt>
                <c:pt idx="48">
                  <c:v>5.2020137783417599</c:v>
                </c:pt>
                <c:pt idx="49">
                  <c:v>5.282967061559404</c:v>
                </c:pt>
                <c:pt idx="50">
                  <c:v>5.3623111018328462</c:v>
                </c:pt>
                <c:pt idx="51">
                  <c:v>5.4400217301987963</c:v>
                </c:pt>
                <c:pt idx="52">
                  <c:v>5.5160752752470543</c:v>
                </c:pt>
                <c:pt idx="53">
                  <c:v>5.5904485703310502</c:v>
                </c:pt>
                <c:pt idx="54">
                  <c:v>5.6631189606246322</c:v>
                </c:pt>
                <c:pt idx="55">
                  <c:v>5.7340643100229425</c:v>
                </c:pt>
                <c:pt idx="56">
                  <c:v>5.8032630078852918</c:v>
                </c:pt>
                <c:pt idx="57">
                  <c:v>5.8706939756179679</c:v>
                </c:pt>
                <c:pt idx="58">
                  <c:v>5.9363366730949814</c:v>
                </c:pt>
                <c:pt idx="59">
                  <c:v>6.0001711049147861</c:v>
                </c:pt>
                <c:pt idx="60">
                  <c:v>6.0621778264910704</c:v>
                </c:pt>
                <c:pt idx="61">
                  <c:v>6.12233794997577</c:v>
                </c:pt>
                <c:pt idx="62">
                  <c:v>6.180633150012488</c:v>
                </c:pt>
                <c:pt idx="63">
                  <c:v>6.2370456693185741</c:v>
                </c:pt>
                <c:pt idx="64">
                  <c:v>6.2915583240941695</c:v>
                </c:pt>
                <c:pt idx="65">
                  <c:v>6.3441545092565494</c:v>
                </c:pt>
                <c:pt idx="66">
                  <c:v>6.3948182034982057</c:v>
                </c:pt>
                <c:pt idx="67">
                  <c:v>6.4435339741670825</c:v>
                </c:pt>
                <c:pt idx="68">
                  <c:v>6.490286981967512</c:v>
                </c:pt>
                <c:pt idx="69">
                  <c:v>6.5350629854804119</c:v>
                </c:pt>
                <c:pt idx="70">
                  <c:v>6.5778483455013586</c:v>
                </c:pt>
                <c:pt idx="71">
                  <c:v>6.6186300291952174</c:v>
                </c:pt>
                <c:pt idx="72">
                  <c:v>6.6573956140660746</c:v>
                </c:pt>
                <c:pt idx="73">
                  <c:v>6.6941332917412479</c:v>
                </c:pt>
                <c:pt idx="74">
                  <c:v>6.7288318715682323</c:v>
                </c:pt>
                <c:pt idx="75">
                  <c:v>6.7614807840234779</c:v>
                </c:pt>
                <c:pt idx="76">
                  <c:v>6.792070083931975</c:v>
                </c:pt>
                <c:pt idx="77">
                  <c:v>6.8205904534966466</c:v>
                </c:pt>
                <c:pt idx="78">
                  <c:v>6.8470332051366389</c:v>
                </c:pt>
                <c:pt idx="79">
                  <c:v>6.8713902841336481</c:v>
                </c:pt>
                <c:pt idx="80">
                  <c:v>6.893654271085456</c:v>
                </c:pt>
                <c:pt idx="81">
                  <c:v>6.9138183841659639</c:v>
                </c:pt>
                <c:pt idx="82">
                  <c:v>6.9318764811909928</c:v>
                </c:pt>
                <c:pt idx="83">
                  <c:v>6.9478230614892542</c:v>
                </c:pt>
                <c:pt idx="84">
                  <c:v>6.9616532675779128</c:v>
                </c:pt>
                <c:pt idx="85">
                  <c:v>6.973362886642219</c:v>
                </c:pt>
                <c:pt idx="86">
                  <c:v>6.9829483518187692</c:v>
                </c:pt>
                <c:pt idx="87">
                  <c:v>6.9904067432820165</c:v>
                </c:pt>
                <c:pt idx="88">
                  <c:v>6.9957357891336702</c:v>
                </c:pt>
                <c:pt idx="89">
                  <c:v>6.9989338660947391</c:v>
                </c:pt>
                <c:pt idx="90">
                  <c:v>7</c:v>
                </c:pt>
                <c:pt idx="91">
                  <c:v>6.9989338660947391</c:v>
                </c:pt>
                <c:pt idx="92">
                  <c:v>6.9957357891336702</c:v>
                </c:pt>
                <c:pt idx="93">
                  <c:v>6.9904067432820165</c:v>
                </c:pt>
                <c:pt idx="94">
                  <c:v>6.9829483518187692</c:v>
                </c:pt>
                <c:pt idx="95">
                  <c:v>6.973362886642219</c:v>
                </c:pt>
                <c:pt idx="96">
                  <c:v>6.9616532675779128</c:v>
                </c:pt>
                <c:pt idx="97">
                  <c:v>6.9478230614892542</c:v>
                </c:pt>
                <c:pt idx="98">
                  <c:v>6.9318764811909928</c:v>
                </c:pt>
                <c:pt idx="99">
                  <c:v>6.9138183841659639</c:v>
                </c:pt>
                <c:pt idx="100">
                  <c:v>6.893654271085456</c:v>
                </c:pt>
                <c:pt idx="101">
                  <c:v>6.8713902841336481</c:v>
                </c:pt>
                <c:pt idx="102">
                  <c:v>6.8470332051366398</c:v>
                </c:pt>
                <c:pt idx="103">
                  <c:v>6.8205904534966466</c:v>
                </c:pt>
                <c:pt idx="104">
                  <c:v>6.792070083931975</c:v>
                </c:pt>
                <c:pt idx="105">
                  <c:v>6.7614807840234779</c:v>
                </c:pt>
                <c:pt idx="106">
                  <c:v>6.7288318715682323</c:v>
                </c:pt>
                <c:pt idx="107">
                  <c:v>6.6941332917412488</c:v>
                </c:pt>
                <c:pt idx="108">
                  <c:v>6.6573956140660755</c:v>
                </c:pt>
                <c:pt idx="109">
                  <c:v>6.6186300291952183</c:v>
                </c:pt>
                <c:pt idx="110">
                  <c:v>6.5778483455013586</c:v>
                </c:pt>
                <c:pt idx="111">
                  <c:v>6.5350629854804119</c:v>
                </c:pt>
                <c:pt idx="112">
                  <c:v>6.490286981967512</c:v>
                </c:pt>
                <c:pt idx="113">
                  <c:v>6.4435339741670816</c:v>
                </c:pt>
                <c:pt idx="114">
                  <c:v>6.3948182034982057</c:v>
                </c:pt>
                <c:pt idx="115">
                  <c:v>6.3441545092565503</c:v>
                </c:pt>
                <c:pt idx="116">
                  <c:v>6.2915583240941686</c:v>
                </c:pt>
                <c:pt idx="117">
                  <c:v>6.237045669318575</c:v>
                </c:pt>
                <c:pt idx="118">
                  <c:v>6.180633150012488</c:v>
                </c:pt>
                <c:pt idx="119">
                  <c:v>6.1223379499757709</c:v>
                </c:pt>
                <c:pt idx="120">
                  <c:v>6.0621778264910713</c:v>
                </c:pt>
                <c:pt idx="121">
                  <c:v>6.0001711049147861</c:v>
                </c:pt>
                <c:pt idx="122">
                  <c:v>5.9363366730949823</c:v>
                </c:pt>
                <c:pt idx="123">
                  <c:v>5.8706939756179679</c:v>
                </c:pt>
                <c:pt idx="124">
                  <c:v>5.8032630078852918</c:v>
                </c:pt>
                <c:pt idx="125">
                  <c:v>5.7340643100229416</c:v>
                </c:pt>
                <c:pt idx="126">
                  <c:v>5.6631189606246322</c:v>
                </c:pt>
                <c:pt idx="127">
                  <c:v>5.5904485703310494</c:v>
                </c:pt>
                <c:pt idx="128">
                  <c:v>5.5160752752470543</c:v>
                </c:pt>
                <c:pt idx="129">
                  <c:v>5.4400217301987972</c:v>
                </c:pt>
                <c:pt idx="130">
                  <c:v>5.3623111018328462</c:v>
                </c:pt>
                <c:pt idx="131">
                  <c:v>5.2829670615594049</c:v>
                </c:pt>
                <c:pt idx="132">
                  <c:v>5.2020137783417599</c:v>
                </c:pt>
                <c:pt idx="133">
                  <c:v>5.1194759113341943</c:v>
                </c:pt>
                <c:pt idx="134">
                  <c:v>5.0353786023705576</c:v>
                </c:pt>
                <c:pt idx="135">
                  <c:v>4.9497474683058327</c:v>
                </c:pt>
                <c:pt idx="136">
                  <c:v>4.8626085932129799</c:v>
                </c:pt>
                <c:pt idx="137">
                  <c:v>4.7739885204374897</c:v>
                </c:pt>
                <c:pt idx="138">
                  <c:v>4.6839142445120086</c:v>
                </c:pt>
                <c:pt idx="139">
                  <c:v>4.5924132029335514</c:v>
                </c:pt>
                <c:pt idx="140">
                  <c:v>4.4995132678057761</c:v>
                </c:pt>
                <c:pt idx="141">
                  <c:v>4.4052427373488614</c:v>
                </c:pt>
                <c:pt idx="142">
                  <c:v>4.309630327279609</c:v>
                </c:pt>
                <c:pt idx="143">
                  <c:v>4.2127051620643368</c:v>
                </c:pt>
                <c:pt idx="144">
                  <c:v>4.1144967660473126</c:v>
                </c:pt>
                <c:pt idx="145">
                  <c:v>4.0150350544573215</c:v>
                </c:pt>
                <c:pt idx="146">
                  <c:v>3.9143503242952282</c:v>
                </c:pt>
                <c:pt idx="147">
                  <c:v>3.812473245105191</c:v>
                </c:pt>
                <c:pt idx="148">
                  <c:v>3.7094348496324345</c:v>
                </c:pt>
                <c:pt idx="149">
                  <c:v>3.6052665243703808</c:v>
                </c:pt>
                <c:pt idx="150">
                  <c:v>3.4999999999999996</c:v>
                </c:pt>
                <c:pt idx="151">
                  <c:v>3.3936673417243601</c:v>
                </c:pt>
                <c:pt idx="152">
                  <c:v>3.2863009395012348</c:v>
                </c:pt>
                <c:pt idx="153">
                  <c:v>3.1779334981768281</c:v>
                </c:pt>
                <c:pt idx="154">
                  <c:v>3.0685980275235409</c:v>
                </c:pt>
                <c:pt idx="155">
                  <c:v>2.9583278321848967</c:v>
                </c:pt>
                <c:pt idx="156">
                  <c:v>2.8471565015306028</c:v>
                </c:pt>
                <c:pt idx="157">
                  <c:v>2.7351178994249166</c:v>
                </c:pt>
                <c:pt idx="158">
                  <c:v>2.6222461539113855</c:v>
                </c:pt>
                <c:pt idx="159">
                  <c:v>2.5085756468171017</c:v>
                </c:pt>
                <c:pt idx="160">
                  <c:v>2.3941410032796822</c:v>
                </c:pt>
                <c:pt idx="161">
                  <c:v>2.2789770812000962</c:v>
                </c:pt>
                <c:pt idx="162">
                  <c:v>2.1631189606246326</c:v>
                </c:pt>
                <c:pt idx="163">
                  <c:v>2.0466019330591561</c:v>
                </c:pt>
                <c:pt idx="164">
                  <c:v>1.9294614907189946</c:v>
                </c:pt>
                <c:pt idx="165">
                  <c:v>1.8117333157176472</c:v>
                </c:pt>
                <c:pt idx="166">
                  <c:v>1.693453269197674</c:v>
                </c:pt>
                <c:pt idx="167">
                  <c:v>1.5746573804070563</c:v>
                </c:pt>
                <c:pt idx="168">
                  <c:v>1.4553818357243151</c:v>
                </c:pt>
                <c:pt idx="169">
                  <c:v>1.3356629676358147</c:v>
                </c:pt>
                <c:pt idx="170">
                  <c:v>1.2155372436685119</c:v>
                </c:pt>
                <c:pt idx="171">
                  <c:v>1.0950412552816169</c:v>
                </c:pt>
                <c:pt idx="172">
                  <c:v>0.97421170672045732</c:v>
                </c:pt>
                <c:pt idx="173">
                  <c:v>0.85308540383603282</c:v>
                </c:pt>
                <c:pt idx="174">
                  <c:v>0.73169924287357613</c:v>
                </c:pt>
                <c:pt idx="175">
                  <c:v>0.61009019923360741</c:v>
                </c:pt>
                <c:pt idx="176">
                  <c:v>0.48829531620887867</c:v>
                </c:pt>
                <c:pt idx="177">
                  <c:v>0.36635169370060666</c:v>
                </c:pt>
                <c:pt idx="178">
                  <c:v>0.244296476917508</c:v>
                </c:pt>
                <c:pt idx="179">
                  <c:v>0.12216684506098408</c:v>
                </c:pt>
                <c:pt idx="180">
                  <c:v>8.5760391843603401E-16</c:v>
                </c:pt>
                <c:pt idx="181">
                  <c:v>-0.12216684506098546</c:v>
                </c:pt>
                <c:pt idx="182">
                  <c:v>-0.24429647691750631</c:v>
                </c:pt>
                <c:pt idx="183">
                  <c:v>-0.36635169370060489</c:v>
                </c:pt>
                <c:pt idx="184">
                  <c:v>-0.4882953162088769</c:v>
                </c:pt>
                <c:pt idx="185">
                  <c:v>-0.61009019923360563</c:v>
                </c:pt>
                <c:pt idx="186">
                  <c:v>-0.73169924287357446</c:v>
                </c:pt>
                <c:pt idx="187">
                  <c:v>-0.85308540383603115</c:v>
                </c:pt>
                <c:pt idx="188">
                  <c:v>-0.97421170672045865</c:v>
                </c:pt>
                <c:pt idx="189">
                  <c:v>-1.0950412552816151</c:v>
                </c:pt>
                <c:pt idx="190">
                  <c:v>-1.2155372436685132</c:v>
                </c:pt>
                <c:pt idx="191">
                  <c:v>-1.3356629676358129</c:v>
                </c:pt>
                <c:pt idx="192">
                  <c:v>-1.4553818357243165</c:v>
                </c:pt>
                <c:pt idx="193">
                  <c:v>-1.5746573804070549</c:v>
                </c:pt>
                <c:pt idx="194">
                  <c:v>-1.6934532691976725</c:v>
                </c:pt>
                <c:pt idx="195">
                  <c:v>-1.8117333157176456</c:v>
                </c:pt>
                <c:pt idx="196">
                  <c:v>-1.9294614907189929</c:v>
                </c:pt>
                <c:pt idx="197">
                  <c:v>-2.0466019330591574</c:v>
                </c:pt>
                <c:pt idx="198">
                  <c:v>-2.1631189606246308</c:v>
                </c:pt>
                <c:pt idx="199">
                  <c:v>-2.2789770812000971</c:v>
                </c:pt>
                <c:pt idx="200">
                  <c:v>-2.3941410032796808</c:v>
                </c:pt>
                <c:pt idx="201">
                  <c:v>-2.508575646817103</c:v>
                </c:pt>
                <c:pt idx="202">
                  <c:v>-2.6222461539113842</c:v>
                </c:pt>
                <c:pt idx="203">
                  <c:v>-2.7351178994249148</c:v>
                </c:pt>
                <c:pt idx="204">
                  <c:v>-2.8471565015306015</c:v>
                </c:pt>
                <c:pt idx="205">
                  <c:v>-2.9583278321848949</c:v>
                </c:pt>
                <c:pt idx="206">
                  <c:v>-3.0685980275235423</c:v>
                </c:pt>
                <c:pt idx="207">
                  <c:v>-3.1779334981768268</c:v>
                </c:pt>
                <c:pt idx="208">
                  <c:v>-3.2863009395012361</c:v>
                </c:pt>
                <c:pt idx="209">
                  <c:v>-3.3936673417243588</c:v>
                </c:pt>
                <c:pt idx="210">
                  <c:v>-3.5000000000000009</c:v>
                </c:pt>
                <c:pt idx="211">
                  <c:v>-3.605266524370379</c:v>
                </c:pt>
                <c:pt idx="212">
                  <c:v>-3.7094348496324336</c:v>
                </c:pt>
                <c:pt idx="213">
                  <c:v>-3.8124732451051897</c:v>
                </c:pt>
                <c:pt idx="214">
                  <c:v>-3.9143503242952269</c:v>
                </c:pt>
                <c:pt idx="215">
                  <c:v>-4.0150350544573232</c:v>
                </c:pt>
                <c:pt idx="216">
                  <c:v>-4.1144967660473108</c:v>
                </c:pt>
                <c:pt idx="217">
                  <c:v>-4.2127051620643385</c:v>
                </c:pt>
                <c:pt idx="218">
                  <c:v>-4.3096303272796073</c:v>
                </c:pt>
                <c:pt idx="219">
                  <c:v>-4.4052427373488632</c:v>
                </c:pt>
                <c:pt idx="220">
                  <c:v>-4.4995132678057743</c:v>
                </c:pt>
                <c:pt idx="221">
                  <c:v>-4.5924132029335496</c:v>
                </c:pt>
                <c:pt idx="222">
                  <c:v>-4.6839142445120077</c:v>
                </c:pt>
                <c:pt idx="223">
                  <c:v>-4.7739885204374888</c:v>
                </c:pt>
                <c:pt idx="224">
                  <c:v>-4.8626085932129817</c:v>
                </c:pt>
                <c:pt idx="225">
                  <c:v>-4.9497474683058318</c:v>
                </c:pt>
                <c:pt idx="226">
                  <c:v>-5.0353786023705585</c:v>
                </c:pt>
                <c:pt idx="227">
                  <c:v>-5.1194759113341934</c:v>
                </c:pt>
                <c:pt idx="228">
                  <c:v>-5.2020137783417608</c:v>
                </c:pt>
                <c:pt idx="229">
                  <c:v>-5.282967061559404</c:v>
                </c:pt>
                <c:pt idx="230">
                  <c:v>-5.3623111018328453</c:v>
                </c:pt>
                <c:pt idx="231">
                  <c:v>-5.4400217301987936</c:v>
                </c:pt>
                <c:pt idx="232">
                  <c:v>-5.5160752752470552</c:v>
                </c:pt>
                <c:pt idx="233">
                  <c:v>-5.5904485703310502</c:v>
                </c:pt>
                <c:pt idx="234">
                  <c:v>-5.6631189606246313</c:v>
                </c:pt>
                <c:pt idx="235">
                  <c:v>-5.7340643100229407</c:v>
                </c:pt>
                <c:pt idx="236">
                  <c:v>-5.8032630078852927</c:v>
                </c:pt>
                <c:pt idx="237">
                  <c:v>-5.8706939756179679</c:v>
                </c:pt>
                <c:pt idx="238">
                  <c:v>-5.9363366730949814</c:v>
                </c:pt>
                <c:pt idx="239">
                  <c:v>-6.0001711049147843</c:v>
                </c:pt>
                <c:pt idx="240">
                  <c:v>-6.0621778264910686</c:v>
                </c:pt>
                <c:pt idx="241">
                  <c:v>-6.1223379499757717</c:v>
                </c:pt>
                <c:pt idx="242">
                  <c:v>-6.1806331500124889</c:v>
                </c:pt>
                <c:pt idx="243">
                  <c:v>-6.2370456693185741</c:v>
                </c:pt>
                <c:pt idx="244">
                  <c:v>-6.2915583240941677</c:v>
                </c:pt>
                <c:pt idx="245">
                  <c:v>-6.3441545092565503</c:v>
                </c:pt>
                <c:pt idx="246">
                  <c:v>-6.3948182034982066</c:v>
                </c:pt>
                <c:pt idx="247">
                  <c:v>-6.4435339741670816</c:v>
                </c:pt>
                <c:pt idx="248">
                  <c:v>-6.4902869819675111</c:v>
                </c:pt>
                <c:pt idx="249">
                  <c:v>-6.5350629854804119</c:v>
                </c:pt>
                <c:pt idx="250">
                  <c:v>-6.5778483455013586</c:v>
                </c:pt>
                <c:pt idx="251">
                  <c:v>-6.6186300291952183</c:v>
                </c:pt>
                <c:pt idx="252">
                  <c:v>-6.6573956140660746</c:v>
                </c:pt>
                <c:pt idx="253">
                  <c:v>-6.694133291741247</c:v>
                </c:pt>
                <c:pt idx="254">
                  <c:v>-6.7288318715682331</c:v>
                </c:pt>
                <c:pt idx="255">
                  <c:v>-6.7614807840234779</c:v>
                </c:pt>
                <c:pt idx="256">
                  <c:v>-6.792070083931975</c:v>
                </c:pt>
                <c:pt idx="257">
                  <c:v>-6.8205904534966457</c:v>
                </c:pt>
                <c:pt idx="258">
                  <c:v>-6.8470332051366389</c:v>
                </c:pt>
                <c:pt idx="259">
                  <c:v>-6.8713902841336481</c:v>
                </c:pt>
                <c:pt idx="260">
                  <c:v>-6.893654271085456</c:v>
                </c:pt>
                <c:pt idx="261">
                  <c:v>-6.9138183841659639</c:v>
                </c:pt>
                <c:pt idx="262">
                  <c:v>-6.9318764811909919</c:v>
                </c:pt>
                <c:pt idx="263">
                  <c:v>-6.9478230614892542</c:v>
                </c:pt>
                <c:pt idx="264">
                  <c:v>-6.9616532675779137</c:v>
                </c:pt>
                <c:pt idx="265">
                  <c:v>-6.973362886642219</c:v>
                </c:pt>
                <c:pt idx="266">
                  <c:v>-6.9829483518187692</c:v>
                </c:pt>
                <c:pt idx="267">
                  <c:v>-6.9904067432820165</c:v>
                </c:pt>
                <c:pt idx="268">
                  <c:v>-6.9957357891336702</c:v>
                </c:pt>
                <c:pt idx="269">
                  <c:v>-6.9989338660947391</c:v>
                </c:pt>
                <c:pt idx="270">
                  <c:v>-7</c:v>
                </c:pt>
                <c:pt idx="271">
                  <c:v>-6.9989338660947391</c:v>
                </c:pt>
                <c:pt idx="272">
                  <c:v>-6.9957357891336702</c:v>
                </c:pt>
                <c:pt idx="273">
                  <c:v>-6.9904067432820165</c:v>
                </c:pt>
                <c:pt idx="274">
                  <c:v>-6.98294835181877</c:v>
                </c:pt>
                <c:pt idx="275">
                  <c:v>-6.973362886642219</c:v>
                </c:pt>
                <c:pt idx="276">
                  <c:v>-6.9616532675779137</c:v>
                </c:pt>
                <c:pt idx="277">
                  <c:v>-6.9478230614892542</c:v>
                </c:pt>
                <c:pt idx="278">
                  <c:v>-6.9318764811909928</c:v>
                </c:pt>
                <c:pt idx="279">
                  <c:v>-6.9138183841659639</c:v>
                </c:pt>
                <c:pt idx="280">
                  <c:v>-6.8936542710854569</c:v>
                </c:pt>
                <c:pt idx="281">
                  <c:v>-6.8713902841336472</c:v>
                </c:pt>
                <c:pt idx="282">
                  <c:v>-6.8470332051366389</c:v>
                </c:pt>
                <c:pt idx="283">
                  <c:v>-6.8205904534966466</c:v>
                </c:pt>
                <c:pt idx="284">
                  <c:v>-6.7920700839319759</c:v>
                </c:pt>
                <c:pt idx="285">
                  <c:v>-6.7614807840234787</c:v>
                </c:pt>
                <c:pt idx="286">
                  <c:v>-6.7288318715682314</c:v>
                </c:pt>
                <c:pt idx="287">
                  <c:v>-6.6941332917412479</c:v>
                </c:pt>
                <c:pt idx="288">
                  <c:v>-6.6573956140660755</c:v>
                </c:pt>
                <c:pt idx="289">
                  <c:v>-6.6186300291952183</c:v>
                </c:pt>
                <c:pt idx="290">
                  <c:v>-6.5778483455013586</c:v>
                </c:pt>
                <c:pt idx="291">
                  <c:v>-6.5350629854804119</c:v>
                </c:pt>
                <c:pt idx="292">
                  <c:v>-6.490286981967512</c:v>
                </c:pt>
                <c:pt idx="293">
                  <c:v>-6.4435339741670834</c:v>
                </c:pt>
                <c:pt idx="294">
                  <c:v>-6.3948182034982075</c:v>
                </c:pt>
                <c:pt idx="295">
                  <c:v>-6.3441545092565494</c:v>
                </c:pt>
                <c:pt idx="296">
                  <c:v>-6.2915583240941695</c:v>
                </c:pt>
                <c:pt idx="297">
                  <c:v>-6.237045669318575</c:v>
                </c:pt>
                <c:pt idx="298">
                  <c:v>-6.1806331500124898</c:v>
                </c:pt>
                <c:pt idx="299">
                  <c:v>-6.1223379499757691</c:v>
                </c:pt>
                <c:pt idx="300">
                  <c:v>-6.0621778264910704</c:v>
                </c:pt>
                <c:pt idx="301">
                  <c:v>-6.0001711049147861</c:v>
                </c:pt>
                <c:pt idx="302">
                  <c:v>-5.9363366730949831</c:v>
                </c:pt>
                <c:pt idx="303">
                  <c:v>-5.8706939756179697</c:v>
                </c:pt>
                <c:pt idx="304">
                  <c:v>-5.8032630078852918</c:v>
                </c:pt>
                <c:pt idx="305">
                  <c:v>-5.7340643100229425</c:v>
                </c:pt>
                <c:pt idx="306">
                  <c:v>-5.663118960624633</c:v>
                </c:pt>
                <c:pt idx="307">
                  <c:v>-5.5904485703310511</c:v>
                </c:pt>
                <c:pt idx="308">
                  <c:v>-5.5160752752470525</c:v>
                </c:pt>
                <c:pt idx="309">
                  <c:v>-5.4400217301987954</c:v>
                </c:pt>
                <c:pt idx="310">
                  <c:v>-5.3623111018328471</c:v>
                </c:pt>
                <c:pt idx="311">
                  <c:v>-5.2829670615594058</c:v>
                </c:pt>
                <c:pt idx="312">
                  <c:v>-5.2020137783417617</c:v>
                </c:pt>
                <c:pt idx="313">
                  <c:v>-5.1194759113341926</c:v>
                </c:pt>
                <c:pt idx="314">
                  <c:v>-5.0353786023705585</c:v>
                </c:pt>
                <c:pt idx="315">
                  <c:v>-4.9497474683058336</c:v>
                </c:pt>
                <c:pt idx="316">
                  <c:v>-4.8626085932129834</c:v>
                </c:pt>
                <c:pt idx="317">
                  <c:v>-4.7739885204374879</c:v>
                </c:pt>
                <c:pt idx="318">
                  <c:v>-4.6839142445120068</c:v>
                </c:pt>
                <c:pt idx="319">
                  <c:v>-4.5924132029335514</c:v>
                </c:pt>
                <c:pt idx="320">
                  <c:v>-4.499513267805777</c:v>
                </c:pt>
                <c:pt idx="321">
                  <c:v>-4.405242737348865</c:v>
                </c:pt>
                <c:pt idx="322">
                  <c:v>-4.3096303272796073</c:v>
                </c:pt>
                <c:pt idx="323">
                  <c:v>-4.2127051620643376</c:v>
                </c:pt>
                <c:pt idx="324">
                  <c:v>-4.1144967660473135</c:v>
                </c:pt>
                <c:pt idx="325">
                  <c:v>-4.015035054457325</c:v>
                </c:pt>
                <c:pt idx="326">
                  <c:v>-3.914350324295226</c:v>
                </c:pt>
                <c:pt idx="327">
                  <c:v>-3.8124732451051888</c:v>
                </c:pt>
                <c:pt idx="328">
                  <c:v>-3.709434849632435</c:v>
                </c:pt>
                <c:pt idx="329">
                  <c:v>-3.6052665243703812</c:v>
                </c:pt>
                <c:pt idx="330">
                  <c:v>-3.5000000000000031</c:v>
                </c:pt>
                <c:pt idx="331">
                  <c:v>-3.3936673417243584</c:v>
                </c:pt>
                <c:pt idx="332">
                  <c:v>-3.2863009395012357</c:v>
                </c:pt>
                <c:pt idx="333">
                  <c:v>-3.177933498176829</c:v>
                </c:pt>
                <c:pt idx="334">
                  <c:v>-3.0685980275235445</c:v>
                </c:pt>
                <c:pt idx="335">
                  <c:v>-2.9583278321848945</c:v>
                </c:pt>
                <c:pt idx="336">
                  <c:v>-2.8471565015306011</c:v>
                </c:pt>
                <c:pt idx="337">
                  <c:v>-2.735117899424917</c:v>
                </c:pt>
                <c:pt idx="338">
                  <c:v>-2.6222461539113864</c:v>
                </c:pt>
                <c:pt idx="339">
                  <c:v>-2.5085756468171052</c:v>
                </c:pt>
                <c:pt idx="340">
                  <c:v>-2.3941410032796804</c:v>
                </c:pt>
                <c:pt idx="341">
                  <c:v>-2.2789770812000967</c:v>
                </c:pt>
                <c:pt idx="342">
                  <c:v>-2.1631189606246335</c:v>
                </c:pt>
                <c:pt idx="343">
                  <c:v>-2.0466019330591601</c:v>
                </c:pt>
                <c:pt idx="344">
                  <c:v>-1.9294614907189926</c:v>
                </c:pt>
                <c:pt idx="345">
                  <c:v>-1.8117333157176447</c:v>
                </c:pt>
                <c:pt idx="346">
                  <c:v>-1.6934532691976751</c:v>
                </c:pt>
                <c:pt idx="347">
                  <c:v>-1.5746573804070574</c:v>
                </c:pt>
                <c:pt idx="348">
                  <c:v>-1.4553818357243191</c:v>
                </c:pt>
                <c:pt idx="349">
                  <c:v>-1.3356629676358127</c:v>
                </c:pt>
                <c:pt idx="350">
                  <c:v>-1.2155372436685128</c:v>
                </c:pt>
                <c:pt idx="351">
                  <c:v>-1.0950412552816178</c:v>
                </c:pt>
                <c:pt idx="352">
                  <c:v>-0.9742117067204612</c:v>
                </c:pt>
                <c:pt idx="353">
                  <c:v>-0.8530854038360306</c:v>
                </c:pt>
                <c:pt idx="354">
                  <c:v>-0.73169924287357391</c:v>
                </c:pt>
                <c:pt idx="355">
                  <c:v>-0.61009019923360819</c:v>
                </c:pt>
                <c:pt idx="356">
                  <c:v>-0.48829531620887945</c:v>
                </c:pt>
                <c:pt idx="357">
                  <c:v>-0.3663516937006106</c:v>
                </c:pt>
                <c:pt idx="358">
                  <c:v>-0.24429647691750578</c:v>
                </c:pt>
                <c:pt idx="359">
                  <c:v>-0.12216684506098492</c:v>
                </c:pt>
                <c:pt idx="360">
                  <c:v>-1.715207836872068E-15</c:v>
                </c:pt>
              </c:numCache>
            </c:numRef>
          </c:yVal>
          <c:smooth val="1"/>
          <c:extLst>
            <c:ext xmlns:c16="http://schemas.microsoft.com/office/drawing/2014/chart" uri="{C3380CC4-5D6E-409C-BE32-E72D297353CC}">
              <c16:uniqueId val="{0000000C-2AD8-435F-BB2F-9E7B44A1306D}"/>
            </c:ext>
          </c:extLst>
        </c:ser>
        <c:dLbls>
          <c:dLblPos val="t"/>
          <c:showLegendKey val="0"/>
          <c:showVal val="1"/>
          <c:showCatName val="0"/>
          <c:showSerName val="0"/>
          <c:showPercent val="0"/>
          <c:showBubbleSize val="0"/>
        </c:dLbls>
        <c:axId val="1697420784"/>
        <c:axId val="1697421744"/>
      </c:scatterChart>
      <c:valAx>
        <c:axId val="1697420784"/>
        <c:scaling>
          <c:orientation val="minMax"/>
          <c:max val="10"/>
          <c:min val="-10"/>
        </c:scaling>
        <c:delete val="0"/>
        <c:axPos val="b"/>
        <c:majorGridlines>
          <c:spPr>
            <a:ln w="9525" cap="flat" cmpd="sng" algn="ctr">
              <a:no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697421744"/>
        <c:crosses val="autoZero"/>
        <c:crossBetween val="midCat"/>
        <c:majorUnit val="1"/>
        <c:minorUnit val="1"/>
      </c:valAx>
      <c:valAx>
        <c:axId val="1697421744"/>
        <c:scaling>
          <c:orientation val="minMax"/>
          <c:max val="10"/>
          <c:min val="-10"/>
        </c:scaling>
        <c:delete val="0"/>
        <c:axPos val="l"/>
        <c:majorGridlines>
          <c:spPr>
            <a:ln w="9525" cap="flat" cmpd="sng" algn="ctr">
              <a:no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697420784"/>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u-H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14287</xdr:rowOff>
    </xdr:from>
    <xdr:to>
      <xdr:col>7</xdr:col>
      <xdr:colOff>9524</xdr:colOff>
      <xdr:row>22</xdr:row>
      <xdr:rowOff>9525</xdr:rowOff>
    </xdr:to>
    <xdr:graphicFrame macro="">
      <xdr:nvGraphicFramePr>
        <xdr:cNvPr id="2" name="Diagram 1">
          <a:extLst>
            <a:ext uri="{FF2B5EF4-FFF2-40B4-BE49-F238E27FC236}">
              <a16:creationId xmlns:a16="http://schemas.microsoft.com/office/drawing/2014/main" id="{2E564AF9-F035-4057-90E4-626CFA320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802707-2437-4B93-91D6-3DA2721D60CE}" name="Táblázat2" displayName="Táblázat2" ref="A11:C19" totalsRowShown="0" headerRowDxfId="19">
  <autoFilter ref="A11:C19" xr:uid="{49802707-2437-4B93-91D6-3DA2721D60CE}"/>
  <tableColumns count="3">
    <tableColumn id="1" xr3:uid="{E34696AA-93BC-45E6-B503-C7DAF5320AA0}" name="Feljegyzés" dataDxfId="18"/>
    <tableColumn id="2" xr3:uid="{6B1A1DAA-A7F5-4897-837C-6E1FB41860F2}" name="Év" dataDxfId="17"/>
    <tableColumn id="3" xr3:uid="{6B48625C-27DA-44E4-BABC-EE7FB89565C3}" name="Olimpiai idő" dataDxfId="16"/>
  </tableColumns>
  <tableStyleInfo name="Táblázatstílus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5DA830-A3A0-4DD5-A7AD-7A1A109A84BC}" name="Táblázat14" displayName="Táblázat14" ref="A25:D386" totalsRowShown="0">
  <autoFilter ref="A25:D386" xr:uid="{8FCCD1B0-1811-4FB6-B2BC-A7E064E9768B}">
    <filterColumn colId="0" hiddenButton="1"/>
    <filterColumn colId="1" hiddenButton="1"/>
    <filterColumn colId="2" hiddenButton="1"/>
    <filterColumn colId="3" hiddenButton="1"/>
  </autoFilter>
  <tableColumns count="4">
    <tableColumn id="1" xr3:uid="{D43ACEED-F7F3-4BCA-8C8B-2945A3A5B645}" name="fok"/>
    <tableColumn id="2" xr3:uid="{07D6E405-3E16-4419-8C76-26024F935EB6}" name="rad" dataDxfId="15">
      <calculatedColumnFormula>RADIANS(Táblázat14[[#This Row],[fok]])</calculatedColumnFormula>
    </tableColumn>
    <tableColumn id="3" xr3:uid="{B9FBDAB2-1D7D-408E-88B3-FF75DF64C3F3}" name="r *cos" dataDxfId="14">
      <calculatedColumnFormula>$B$1*COS(Táblázat14[[#This Row],[rad]])</calculatedColumnFormula>
    </tableColumn>
    <tableColumn id="4" xr3:uid="{AD1A8633-13E6-4625-911B-BF221D959FD1}" name="r*sin" dataDxfId="13">
      <calculatedColumnFormula>$B$1*SIN(Táblázat14[[#This Row],[rad]])</calculatedColumnFormula>
    </tableColumn>
  </tableColumns>
  <tableStyleInfo showFirstColumn="0" showLastColumn="0" showRowStripes="1" showColumnStripes="0"/>
</table>
</file>

<file path=xl/theme/theme1.xml><?xml version="1.0" encoding="utf-8"?>
<a:theme xmlns:a="http://schemas.openxmlformats.org/drawingml/2006/main" name="Office-té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63B74-F03E-44E2-A8B2-38BDE1041351}">
  <sheetPr codeName="Munka1"/>
  <dimension ref="A1:Q862"/>
  <sheetViews>
    <sheetView topLeftCell="A131" workbookViewId="0">
      <selection activeCell="P2" sqref="P2"/>
    </sheetView>
  </sheetViews>
  <sheetFormatPr defaultRowHeight="15" x14ac:dyDescent="0.25"/>
  <cols>
    <col min="1" max="1" width="80.5703125" customWidth="1"/>
    <col min="5" max="5" width="51.28515625" customWidth="1"/>
    <col min="6" max="6" width="21.85546875" customWidth="1"/>
  </cols>
  <sheetData>
    <row r="1" spans="1:17" ht="15.75" thickBot="1" x14ac:dyDescent="0.3">
      <c r="A1" t="s">
        <v>0</v>
      </c>
      <c r="B1" t="s">
        <v>832</v>
      </c>
      <c r="C1" t="s">
        <v>833</v>
      </c>
      <c r="D1" t="s">
        <v>834</v>
      </c>
      <c r="E1" t="s">
        <v>835</v>
      </c>
      <c r="F1" t="s">
        <v>836</v>
      </c>
    </row>
    <row r="2" spans="1:17" x14ac:dyDescent="0.25">
      <c r="A2" t="s">
        <v>1</v>
      </c>
      <c r="B2" t="str" cm="1">
        <f t="array" ref="B2">INDEX(_xlfn.TEXTSPLIT(A2, " "), 1)</f>
        <v>785</v>
      </c>
      <c r="C2" t="str" cm="1">
        <f t="array" ref="C2">INDEX(_xlfn.TEXTSPLIT(B2, "-"), 1)</f>
        <v>785</v>
      </c>
      <c r="D2" t="str" cm="1">
        <f t="array" ref="D2">IFERROR(INDEX(_xlfn.TEXTSPLIT(B2, "-"), 2), "")</f>
        <v/>
      </c>
      <c r="E2" t="str">
        <f>_xlfn.LET(
  _xlpm.szoveg,
  MID(A2, SEARCH(" ", A2) + 1, LEN(A2)),
  IF(ISNUMBER(SEARCH("-",B2)), _xlpm.szoveg &amp; " --&gt;", _xlpm.szoveg)
)</f>
        <v>Pithecusae (Ischia) is settled by Euboean Greeks from Eretria and Chalcis</v>
      </c>
      <c r="F2" t="str">
        <f>_xlfn.LET(
  _xlpm.szoveg,
  MID(A2, SEARCH(" ", A2) + 1, LEN(A2)),
  IF(ISNUMBER(SEARCH("-",B2)), "--&gt; " &amp; _xlpm.szoveg, "")
)</f>
        <v/>
      </c>
      <c r="H2" t="b">
        <f>ISNUMBER(SEARCH("-", B2))</f>
        <v>0</v>
      </c>
      <c r="J2" s="1" t="str" cm="1">
        <f t="array" ref="J2:K832">_xlfn.VSTACK(_xlfn.HSTACK(C2:C832,E2:E832))</f>
        <v>785</v>
      </c>
      <c r="K2" s="2" t="str">
        <v>Pithecusae (Ischia) is settled by Euboean Greeks from Eretria and Chalcis</v>
      </c>
      <c r="M2" s="1" t="str" cm="1">
        <f t="array" ref="M2:N31">_xlfn._xlws.FILTER(_xlfn.HSTACK(D2:D832,F2:F832), D2:D832&lt;&gt;"")</f>
        <v>717</v>
      </c>
      <c r="N2" s="2" t="str">
        <v>--&gt; Hippomenes, archon of Athens, kills his daughter's adulterer by yoking him to his chariot and then locks his daughter Leimone in with a horse until she dies. (Pausanias and Aristotle).</v>
      </c>
      <c r="P2" t="str" cm="1">
        <f t="array" ref="P2:Q862">_xlfn._xlws.SORT(_xlfn.VSTACK(_xlfn.ANCHORARRAY(J2),_xlfn.ANCHORARRAY(M2)),1,-1)</f>
        <v>785</v>
      </c>
      <c r="Q2" t="str">
        <v>Pithecusae (Ischia) is settled by Euboean Greeks from Eretria and Chalcis</v>
      </c>
    </row>
    <row r="3" spans="1:17" x14ac:dyDescent="0.25">
      <c r="A3" t="s">
        <v>2</v>
      </c>
      <c r="B3" t="str" cm="1">
        <f t="array" ref="B3">INDEX(_xlfn.TEXTSPLIT(A3, " "), 1)</f>
        <v>777</v>
      </c>
      <c r="C3" t="str" cm="1">
        <f t="array" ref="C3">INDEX(_xlfn.TEXTSPLIT(B3, "-"), 1)</f>
        <v>777</v>
      </c>
      <c r="D3" t="str" cm="1">
        <f t="array" ref="D3">IFERROR(INDEX(_xlfn.TEXTSPLIT(B3, "-"), 2), "")</f>
        <v/>
      </c>
      <c r="E3" t="str">
        <f t="shared" ref="E3:E66" si="0">_xlfn.LET(
  _xlpm.szoveg,
  MID(A3, SEARCH(" ", A3) + 1, LEN(A3)),
  IF(ISNUMBER(SEARCH("-",B3)), _xlpm.szoveg &amp; " --&gt;", _xlpm.szoveg)
)</f>
        <v>Cumae is founded by Chalcis</v>
      </c>
      <c r="F3" t="str">
        <f t="shared" ref="F3:F66" si="1">_xlfn.LET(
  _xlpm.szoveg,
  MID(A3, SEARCH(" ", A3) + 1, LEN(A3)),
  IF(ISNUMBER(SEARCH("-",B3)), "--&gt; " &amp; _xlpm.szoveg, "")
)</f>
        <v/>
      </c>
      <c r="H3" t="b">
        <f t="shared" ref="H3:H66" si="2">ISNUMBER(SEARCH("-", B3))</f>
        <v>0</v>
      </c>
      <c r="J3" s="3" t="str">
        <v>777</v>
      </c>
      <c r="K3" s="4" t="str">
        <v>Cumae is founded by Chalcis</v>
      </c>
      <c r="M3" s="3" t="str">
        <v>560</v>
      </c>
      <c r="N3" s="4" t="str">
        <v>--&gt; Spartan wars with Tegea all unsuccessful</v>
      </c>
      <c r="P3" t="str">
        <v>777</v>
      </c>
      <c r="Q3" t="str">
        <v>Cumae is founded by Chalcis</v>
      </c>
    </row>
    <row r="4" spans="1:17" x14ac:dyDescent="0.25">
      <c r="A4" t="s">
        <v>3</v>
      </c>
      <c r="B4" t="str" cm="1">
        <f t="array" ref="B4">INDEX(_xlfn.TEXTSPLIT(A4, " "), 1)</f>
        <v>776</v>
      </c>
      <c r="C4" t="str" cm="1">
        <f t="array" ref="C4">INDEX(_xlfn.TEXTSPLIT(B4, "-"), 1)</f>
        <v>776</v>
      </c>
      <c r="D4" t="str" cm="1">
        <f t="array" ref="D4">IFERROR(INDEX(_xlfn.TEXTSPLIT(B4, "-"), 2), "")</f>
        <v/>
      </c>
      <c r="E4" t="str">
        <f t="shared" si="0"/>
        <v>Traditional date for the first historic Olympic games.</v>
      </c>
      <c r="F4" t="str">
        <f t="shared" si="1"/>
        <v/>
      </c>
      <c r="H4" t="b">
        <f t="shared" si="2"/>
        <v>0</v>
      </c>
      <c r="J4" s="3" t="str">
        <v>776</v>
      </c>
      <c r="K4" s="4" t="str">
        <v>Traditional date for the first historic Olympic games.</v>
      </c>
      <c r="M4" s="3" t="str">
        <v>630</v>
      </c>
      <c r="N4" s="4" t="str">
        <v>--&gt; Drought on Thera</v>
      </c>
      <c r="P4" t="str">
        <v>776</v>
      </c>
      <c r="Q4" t="str">
        <v>Traditional date for the first historic Olympic games.</v>
      </c>
    </row>
    <row r="5" spans="1:17" x14ac:dyDescent="0.25">
      <c r="A5" t="s">
        <v>4</v>
      </c>
      <c r="B5" t="str" cm="1">
        <f t="array" ref="B5">INDEX(_xlfn.TEXTSPLIT(A5, " "), 1)</f>
        <v>757</v>
      </c>
      <c r="C5" t="str" cm="1">
        <f t="array" ref="C5">INDEX(_xlfn.TEXTSPLIT(B5, "-"), 1)</f>
        <v>757</v>
      </c>
      <c r="D5" t="str" cm="1">
        <f t="array" ref="D5">IFERROR(INDEX(_xlfn.TEXTSPLIT(B5, "-"), 2), "")</f>
        <v/>
      </c>
      <c r="E5" t="str">
        <f t="shared" si="0"/>
        <v>The First Messenian War starts. (Date disputed by Jerome, Pausanias and Diodorus; this estimate is based on a reading of Diodorus' Spartan king lists and Pausanias' description of the war).</v>
      </c>
      <c r="F5" t="str">
        <f t="shared" si="1"/>
        <v/>
      </c>
      <c r="H5" t="b">
        <f t="shared" si="2"/>
        <v>0</v>
      </c>
      <c r="J5" s="3" t="str">
        <v>757</v>
      </c>
      <c r="K5" s="4" t="str">
        <v>The First Messenian War starts. (Date disputed by Jerome, Pausanias and Diodorus; this estimate is based on a reading of Diodorus' Spartan king lists and Pausanias' description of the war).</v>
      </c>
      <c r="M5" s="3" t="str">
        <v>550</v>
      </c>
      <c r="N5" s="4" t="str">
        <v>--&gt; Lydia annexes Aeolis and Ionia</v>
      </c>
      <c r="P5" t="str">
        <v>757</v>
      </c>
      <c r="Q5" t="str">
        <v>The First Messenian War starts. (Date disputed by Jerome, Pausanias and Diodorus; this estimate is based on a reading of Diodorus' Spartan king lists and Pausanias' description of the war).</v>
      </c>
    </row>
    <row r="6" spans="1:17" x14ac:dyDescent="0.25">
      <c r="A6" t="s">
        <v>5</v>
      </c>
      <c r="B6" t="str" cm="1">
        <f t="array" ref="B6">INDEX(_xlfn.TEXTSPLIT(A6, " "), 1)</f>
        <v>756</v>
      </c>
      <c r="C6" t="str" cm="1">
        <f t="array" ref="C6">INDEX(_xlfn.TEXTSPLIT(B6, "-"), 1)</f>
        <v>756</v>
      </c>
      <c r="D6" t="str" cm="1">
        <f t="array" ref="D6">IFERROR(INDEX(_xlfn.TEXTSPLIT(B6, "-"), 2), "")</f>
        <v/>
      </c>
      <c r="E6" t="str">
        <f t="shared" si="0"/>
        <v>Kyzikus is settled by Ionians</v>
      </c>
      <c r="F6" t="str">
        <f t="shared" si="1"/>
        <v/>
      </c>
      <c r="H6" t="b">
        <f t="shared" si="2"/>
        <v>0</v>
      </c>
      <c r="J6" s="3" t="str">
        <v>756</v>
      </c>
      <c r="K6" s="4" t="str">
        <v>Kyzikus is settled by Ionians</v>
      </c>
      <c r="M6" s="3" t="str">
        <v>462</v>
      </c>
      <c r="N6" s="4" t="str">
        <v>--&gt; Cimon elected general each year</v>
      </c>
      <c r="P6" t="str">
        <v>756</v>
      </c>
      <c r="Q6" t="str">
        <v>Kyzikus is settled by Ionians</v>
      </c>
    </row>
    <row r="7" spans="1:17" x14ac:dyDescent="0.25">
      <c r="A7" t="s">
        <v>6</v>
      </c>
      <c r="B7" t="str" cm="1">
        <f t="array" ref="B7">INDEX(_xlfn.TEXTSPLIT(A7, " "), 1)</f>
        <v>754</v>
      </c>
      <c r="C7" t="str" cm="1">
        <f t="array" ref="C7">INDEX(_xlfn.TEXTSPLIT(B7, "-"), 1)</f>
        <v>754</v>
      </c>
      <c r="D7" t="str" cm="1">
        <f t="array" ref="D7">IFERROR(INDEX(_xlfn.TEXTSPLIT(B7, "-"), 2), "")</f>
        <v/>
      </c>
      <c r="E7" t="str">
        <f t="shared" si="0"/>
        <v>Polydorus becomes king of Sparta.</v>
      </c>
      <c r="F7" t="str">
        <f t="shared" si="1"/>
        <v/>
      </c>
      <c r="H7" t="b">
        <f t="shared" si="2"/>
        <v>0</v>
      </c>
      <c r="J7" s="3" t="str">
        <v>754</v>
      </c>
      <c r="K7" s="4" t="str">
        <v>Polydorus becomes king of Sparta.</v>
      </c>
      <c r="M7" s="3" t="str">
        <v>455</v>
      </c>
      <c r="N7" s="4" t="str">
        <v>--&gt; Siege of Memphis, destruction of the Athenian fleet by Megabyzus</v>
      </c>
      <c r="P7" t="str">
        <v>754</v>
      </c>
      <c r="Q7" t="str">
        <v>Polydorus becomes king of Sparta.</v>
      </c>
    </row>
    <row r="8" spans="1:17" x14ac:dyDescent="0.25">
      <c r="A8" t="s">
        <v>7</v>
      </c>
      <c r="B8" t="str" cm="1">
        <f t="array" ref="B8">INDEX(_xlfn.TEXTSPLIT(A8, " "), 1)</f>
        <v>753</v>
      </c>
      <c r="C8" t="str" cm="1">
        <f t="array" ref="C8">INDEX(_xlfn.TEXTSPLIT(B8, "-"), 1)</f>
        <v>753</v>
      </c>
      <c r="D8" t="str" cm="1">
        <f t="array" ref="D8">IFERROR(INDEX(_xlfn.TEXTSPLIT(B8, "-"), 2), "")</f>
        <v/>
      </c>
      <c r="E8" t="str">
        <f t="shared" si="0"/>
        <v>Athens: Office of Archon reduced to 10 years. Members of the ruling family to possess the office starting with Charops. (Dating based on Pausanias).</v>
      </c>
      <c r="F8" t="str">
        <f t="shared" si="1"/>
        <v/>
      </c>
      <c r="H8" t="b">
        <f t="shared" si="2"/>
        <v>0</v>
      </c>
      <c r="J8" s="3" t="str">
        <v>753</v>
      </c>
      <c r="K8" s="4" t="str">
        <v>Athens: Office of Archon reduced to 10 years. Members of the ruling family to possess the office starting with Charops. (Dating based on Pausanias).</v>
      </c>
      <c r="M8" s="3" t="str">
        <v>445</v>
      </c>
      <c r="N8" s="4" t="str">
        <v>--&gt; Euboean Revolt</v>
      </c>
      <c r="P8" t="str">
        <v>753</v>
      </c>
      <c r="Q8" t="str">
        <v>Athens: Office of Archon reduced to 10 years. Members of the ruling family to possess the office starting with Charops. (Dating based on Pausanias).</v>
      </c>
    </row>
    <row r="9" spans="1:17" x14ac:dyDescent="0.25">
      <c r="A9" t="s">
        <v>8</v>
      </c>
      <c r="B9" t="str" cm="1">
        <f t="array" ref="B9">INDEX(_xlfn.TEXTSPLIT(A9, " "), 1)</f>
        <v>743</v>
      </c>
      <c r="C9" t="str" cm="1">
        <f t="array" ref="C9">INDEX(_xlfn.TEXTSPLIT(B9, "-"), 1)</f>
        <v>743</v>
      </c>
      <c r="D9" t="str" cm="1">
        <f t="array" ref="D9">IFERROR(INDEX(_xlfn.TEXTSPLIT(B9, "-"), 2), "")</f>
        <v/>
      </c>
      <c r="E9" t="str">
        <f t="shared" si="0"/>
        <v>Rhegion is founded by Euboeans</v>
      </c>
      <c r="F9" t="str">
        <f t="shared" si="1"/>
        <v/>
      </c>
      <c r="H9" t="b">
        <f t="shared" si="2"/>
        <v>0</v>
      </c>
      <c r="J9" s="3" t="str">
        <v>743</v>
      </c>
      <c r="K9" s="4" t="str">
        <v>Rhegion is founded by Euboeans</v>
      </c>
      <c r="M9" s="3" t="str">
        <v>413</v>
      </c>
      <c r="N9" s="4" t="str">
        <v>--&gt; Siege of Syracuse</v>
      </c>
      <c r="P9" t="str">
        <v>743</v>
      </c>
      <c r="Q9" t="str">
        <v>Rhegion is founded by Euboeans</v>
      </c>
    </row>
    <row r="10" spans="1:17" x14ac:dyDescent="0.25">
      <c r="A10" t="s">
        <v>9</v>
      </c>
      <c r="B10" t="str" cm="1">
        <f t="array" ref="B10">INDEX(_xlfn.TEXTSPLIT(A10, " "), 1)</f>
        <v>740</v>
      </c>
      <c r="C10" t="str" cm="1">
        <f t="array" ref="C10">INDEX(_xlfn.TEXTSPLIT(B10, "-"), 1)</f>
        <v>740</v>
      </c>
      <c r="D10" t="str" cm="1">
        <f t="array" ref="D10">IFERROR(INDEX(_xlfn.TEXTSPLIT(B10, "-"), 2), "")</f>
        <v/>
      </c>
      <c r="E10" t="str">
        <f t="shared" si="0"/>
        <v>Zancle is founded by Euboeans</v>
      </c>
      <c r="F10" t="str">
        <f t="shared" si="1"/>
        <v/>
      </c>
      <c r="H10" t="b">
        <f t="shared" si="2"/>
        <v>0</v>
      </c>
      <c r="J10" s="3" t="str">
        <v>740</v>
      </c>
      <c r="K10" s="4" t="str">
        <v>Zancle is founded by Euboeans</v>
      </c>
      <c r="M10" s="3" t="str">
        <v>413</v>
      </c>
      <c r="N10" s="4" t="str">
        <v>--&gt; Metapontion allies with Athens</v>
      </c>
      <c r="P10" t="str">
        <v>740</v>
      </c>
      <c r="Q10" t="str">
        <v>Zancle is founded by Euboeans</v>
      </c>
    </row>
    <row r="11" spans="1:17" x14ac:dyDescent="0.25">
      <c r="A11" t="s">
        <v>10</v>
      </c>
      <c r="B11" t="str" cm="1">
        <f t="array" ref="B11">INDEX(_xlfn.TEXTSPLIT(A11, " "), 1)</f>
        <v>738</v>
      </c>
      <c r="C11" t="str" cm="1">
        <f t="array" ref="C11">INDEX(_xlfn.TEXTSPLIT(B11, "-"), 1)</f>
        <v>738</v>
      </c>
      <c r="D11" t="str" cm="1">
        <f t="array" ref="D11">IFERROR(INDEX(_xlfn.TEXTSPLIT(B11, "-"), 2), "")</f>
        <v/>
      </c>
      <c r="E11" t="str">
        <f t="shared" si="0"/>
        <v>Alternative date for the end of the First Messenian War.</v>
      </c>
      <c r="F11" t="str">
        <f t="shared" si="1"/>
        <v/>
      </c>
      <c r="H11" t="b">
        <f t="shared" si="2"/>
        <v>0</v>
      </c>
      <c r="J11" s="3" t="str">
        <v>738</v>
      </c>
      <c r="K11" s="4" t="str">
        <v>Alternative date for the end of the First Messenian War.</v>
      </c>
      <c r="M11" s="3" t="str">
        <v>325</v>
      </c>
      <c r="N11" s="4" t="str">
        <v>--&gt; Pytheas makes the earliest Greek voyage to Great Britain and the Arctic Circle for which there is a record.</v>
      </c>
      <c r="P11" t="str">
        <v>738</v>
      </c>
      <c r="Q11" t="str">
        <v>Alternative date for the end of the First Messenian War.</v>
      </c>
    </row>
    <row r="12" spans="1:17" x14ac:dyDescent="0.25">
      <c r="A12" t="s">
        <v>11</v>
      </c>
      <c r="B12" t="str" cm="1">
        <f t="array" ref="B12">INDEX(_xlfn.TEXTSPLIT(A12, " "), 1)</f>
        <v>737</v>
      </c>
      <c r="C12" t="str" cm="1">
        <f t="array" ref="C12">INDEX(_xlfn.TEXTSPLIT(B12, "-"), 1)</f>
        <v>737</v>
      </c>
      <c r="D12" t="str" cm="1">
        <f t="array" ref="D12">IFERROR(INDEX(_xlfn.TEXTSPLIT(B12, "-"), 2), "")</f>
        <v/>
      </c>
      <c r="E12" t="str">
        <f t="shared" si="0"/>
        <v>Rhegion and Zancle join in union under Zancle</v>
      </c>
      <c r="F12" t="str">
        <f t="shared" si="1"/>
        <v/>
      </c>
      <c r="H12" t="b">
        <f t="shared" si="2"/>
        <v>0</v>
      </c>
      <c r="J12" s="3" t="str">
        <v>737</v>
      </c>
      <c r="K12" s="4" t="str">
        <v>Rhegion and Zancle join in union under Zancle</v>
      </c>
      <c r="M12" s="3" t="str">
        <v>160</v>
      </c>
      <c r="N12" s="4" t="str">
        <v>--&gt; Dayuan Kingdom.[13]</v>
      </c>
      <c r="P12" t="str">
        <v>737</v>
      </c>
      <c r="Q12" t="str">
        <v>Rhegion and Zancle join in union under Zancle</v>
      </c>
    </row>
    <row r="13" spans="1:17" x14ac:dyDescent="0.25">
      <c r="A13" t="s">
        <v>12</v>
      </c>
      <c r="B13" t="str" cm="1">
        <f t="array" ref="B13">INDEX(_xlfn.TEXTSPLIT(A13, " "), 1)</f>
        <v>735</v>
      </c>
      <c r="C13" t="str" cm="1">
        <f t="array" ref="C13">INDEX(_xlfn.TEXTSPLIT(B13, "-"), 1)</f>
        <v>735</v>
      </c>
      <c r="D13" t="str" cm="1">
        <f t="array" ref="D13">IFERROR(INDEX(_xlfn.TEXTSPLIT(B13, "-"), 2), "")</f>
        <v/>
      </c>
      <c r="E13" t="str">
        <f t="shared" si="0"/>
        <v>Perdiccas I of Macedon flees from Argos to Macedonia and conquers the land.</v>
      </c>
      <c r="F13" t="str">
        <f t="shared" si="1"/>
        <v/>
      </c>
      <c r="H13" t="b">
        <f t="shared" si="2"/>
        <v>0</v>
      </c>
      <c r="J13" s="3" t="str">
        <v>735</v>
      </c>
      <c r="K13" s="4" t="str">
        <v>Perdiccas I of Macedon flees from Argos to Macedonia and conquers the land.</v>
      </c>
      <c r="M13" s="3" t="str">
        <v>320</v>
      </c>
      <c r="N13" s="4" t="str">
        <v>--&gt; First War of the Diadochi.</v>
      </c>
      <c r="P13" t="str">
        <v>735</v>
      </c>
      <c r="Q13" t="str">
        <v>Perdiccas I of Macedon flees from Argos to Macedonia and conquers the land.</v>
      </c>
    </row>
    <row r="14" spans="1:17" x14ac:dyDescent="0.25">
      <c r="A14" t="s">
        <v>13</v>
      </c>
      <c r="B14" t="str" cm="1">
        <f t="array" ref="B14">INDEX(_xlfn.TEXTSPLIT(A14, " "), 1)</f>
        <v>734</v>
      </c>
      <c r="C14" t="str" cm="1">
        <f t="array" ref="C14">INDEX(_xlfn.TEXTSPLIT(B14, "-"), 1)</f>
        <v>734</v>
      </c>
      <c r="D14" t="str" cm="1">
        <f t="array" ref="D14">IFERROR(INDEX(_xlfn.TEXTSPLIT(B14, "-"), 2), "")</f>
        <v/>
      </c>
      <c r="E14" t="str">
        <f t="shared" si="0"/>
        <v>Polydorus sends colonists to Italy.</v>
      </c>
      <c r="F14" t="str">
        <f t="shared" si="1"/>
        <v/>
      </c>
      <c r="H14" t="b">
        <f t="shared" si="2"/>
        <v>0</v>
      </c>
      <c r="J14" s="3" t="str">
        <v>734</v>
      </c>
      <c r="K14" s="4" t="str">
        <v>Polydorus sends colonists to Italy.</v>
      </c>
      <c r="M14" s="3" t="str">
        <v>311</v>
      </c>
      <c r="N14" s="4" t="str">
        <v>--&gt; Second War of the Diadochi</v>
      </c>
      <c r="P14" t="str">
        <v>734</v>
      </c>
      <c r="Q14" t="str">
        <v>Polydorus sends colonists to Italy.</v>
      </c>
    </row>
    <row r="15" spans="1:17" x14ac:dyDescent="0.25">
      <c r="A15" t="s">
        <v>14</v>
      </c>
      <c r="B15" t="str" cm="1">
        <f t="array" ref="B15">INDEX(_xlfn.TEXTSPLIT(A15, " "), 1)</f>
        <v>734</v>
      </c>
      <c r="C15" t="str" cm="1">
        <f t="array" ref="C15">INDEX(_xlfn.TEXTSPLIT(B15, "-"), 1)</f>
        <v>734</v>
      </c>
      <c r="D15" t="str" cm="1">
        <f t="array" ref="D15">IFERROR(INDEX(_xlfn.TEXTSPLIT(B15, "-"), 2), "")</f>
        <v/>
      </c>
      <c r="E15" t="str">
        <f t="shared" si="0"/>
        <v>Syracuse is founded by Korinthians and Teneans</v>
      </c>
      <c r="F15" t="str">
        <f t="shared" si="1"/>
        <v/>
      </c>
      <c r="H15" t="b">
        <f t="shared" si="2"/>
        <v>0</v>
      </c>
      <c r="J15" s="3" t="str">
        <v>734</v>
      </c>
      <c r="K15" s="4" t="str">
        <v>Syracuse is founded by Korinthians and Teneans</v>
      </c>
      <c r="M15" s="3" t="str">
        <v>63</v>
      </c>
      <c r="N15" s="4" t="str">
        <v>--&gt; Seleucid Empire</v>
      </c>
      <c r="P15" t="str">
        <v>734</v>
      </c>
      <c r="Q15" t="str">
        <v>Syracuse is founded by Korinthians and Teneans</v>
      </c>
    </row>
    <row r="16" spans="1:17" x14ac:dyDescent="0.25">
      <c r="A16" t="s">
        <v>15</v>
      </c>
      <c r="B16" t="str" cm="1">
        <f t="array" ref="B16">INDEX(_xlfn.TEXTSPLIT(A16, " "), 1)</f>
        <v>734</v>
      </c>
      <c r="C16" t="str" cm="1">
        <f t="array" ref="C16">INDEX(_xlfn.TEXTSPLIT(B16, "-"), 1)</f>
        <v>734</v>
      </c>
      <c r="D16" t="str" cm="1">
        <f t="array" ref="D16">IFERROR(INDEX(_xlfn.TEXTSPLIT(B16, "-"), 2), "")</f>
        <v/>
      </c>
      <c r="E16" t="str">
        <f t="shared" si="0"/>
        <v>Kerkyra is founded by Korinthians</v>
      </c>
      <c r="F16" t="str">
        <f t="shared" si="1"/>
        <v/>
      </c>
      <c r="H16" t="b">
        <f t="shared" si="2"/>
        <v>0</v>
      </c>
      <c r="J16" s="3" t="str">
        <v>734</v>
      </c>
      <c r="K16" s="4" t="str">
        <v>Kerkyra is founded by Korinthians</v>
      </c>
      <c r="M16" s="3" t="str">
        <v>30</v>
      </c>
      <c r="N16" s="4" t="str">
        <v>--&gt; Ptolemaic Kingdom</v>
      </c>
      <c r="P16" t="str">
        <v>734</v>
      </c>
      <c r="Q16" t="str">
        <v>Kerkyra is founded by Korinthians</v>
      </c>
    </row>
    <row r="17" spans="1:17" x14ac:dyDescent="0.25">
      <c r="A17" t="s">
        <v>16</v>
      </c>
      <c r="B17" t="str" cm="1">
        <f t="array" ref="B17">INDEX(_xlfn.TEXTSPLIT(A17, " "), 1)</f>
        <v>733</v>
      </c>
      <c r="C17" t="str" cm="1">
        <f t="array" ref="C17">INDEX(_xlfn.TEXTSPLIT(B17, "-"), 1)</f>
        <v>733</v>
      </c>
      <c r="D17" t="str" cm="1">
        <f t="array" ref="D17">IFERROR(INDEX(_xlfn.TEXTSPLIT(B17, "-"), 2), "")</f>
        <v/>
      </c>
      <c r="E17" t="str">
        <f t="shared" si="0"/>
        <v>Naxos (Sicily) is founded by Euboeans</v>
      </c>
      <c r="F17" t="str">
        <f t="shared" si="1"/>
        <v/>
      </c>
      <c r="H17" t="b">
        <f t="shared" si="2"/>
        <v>0</v>
      </c>
      <c r="J17" s="3" t="str">
        <v>733</v>
      </c>
      <c r="K17" s="4" t="str">
        <v>Naxos (Sicily) is founded by Euboeans</v>
      </c>
      <c r="M17" s="3" t="str">
        <v>133</v>
      </c>
      <c r="N17" s="4" t="str">
        <v>--&gt; Kingdom of Pergamon</v>
      </c>
      <c r="P17" t="str">
        <v>733</v>
      </c>
      <c r="Q17" t="str">
        <v>Naxos (Sicily) is founded by Euboeans</v>
      </c>
    </row>
    <row r="18" spans="1:17" x14ac:dyDescent="0.25">
      <c r="A18" t="s">
        <v>17</v>
      </c>
      <c r="B18" t="str" cm="1">
        <f t="array" ref="B18">INDEX(_xlfn.TEXTSPLIT(A18, " "), 1)</f>
        <v>733</v>
      </c>
      <c r="C18" t="str" cm="1">
        <f t="array" ref="C18">INDEX(_xlfn.TEXTSPLIT(B18, "-"), 1)</f>
        <v>733</v>
      </c>
      <c r="D18" t="str" cm="1">
        <f t="array" ref="D18">IFERROR(INDEX(_xlfn.TEXTSPLIT(B18, "-"), 2), "")</f>
        <v/>
      </c>
      <c r="E18" t="str">
        <f t="shared" si="0"/>
        <v>Troliton is founded by Megarans</v>
      </c>
      <c r="F18" t="str">
        <f t="shared" si="1"/>
        <v/>
      </c>
      <c r="H18" t="b">
        <f t="shared" si="2"/>
        <v>0</v>
      </c>
      <c r="J18" s="3" t="str">
        <v>733</v>
      </c>
      <c r="K18" s="4" t="str">
        <v>Troliton is founded by Megarans</v>
      </c>
      <c r="M18" s="3" t="str">
        <v>275</v>
      </c>
      <c r="N18" s="4" t="str">
        <v>--&gt; Pyrrhic War</v>
      </c>
      <c r="P18" t="str">
        <v>733</v>
      </c>
      <c r="Q18" t="str">
        <v>Troliton is founded by Megarans</v>
      </c>
    </row>
    <row r="19" spans="1:17" x14ac:dyDescent="0.25">
      <c r="A19" t="s">
        <v>18</v>
      </c>
      <c r="B19" t="str" cm="1">
        <f t="array" ref="B19">INDEX(_xlfn.TEXTSPLIT(A19, " "), 1)</f>
        <v>732</v>
      </c>
      <c r="C19" t="str" cm="1">
        <f t="array" ref="C19">INDEX(_xlfn.TEXTSPLIT(B19, "-"), 1)</f>
        <v>732</v>
      </c>
      <c r="D19" t="str" cm="1">
        <f t="array" ref="D19">IFERROR(INDEX(_xlfn.TEXTSPLIT(B19, "-"), 2), "")</f>
        <v/>
      </c>
      <c r="E19" t="str">
        <f t="shared" si="0"/>
        <v>Euboea splits between Chalcis and Eretria due to disputes</v>
      </c>
      <c r="F19" t="str">
        <f t="shared" si="1"/>
        <v/>
      </c>
      <c r="H19" t="b">
        <f t="shared" si="2"/>
        <v>0</v>
      </c>
      <c r="J19" s="3" t="str">
        <v>732</v>
      </c>
      <c r="K19" s="4" t="str">
        <v>Euboea splits between Chalcis and Eretria due to disputes</v>
      </c>
      <c r="M19" s="3" t="str">
        <v>271</v>
      </c>
      <c r="N19" s="4" t="str">
        <v>--&gt; First Syrian War</v>
      </c>
      <c r="P19" t="str">
        <v>732</v>
      </c>
      <c r="Q19" t="str">
        <v>Euboea splits between Chalcis and Eretria due to disputes</v>
      </c>
    </row>
    <row r="20" spans="1:17" x14ac:dyDescent="0.25">
      <c r="A20" t="s">
        <v>19</v>
      </c>
      <c r="B20" t="str" cm="1">
        <f t="array" ref="B20">INDEX(_xlfn.TEXTSPLIT(A20, " "), 1)</f>
        <v>731</v>
      </c>
      <c r="C20" t="str" cm="1">
        <f t="array" ref="C20">INDEX(_xlfn.TEXTSPLIT(B20, "-"), 1)</f>
        <v>731</v>
      </c>
      <c r="D20" t="str" cm="1">
        <f t="array" ref="D20">IFERROR(INDEX(_xlfn.TEXTSPLIT(B20, "-"), 2), "")</f>
        <v/>
      </c>
      <c r="E20" t="str">
        <f t="shared" si="0"/>
        <v>Sigeion is founded by Mytilene</v>
      </c>
      <c r="F20" t="str">
        <f t="shared" si="1"/>
        <v/>
      </c>
      <c r="H20" t="b">
        <f t="shared" si="2"/>
        <v>0</v>
      </c>
      <c r="J20" s="3" t="str">
        <v>731</v>
      </c>
      <c r="K20" s="4" t="str">
        <v>Sigeion is founded by Mytilene</v>
      </c>
      <c r="M20" s="3" t="str">
        <v>262</v>
      </c>
      <c r="N20" s="4" t="str">
        <v>--&gt; Chremonidean War</v>
      </c>
      <c r="P20" t="str">
        <v>731</v>
      </c>
      <c r="Q20" t="str">
        <v>Sigeion is founded by Mytilene</v>
      </c>
    </row>
    <row r="21" spans="1:17" x14ac:dyDescent="0.25">
      <c r="A21" t="s">
        <v>20</v>
      </c>
      <c r="B21" t="str" cm="1">
        <f t="array" ref="B21">INDEX(_xlfn.TEXTSPLIT(A21, " "), 1)</f>
        <v>731</v>
      </c>
      <c r="C21" t="str" cm="1">
        <f t="array" ref="C21">INDEX(_xlfn.TEXTSPLIT(B21, "-"), 1)</f>
        <v>731</v>
      </c>
      <c r="D21" t="str" cm="1">
        <f t="array" ref="D21">IFERROR(INDEX(_xlfn.TEXTSPLIT(B21, "-"), 2), "")</f>
        <v/>
      </c>
      <c r="E21" t="str">
        <f t="shared" si="0"/>
        <v>Catania is founded by Chalcidians</v>
      </c>
      <c r="F21" t="str">
        <f t="shared" si="1"/>
        <v/>
      </c>
      <c r="H21" t="b">
        <f t="shared" si="2"/>
        <v>0</v>
      </c>
      <c r="J21" s="3" t="str">
        <v>731</v>
      </c>
      <c r="K21" s="4" t="str">
        <v>Catania is founded by Chalcidians</v>
      </c>
      <c r="M21" s="3" t="str">
        <v>253</v>
      </c>
      <c r="N21" s="4" t="str">
        <v>--&gt; Second Syrian War</v>
      </c>
      <c r="P21" t="str">
        <v>731</v>
      </c>
      <c r="Q21" t="str">
        <v>Catania is founded by Chalcidians</v>
      </c>
    </row>
    <row r="22" spans="1:17" x14ac:dyDescent="0.25">
      <c r="A22" t="s">
        <v>21</v>
      </c>
      <c r="B22" t="str" cm="1">
        <f t="array" ref="B22">INDEX(_xlfn.TEXTSPLIT(A22, " "), 1)</f>
        <v>730</v>
      </c>
      <c r="C22" t="str" cm="1">
        <f t="array" ref="C22">INDEX(_xlfn.TEXTSPLIT(B22, "-"), 1)</f>
        <v>730</v>
      </c>
      <c r="D22" t="str" cm="1">
        <f t="array" ref="D22">IFERROR(INDEX(_xlfn.TEXTSPLIT(B22, "-"), 2), "")</f>
        <v/>
      </c>
      <c r="E22" t="str">
        <f t="shared" si="0"/>
        <v>Leontini is founded by Naxos and controlled by the tyrant Euarchus</v>
      </c>
      <c r="F22" t="str">
        <f t="shared" si="1"/>
        <v/>
      </c>
      <c r="H22" t="b">
        <f t="shared" si="2"/>
        <v>0</v>
      </c>
      <c r="J22" s="3" t="str">
        <v>730</v>
      </c>
      <c r="K22" s="4" t="str">
        <v>Leontini is founded by Naxos and controlled by the tyrant Euarchus</v>
      </c>
      <c r="M22" s="3" t="str">
        <v>125</v>
      </c>
      <c r="N22" s="4" t="str">
        <v>--&gt; Greco-Bactrian Kingdom</v>
      </c>
      <c r="P22" t="str">
        <v>730</v>
      </c>
      <c r="Q22" t="str">
        <v>Leontini is founded by Naxos and controlled by the tyrant Euarchus</v>
      </c>
    </row>
    <row r="23" spans="1:17" x14ac:dyDescent="0.25">
      <c r="A23" t="s">
        <v>22</v>
      </c>
      <c r="B23" t="str" cm="1">
        <f t="array" ref="B23">INDEX(_xlfn.TEXTSPLIT(A23, " "), 1)</f>
        <v>730</v>
      </c>
      <c r="C23" t="str" cm="1">
        <f t="array" ref="C23">INDEX(_xlfn.TEXTSPLIT(B23, "-"), 1)</f>
        <v>730</v>
      </c>
      <c r="D23" t="str" cm="1">
        <f t="array" ref="D23">IFERROR(INDEX(_xlfn.TEXTSPLIT(B23, "-"), 2), "")</f>
        <v/>
      </c>
      <c r="E23" t="str">
        <f t="shared" si="0"/>
        <v>Troliton is abandoned and settlers settled in Leontini</v>
      </c>
      <c r="F23" t="str">
        <f t="shared" si="1"/>
        <v/>
      </c>
      <c r="H23" t="b">
        <f t="shared" si="2"/>
        <v>0</v>
      </c>
      <c r="J23" s="3" t="str">
        <v>730</v>
      </c>
      <c r="K23" s="4" t="str">
        <v>Troliton is abandoned and settlers settled in Leontini</v>
      </c>
      <c r="M23" s="3" t="str">
        <v>241</v>
      </c>
      <c r="N23" s="4" t="str">
        <v>--&gt; Third Syrian War</v>
      </c>
      <c r="P23" t="str">
        <v>730</v>
      </c>
      <c r="Q23" t="str">
        <v>Troliton is abandoned and settlers settled in Leontini</v>
      </c>
    </row>
    <row r="24" spans="1:17" x14ac:dyDescent="0.25">
      <c r="A24" t="s">
        <v>23</v>
      </c>
      <c r="B24" t="str" cm="1">
        <f t="array" ref="B24">INDEX(_xlfn.TEXTSPLIT(A24, " "), 1)</f>
        <v>728</v>
      </c>
      <c r="C24" t="str" cm="1">
        <f t="array" ref="C24">INDEX(_xlfn.TEXTSPLIT(B24, "-"), 1)</f>
        <v>728</v>
      </c>
      <c r="D24" t="str" cm="1">
        <f t="array" ref="D24">IFERROR(INDEX(_xlfn.TEXTSPLIT(B24, "-"), 2), "")</f>
        <v/>
      </c>
      <c r="E24" t="str">
        <f t="shared" si="0"/>
        <v>Troliton settlers are ostracized from Leontini and settle Thapsos</v>
      </c>
      <c r="F24" t="str">
        <f t="shared" si="1"/>
        <v/>
      </c>
      <c r="H24" t="b">
        <f t="shared" si="2"/>
        <v>0</v>
      </c>
      <c r="J24" s="3" t="str">
        <v>728</v>
      </c>
      <c r="K24" s="4" t="str">
        <v>Troliton settlers are ostracized from Leontini and settle Thapsos</v>
      </c>
      <c r="M24" s="3" t="str">
        <v>217</v>
      </c>
      <c r="N24" s="4" t="str">
        <v>--&gt; Fourth Syrian War</v>
      </c>
      <c r="P24" t="str">
        <v>728</v>
      </c>
      <c r="Q24" t="str">
        <v>Troliton settlers are ostracized from Leontini and settle Thapsos</v>
      </c>
    </row>
    <row r="25" spans="1:17" x14ac:dyDescent="0.25">
      <c r="A25" t="s">
        <v>24</v>
      </c>
      <c r="B25" t="str" cm="1">
        <f t="array" ref="B25">INDEX(_xlfn.TEXTSPLIT(A25, " "), 1)</f>
        <v>727-717</v>
      </c>
      <c r="C25" t="str" cm="1">
        <f t="array" ref="C25">INDEX(_xlfn.TEXTSPLIT(B25, "-"), 1)</f>
        <v>727</v>
      </c>
      <c r="D25" t="str" cm="1">
        <f t="array" ref="D25">IFERROR(INDEX(_xlfn.TEXTSPLIT(B25, "-"), 2), "")</f>
        <v>717</v>
      </c>
      <c r="E25" t="str">
        <f t="shared" si="0"/>
        <v>Hippomenes, archon of Athens, kills his daughter's adulterer by yoking him to his chariot and then locks his daughter Leimone in with a horse until she dies. (Pausanias and Aristotle). --&gt;</v>
      </c>
      <c r="F25" t="str">
        <f t="shared" si="1"/>
        <v>--&gt; Hippomenes, archon of Athens, kills his daughter's adulterer by yoking him to his chariot and then locks his daughter Leimone in with a horse until she dies. (Pausanias and Aristotle).</v>
      </c>
      <c r="H25" t="b">
        <f t="shared" si="2"/>
        <v>1</v>
      </c>
      <c r="J25" s="3" t="str">
        <v>727</v>
      </c>
      <c r="K25" s="4" t="str">
        <v>Hippomenes, archon of Athens, kills his daughter's adulterer by yoking him to his chariot and then locks his daughter Leimone in with a horse until she dies. (Pausanias and Aristotle). --&gt;</v>
      </c>
      <c r="M25" s="3" t="str">
        <v>205</v>
      </c>
      <c r="N25" s="4" t="str">
        <v>--&gt; First Macedonian War</v>
      </c>
      <c r="P25" t="str">
        <v>727</v>
      </c>
      <c r="Q25" t="str">
        <v>Hippomenes, archon of Athens, kills his daughter's adulterer by yoking him to his chariot and then locks his daughter Leimone in with a horse until she dies. (Pausanias and Aristotle). --&gt;</v>
      </c>
    </row>
    <row r="26" spans="1:17" x14ac:dyDescent="0.25">
      <c r="A26" t="s">
        <v>25</v>
      </c>
      <c r="B26" t="str" cm="1">
        <f t="array" ref="B26">INDEX(_xlfn.TEXTSPLIT(A26, " "), 1)</f>
        <v>725</v>
      </c>
      <c r="C26" t="str" cm="1">
        <f t="array" ref="C26">INDEX(_xlfn.TEXTSPLIT(B26, "-"), 1)</f>
        <v>725</v>
      </c>
      <c r="D26" t="str" cm="1">
        <f t="array" ref="D26">IFERROR(INDEX(_xlfn.TEXTSPLIT(B26, "-"), 2), "")</f>
        <v/>
      </c>
      <c r="E26" t="str">
        <f t="shared" si="0"/>
        <v>Lelantine War between Chalcis and Eretria. Many Greek cities are allied with one or the other. Dates before this time uncertain.</v>
      </c>
      <c r="F26" t="str">
        <f t="shared" si="1"/>
        <v/>
      </c>
      <c r="H26" t="b">
        <f t="shared" si="2"/>
        <v>0</v>
      </c>
      <c r="J26" s="3" t="str">
        <v>725</v>
      </c>
      <c r="K26" s="4" t="str">
        <v>Lelantine War between Chalcis and Eretria. Many Greek cities are allied with one or the other. Dates before this time uncertain.</v>
      </c>
      <c r="M26" s="3" t="str">
        <v>200</v>
      </c>
      <c r="N26" s="4" t="str">
        <v>--&gt; Fifth Syrian War</v>
      </c>
      <c r="P26" t="str">
        <v>725</v>
      </c>
      <c r="Q26" t="str">
        <v>Lelantine War between Chalcis and Eretria. Many Greek cities are allied with one or the other. Dates before this time uncertain.</v>
      </c>
    </row>
    <row r="27" spans="1:17" x14ac:dyDescent="0.25">
      <c r="A27" t="s">
        <v>26</v>
      </c>
      <c r="B27" t="str" cm="1">
        <f t="array" ref="B27">INDEX(_xlfn.TEXTSPLIT(A27, " "), 1)</f>
        <v>725</v>
      </c>
      <c r="C27" t="str" cm="1">
        <f t="array" ref="C27">INDEX(_xlfn.TEXTSPLIT(B27, "-"), 1)</f>
        <v>725</v>
      </c>
      <c r="D27" t="str" cm="1">
        <f t="array" ref="D27">IFERROR(INDEX(_xlfn.TEXTSPLIT(B27, "-"), 2), "")</f>
        <v/>
      </c>
      <c r="E27" t="str">
        <f t="shared" si="0"/>
        <v>Thapsos abandoned and Megara Hyblaea is settled by the Thapsos settlers</v>
      </c>
      <c r="F27" t="str">
        <f t="shared" si="1"/>
        <v/>
      </c>
      <c r="H27" t="b">
        <f t="shared" si="2"/>
        <v>0</v>
      </c>
      <c r="J27" s="3" t="str">
        <v>725</v>
      </c>
      <c r="K27" s="4" t="str">
        <v>Thapsos abandoned and Megara Hyblaea is settled by the Thapsos settlers</v>
      </c>
      <c r="M27" s="3" t="str">
        <v>196</v>
      </c>
      <c r="N27" s="4" t="str">
        <v>--&gt; Second Macedonian War</v>
      </c>
      <c r="P27" t="str">
        <v>725</v>
      </c>
      <c r="Q27" t="str">
        <v>Thapsos abandoned and Megara Hyblaea is settled by the Thapsos settlers</v>
      </c>
    </row>
    <row r="28" spans="1:17" x14ac:dyDescent="0.25">
      <c r="A28" t="s">
        <v>27</v>
      </c>
      <c r="B28" t="str" cm="1">
        <f t="array" ref="B28">INDEX(_xlfn.TEXTSPLIT(A28, " "), 1)</f>
        <v>720</v>
      </c>
      <c r="C28" t="str" cm="1">
        <f t="array" ref="C28">INDEX(_xlfn.TEXTSPLIT(B28, "-"), 1)</f>
        <v>720</v>
      </c>
      <c r="D28" t="str" cm="1">
        <f t="array" ref="D28">IFERROR(INDEX(_xlfn.TEXTSPLIT(B28, "-"), 2), "")</f>
        <v/>
      </c>
      <c r="E28" t="str">
        <f t="shared" si="0"/>
        <v>Korinth removes the Liburnians from Kerkyra</v>
      </c>
      <c r="F28" t="str">
        <f t="shared" si="1"/>
        <v/>
      </c>
      <c r="H28" t="b">
        <f t="shared" si="2"/>
        <v>0</v>
      </c>
      <c r="J28" s="3" t="str">
        <v>720</v>
      </c>
      <c r="K28" s="4" t="str">
        <v>Korinth removes the Liburnians from Kerkyra</v>
      </c>
      <c r="M28" s="3" t="str">
        <v>188</v>
      </c>
      <c r="N28" s="4" t="str">
        <v>--&gt; Roman-Syrian War</v>
      </c>
      <c r="P28" t="str">
        <v>720</v>
      </c>
      <c r="Q28" t="str">
        <v>Korinth removes the Liburnians from Kerkyra</v>
      </c>
    </row>
    <row r="29" spans="1:17" x14ac:dyDescent="0.25">
      <c r="A29" t="s">
        <v>28</v>
      </c>
      <c r="B29" t="str" cm="1">
        <f t="array" ref="B29">INDEX(_xlfn.TEXTSPLIT(A29, " "), 1)</f>
        <v>720</v>
      </c>
      <c r="C29" t="str" cm="1">
        <f t="array" ref="C29">INDEX(_xlfn.TEXTSPLIT(B29, "-"), 1)</f>
        <v>720</v>
      </c>
      <c r="D29" t="str" cm="1">
        <f t="array" ref="D29">IFERROR(INDEX(_xlfn.TEXTSPLIT(B29, "-"), 2), "")</f>
        <v/>
      </c>
      <c r="E29" t="str">
        <f t="shared" si="0"/>
        <v>Sybaris is founded by Achaeans from Helice</v>
      </c>
      <c r="F29" t="str">
        <f t="shared" si="1"/>
        <v/>
      </c>
      <c r="H29" t="b">
        <f t="shared" si="2"/>
        <v>0</v>
      </c>
      <c r="J29" s="3" t="str">
        <v>720</v>
      </c>
      <c r="K29" s="4" t="str">
        <v>Sybaris is founded by Achaeans from Helice</v>
      </c>
      <c r="M29" s="3" t="str">
        <v>167</v>
      </c>
      <c r="N29" s="4" t="str">
        <v>--&gt; Third Macedonian War</v>
      </c>
      <c r="P29" t="str">
        <v>720</v>
      </c>
      <c r="Q29" t="str">
        <v>Sybaris is founded by Achaeans from Helice</v>
      </c>
    </row>
    <row r="30" spans="1:17" x14ac:dyDescent="0.25">
      <c r="A30" t="s">
        <v>29</v>
      </c>
      <c r="B30" t="str" cm="1">
        <f t="array" ref="B30">INDEX(_xlfn.TEXTSPLIT(A30, " "), 1)</f>
        <v>719</v>
      </c>
      <c r="C30" t="str" cm="1">
        <f t="array" ref="C30">INDEX(_xlfn.TEXTSPLIT(B30, "-"), 1)</f>
        <v>719</v>
      </c>
      <c r="D30" t="str" cm="1">
        <f t="array" ref="D30">IFERROR(INDEX(_xlfn.TEXTSPLIT(B30, "-"), 2), "")</f>
        <v/>
      </c>
      <c r="E30" t="str">
        <f t="shared" si="0"/>
        <v>Polydorus, King of Sparta, is murdered by Polymarchus.</v>
      </c>
      <c r="F30" t="str">
        <f t="shared" si="1"/>
        <v/>
      </c>
      <c r="H30" t="b">
        <f t="shared" si="2"/>
        <v>0</v>
      </c>
      <c r="J30" s="3" t="str">
        <v>719</v>
      </c>
      <c r="K30" s="4" t="str">
        <v>Polydorus, King of Sparta, is murdered by Polymarchus.</v>
      </c>
      <c r="M30" s="3" t="str">
        <v>168</v>
      </c>
      <c r="N30" s="4" t="str">
        <v>--&gt; Sixth Syrian War</v>
      </c>
      <c r="P30" t="str">
        <v>719</v>
      </c>
      <c r="Q30" t="str">
        <v>Polydorus, King of Sparta, is murdered by Polymarchus.</v>
      </c>
    </row>
    <row r="31" spans="1:17" ht="15.75" thickBot="1" x14ac:dyDescent="0.3">
      <c r="A31" t="s">
        <v>30</v>
      </c>
      <c r="B31" t="str" cm="1">
        <f t="array" ref="B31">INDEX(_xlfn.TEXTSPLIT(A31, " "), 1)</f>
        <v>716</v>
      </c>
      <c r="C31" t="str" cm="1">
        <f t="array" ref="C31">INDEX(_xlfn.TEXTSPLIT(B31, "-"), 1)</f>
        <v>716</v>
      </c>
      <c r="D31" t="str" cm="1">
        <f t="array" ref="D31">IFERROR(INDEX(_xlfn.TEXTSPLIT(B31, "-"), 2), "")</f>
        <v/>
      </c>
      <c r="E31" t="str">
        <f t="shared" si="0"/>
        <v>Mylae is founded and annexed by Zancle</v>
      </c>
      <c r="F31" t="str">
        <f t="shared" si="1"/>
        <v/>
      </c>
      <c r="H31" t="b">
        <f t="shared" si="2"/>
        <v>0</v>
      </c>
      <c r="J31" s="3" t="str">
        <v>716</v>
      </c>
      <c r="K31" s="4" t="str">
        <v>Mylae is founded and annexed by Zancle</v>
      </c>
      <c r="M31" s="5" t="str">
        <v>148</v>
      </c>
      <c r="N31" s="6" t="str">
        <v>--&gt; Fourth Macedonian War</v>
      </c>
      <c r="P31" t="str">
        <v>717</v>
      </c>
      <c r="Q31" t="str">
        <v>--&gt; Hippomenes, archon of Athens, kills his daughter's adulterer by yoking him to his chariot and then locks his daughter Leimone in with a horse until she dies. (Pausanias and Aristotle).</v>
      </c>
    </row>
    <row r="32" spans="1:17" x14ac:dyDescent="0.25">
      <c r="A32" t="s">
        <v>31</v>
      </c>
      <c r="B32" t="str" cm="1">
        <f t="array" ref="B32">INDEX(_xlfn.TEXTSPLIT(A32, " "), 1)</f>
        <v>716</v>
      </c>
      <c r="C32" t="str" cm="1">
        <f t="array" ref="C32">INDEX(_xlfn.TEXTSPLIT(B32, "-"), 1)</f>
        <v>716</v>
      </c>
      <c r="D32" t="str" cm="1">
        <f t="array" ref="D32">IFERROR(INDEX(_xlfn.TEXTSPLIT(B32, "-"), 2), "")</f>
        <v/>
      </c>
      <c r="E32" t="str">
        <f t="shared" si="0"/>
        <v>According to legend: The reign of the Heraklids over Lydia is ended when Candaules, known as Myrsilus to the Greeks, is murdered by Gyges because of his wife's anger.</v>
      </c>
      <c r="F32" t="str">
        <f t="shared" si="1"/>
        <v/>
      </c>
      <c r="H32" t="b">
        <f t="shared" si="2"/>
        <v>0</v>
      </c>
      <c r="J32" s="3" t="str">
        <v>716</v>
      </c>
      <c r="K32" s="4" t="str">
        <v>According to legend: The reign of the Heraklids over Lydia is ended when Candaules, known as Myrsilus to the Greeks, is murdered by Gyges because of his wife's anger.</v>
      </c>
      <c r="P32" t="str">
        <v>716</v>
      </c>
      <c r="Q32" t="str">
        <v>Mylae is founded and annexed by Zancle</v>
      </c>
    </row>
    <row r="33" spans="1:17" x14ac:dyDescent="0.25">
      <c r="A33" t="s">
        <v>32</v>
      </c>
      <c r="B33" t="str" cm="1">
        <f t="array" ref="B33">INDEX(_xlfn.TEXTSPLIT(A33, " "), 1)</f>
        <v>715</v>
      </c>
      <c r="C33" t="str" cm="1">
        <f t="array" ref="C33">INDEX(_xlfn.TEXTSPLIT(B33, "-"), 1)</f>
        <v>715</v>
      </c>
      <c r="D33" t="str" cm="1">
        <f t="array" ref="D33">IFERROR(INDEX(_xlfn.TEXTSPLIT(B33, "-"), 2), "")</f>
        <v/>
      </c>
      <c r="E33" t="str">
        <f t="shared" si="0"/>
        <v>Lydia annexes Colophon and Magnesia and sieges Smyrna</v>
      </c>
      <c r="F33" t="str">
        <f t="shared" si="1"/>
        <v/>
      </c>
      <c r="H33" t="b">
        <f t="shared" si="2"/>
        <v>0</v>
      </c>
      <c r="J33" s="3" t="str">
        <v>715</v>
      </c>
      <c r="K33" s="4" t="str">
        <v>Lydia annexes Colophon and Magnesia and sieges Smyrna</v>
      </c>
      <c r="P33" t="str">
        <v>716</v>
      </c>
      <c r="Q33" t="str">
        <v>According to legend: The reign of the Heraklids over Lydia is ended when Candaules, known as Myrsilus to the Greeks, is murdered by Gyges because of his wife's anger.</v>
      </c>
    </row>
    <row r="34" spans="1:17" x14ac:dyDescent="0.25">
      <c r="A34" t="s">
        <v>33</v>
      </c>
      <c r="B34" t="str" cm="1">
        <f t="array" ref="B34">INDEX(_xlfn.TEXTSPLIT(A34, " "), 1)</f>
        <v>712</v>
      </c>
      <c r="C34" t="str" cm="1">
        <f t="array" ref="C34">INDEX(_xlfn.TEXTSPLIT(B34, "-"), 1)</f>
        <v>712</v>
      </c>
      <c r="D34" t="str" cm="1">
        <f t="array" ref="D34">IFERROR(INDEX(_xlfn.TEXTSPLIT(B34, "-"), 2), "")</f>
        <v/>
      </c>
      <c r="E34" t="str">
        <f t="shared" si="0"/>
        <v>Lydia abandons the siege of Smyrna and annexes parts of Troad and Sipylus</v>
      </c>
      <c r="F34" t="str">
        <f t="shared" si="1"/>
        <v/>
      </c>
      <c r="H34" t="b">
        <f t="shared" si="2"/>
        <v>0</v>
      </c>
      <c r="J34" s="3" t="str">
        <v>712</v>
      </c>
      <c r="K34" s="4" t="str">
        <v>Lydia abandons the siege of Smyrna and annexes parts of Troad and Sipylus</v>
      </c>
      <c r="P34" t="str">
        <v>715</v>
      </c>
      <c r="Q34" t="str">
        <v>Lydia annexes Colophon and Magnesia and sieges Smyrna</v>
      </c>
    </row>
    <row r="35" spans="1:17" x14ac:dyDescent="0.25">
      <c r="A35" t="s">
        <v>34</v>
      </c>
      <c r="B35" t="str" cm="1">
        <f t="array" ref="B35">INDEX(_xlfn.TEXTSPLIT(A35, " "), 1)</f>
        <v>712</v>
      </c>
      <c r="C35" t="str" cm="1">
        <f t="array" ref="C35">INDEX(_xlfn.TEXTSPLIT(B35, "-"), 1)</f>
        <v>712</v>
      </c>
      <c r="D35" t="str" cm="1">
        <f t="array" ref="D35">IFERROR(INDEX(_xlfn.TEXTSPLIT(B35, "-"), 2), "")</f>
        <v/>
      </c>
      <c r="E35" t="str">
        <f t="shared" si="0"/>
        <v>Korinth annexes Perachora peninsula from Megara</v>
      </c>
      <c r="F35" t="str">
        <f t="shared" si="1"/>
        <v/>
      </c>
      <c r="H35" t="b">
        <f t="shared" si="2"/>
        <v>0</v>
      </c>
      <c r="J35" s="3" t="str">
        <v>712</v>
      </c>
      <c r="K35" s="4" t="str">
        <v>Korinth annexes Perachora peninsula from Megara</v>
      </c>
      <c r="P35" t="str">
        <v>712</v>
      </c>
      <c r="Q35" t="str">
        <v>Lydia abandons the siege of Smyrna and annexes parts of Troad and Sipylus</v>
      </c>
    </row>
    <row r="36" spans="1:17" x14ac:dyDescent="0.25">
      <c r="A36" t="s">
        <v>35</v>
      </c>
      <c r="B36" t="str" cm="1">
        <f t="array" ref="B36">INDEX(_xlfn.TEXTSPLIT(A36, " "), 1)</f>
        <v>709</v>
      </c>
      <c r="C36" t="str" cm="1">
        <f t="array" ref="C36">INDEX(_xlfn.TEXTSPLIT(B36, "-"), 1)</f>
        <v>709</v>
      </c>
      <c r="D36" t="str" cm="1">
        <f t="array" ref="D36">IFERROR(INDEX(_xlfn.TEXTSPLIT(B36, "-"), 2), "")</f>
        <v/>
      </c>
      <c r="E36" t="str">
        <f t="shared" si="0"/>
        <v>Kroton is founded by Achaeans</v>
      </c>
      <c r="F36" t="str">
        <f t="shared" si="1"/>
        <v/>
      </c>
      <c r="H36" t="b">
        <f t="shared" si="2"/>
        <v>0</v>
      </c>
      <c r="J36" s="3" t="str">
        <v>709</v>
      </c>
      <c r="K36" s="4" t="str">
        <v>Kroton is founded by Achaeans</v>
      </c>
      <c r="P36" t="str">
        <v>712</v>
      </c>
      <c r="Q36" t="str">
        <v>Korinth annexes Perachora peninsula from Megara</v>
      </c>
    </row>
    <row r="37" spans="1:17" x14ac:dyDescent="0.25">
      <c r="A37" t="s">
        <v>36</v>
      </c>
      <c r="B37" t="str" cm="1">
        <f t="array" ref="B37">INDEX(_xlfn.TEXTSPLIT(A37, " "), 1)</f>
        <v>707</v>
      </c>
      <c r="C37" t="str" cm="1">
        <f t="array" ref="C37">INDEX(_xlfn.TEXTSPLIT(B37, "-"), 1)</f>
        <v>707</v>
      </c>
      <c r="D37" t="str" cm="1">
        <f t="array" ref="D37">IFERROR(INDEX(_xlfn.TEXTSPLIT(B37, "-"), 2), "")</f>
        <v/>
      </c>
      <c r="E37" t="str">
        <f t="shared" si="0"/>
        <v>Taras is founded by Dorians</v>
      </c>
      <c r="F37" t="str">
        <f t="shared" si="1"/>
        <v/>
      </c>
      <c r="H37" t="b">
        <f t="shared" si="2"/>
        <v>0</v>
      </c>
      <c r="J37" s="3" t="str">
        <v>707</v>
      </c>
      <c r="K37" s="4" t="str">
        <v>Taras is founded by Dorians</v>
      </c>
      <c r="P37" t="str">
        <v>709</v>
      </c>
      <c r="Q37" t="str">
        <v>Kroton is founded by Achaeans</v>
      </c>
    </row>
    <row r="38" spans="1:17" x14ac:dyDescent="0.25">
      <c r="A38" t="s">
        <v>37</v>
      </c>
      <c r="B38" t="str" cm="1">
        <f t="array" ref="B38">INDEX(_xlfn.TEXTSPLIT(A38, " "), 1)</f>
        <v>705</v>
      </c>
      <c r="C38" t="str" cm="1">
        <f t="array" ref="C38">INDEX(_xlfn.TEXTSPLIT(B38, "-"), 1)</f>
        <v>705</v>
      </c>
      <c r="D38" t="str" cm="1">
        <f t="array" ref="D38">IFERROR(INDEX(_xlfn.TEXTSPLIT(B38, "-"), 2), "")</f>
        <v/>
      </c>
      <c r="E38" t="str">
        <f t="shared" si="0"/>
        <v>Hybla Minor is annexed by Megara Hyblaea</v>
      </c>
      <c r="F38" t="str">
        <f t="shared" si="1"/>
        <v/>
      </c>
      <c r="H38" t="b">
        <f t="shared" si="2"/>
        <v>0</v>
      </c>
      <c r="J38" s="3" t="str">
        <v>705</v>
      </c>
      <c r="K38" s="4" t="str">
        <v>Hybla Minor is annexed by Megara Hyblaea</v>
      </c>
      <c r="P38" t="str">
        <v>707</v>
      </c>
      <c r="Q38" t="str">
        <v>Taras is founded by Dorians</v>
      </c>
    </row>
    <row r="39" spans="1:17" x14ac:dyDescent="0.25">
      <c r="A39" t="s">
        <v>38</v>
      </c>
      <c r="B39" t="str" cm="1">
        <f t="array" ref="B39">INDEX(_xlfn.TEXTSPLIT(A39, " "), 1)</f>
        <v>704</v>
      </c>
      <c r="C39" t="str" cm="1">
        <f t="array" ref="C39">INDEX(_xlfn.TEXTSPLIT(B39, "-"), 1)</f>
        <v>704</v>
      </c>
      <c r="D39" t="str" cm="1">
        <f t="array" ref="D39">IFERROR(INDEX(_xlfn.TEXTSPLIT(B39, "-"), 2), "")</f>
        <v/>
      </c>
      <c r="E39" t="str">
        <f t="shared" si="0"/>
        <v>Korinth gives Samos 4 ships</v>
      </c>
      <c r="F39" t="str">
        <f t="shared" si="1"/>
        <v/>
      </c>
      <c r="H39" t="b">
        <f t="shared" si="2"/>
        <v>0</v>
      </c>
      <c r="J39" s="3" t="str">
        <v>704</v>
      </c>
      <c r="K39" s="4" t="str">
        <v>Korinth gives Samos 4 ships</v>
      </c>
      <c r="P39" t="str">
        <v>705</v>
      </c>
      <c r="Q39" t="str">
        <v>Hybla Minor is annexed by Megara Hyblaea</v>
      </c>
    </row>
    <row r="40" spans="1:17" x14ac:dyDescent="0.25">
      <c r="A40" t="s">
        <v>39</v>
      </c>
      <c r="B40" t="str" cm="1">
        <f t="array" ref="B40">INDEX(_xlfn.TEXTSPLIT(A40, " "), 1)</f>
        <v>700</v>
      </c>
      <c r="C40" t="str" cm="1">
        <f t="array" ref="C40">INDEX(_xlfn.TEXTSPLIT(B40, "-"), 1)</f>
        <v>700</v>
      </c>
      <c r="D40" t="str" cm="1">
        <f t="array" ref="D40">IFERROR(INDEX(_xlfn.TEXTSPLIT(B40, "-"), 2), "")</f>
        <v/>
      </c>
      <c r="E40" t="str">
        <f t="shared" si="0"/>
        <v>The town of Phaselis is founded by the Rhodians</v>
      </c>
      <c r="F40" t="str">
        <f t="shared" si="1"/>
        <v/>
      </c>
      <c r="H40" t="b">
        <f t="shared" si="2"/>
        <v>0</v>
      </c>
      <c r="J40" s="3" t="str">
        <v>700</v>
      </c>
      <c r="K40" s="4" t="str">
        <v>The town of Phaselis is founded by the Rhodians</v>
      </c>
      <c r="P40" t="str">
        <v>704</v>
      </c>
      <c r="Q40" t="str">
        <v>Korinth gives Samos 4 ships</v>
      </c>
    </row>
    <row r="41" spans="1:17" x14ac:dyDescent="0.25">
      <c r="A41" t="s">
        <v>40</v>
      </c>
      <c r="B41" t="str" cm="1">
        <f t="array" ref="B41">INDEX(_xlfn.TEXTSPLIT(A41, " "), 1)</f>
        <v>700</v>
      </c>
      <c r="C41" t="str" cm="1">
        <f t="array" ref="C41">INDEX(_xlfn.TEXTSPLIT(B41, "-"), 1)</f>
        <v>700</v>
      </c>
      <c r="D41" t="str" cm="1">
        <f t="array" ref="D41">IFERROR(INDEX(_xlfn.TEXTSPLIT(B41, "-"), 2), "")</f>
        <v/>
      </c>
      <c r="E41" t="str">
        <f t="shared" si="0"/>
        <v>Erythra is annexed by Rhegion[citation needed]</v>
      </c>
      <c r="F41" t="str">
        <f t="shared" si="1"/>
        <v/>
      </c>
      <c r="H41" t="b">
        <f t="shared" si="2"/>
        <v>0</v>
      </c>
      <c r="J41" s="3" t="str">
        <v>700</v>
      </c>
      <c r="K41" s="4" t="str">
        <v>Erythra is annexed by Rhegion[citation needed]</v>
      </c>
      <c r="P41" t="str">
        <v>700</v>
      </c>
      <c r="Q41" t="str">
        <v>The town of Phaselis is founded by the Rhodians</v>
      </c>
    </row>
    <row r="42" spans="1:17" x14ac:dyDescent="0.25">
      <c r="A42" t="s">
        <v>41</v>
      </c>
      <c r="B42" t="str" cm="1">
        <f t="array" ref="B42">INDEX(_xlfn.TEXTSPLIT(A42, " "), 1)</f>
        <v>699</v>
      </c>
      <c r="C42" t="str" cm="1">
        <f t="array" ref="C42">INDEX(_xlfn.TEXTSPLIT(B42, "-"), 1)</f>
        <v>699</v>
      </c>
      <c r="D42" t="str" cm="1">
        <f t="array" ref="D42">IFERROR(INDEX(_xlfn.TEXTSPLIT(B42, "-"), 2), "")</f>
        <v/>
      </c>
      <c r="E42" t="str">
        <f t="shared" si="0"/>
        <v>Metapontion is founded by Kroton and Sybaris</v>
      </c>
      <c r="F42" t="str">
        <f t="shared" si="1"/>
        <v/>
      </c>
      <c r="H42" t="b">
        <f t="shared" si="2"/>
        <v>0</v>
      </c>
      <c r="J42" s="3" t="str">
        <v>699</v>
      </c>
      <c r="K42" s="4" t="str">
        <v>Metapontion is founded by Kroton and Sybaris</v>
      </c>
      <c r="P42" t="str">
        <v>700</v>
      </c>
      <c r="Q42" t="str">
        <v>Erythra is annexed by Rhegion[citation needed]</v>
      </c>
    </row>
    <row r="43" spans="1:17" x14ac:dyDescent="0.25">
      <c r="A43" t="s">
        <v>42</v>
      </c>
      <c r="B43" t="str" cm="1">
        <f t="array" ref="B43">INDEX(_xlfn.TEXTSPLIT(A43, " "), 1)</f>
        <v>698</v>
      </c>
      <c r="C43" t="str" cm="1">
        <f t="array" ref="C43">INDEX(_xlfn.TEXTSPLIT(B43, "-"), 1)</f>
        <v>698</v>
      </c>
      <c r="D43" t="str" cm="1">
        <f t="array" ref="D43">IFERROR(INDEX(_xlfn.TEXTSPLIT(B43, "-"), 2), "")</f>
        <v/>
      </c>
      <c r="E43" t="str">
        <f t="shared" si="0"/>
        <v>Euarchus is overthrown by Leontini</v>
      </c>
      <c r="F43" t="str">
        <f t="shared" si="1"/>
        <v/>
      </c>
      <c r="H43" t="b">
        <f t="shared" si="2"/>
        <v>0</v>
      </c>
      <c r="J43" s="3" t="str">
        <v>698</v>
      </c>
      <c r="K43" s="4" t="str">
        <v>Euarchus is overthrown by Leontini</v>
      </c>
      <c r="P43" t="str">
        <v>699</v>
      </c>
      <c r="Q43" t="str">
        <v>Metapontion is founded by Kroton and Sybaris</v>
      </c>
    </row>
    <row r="44" spans="1:17" x14ac:dyDescent="0.25">
      <c r="A44" t="s">
        <v>43</v>
      </c>
      <c r="B44" t="str" cm="1">
        <f t="array" ref="B44">INDEX(_xlfn.TEXTSPLIT(A44, " "), 1)</f>
        <v>696</v>
      </c>
      <c r="C44" t="str" cm="1">
        <f t="array" ref="C44">INDEX(_xlfn.TEXTSPLIT(B44, "-"), 1)</f>
        <v>696</v>
      </c>
      <c r="D44" t="str" cm="1">
        <f t="array" ref="D44">IFERROR(INDEX(_xlfn.TEXTSPLIT(B44, "-"), 2), "")</f>
        <v/>
      </c>
      <c r="E44" t="str">
        <f t="shared" si="0"/>
        <v>Lefkandi is occupied by Chalcis</v>
      </c>
      <c r="F44" t="str">
        <f t="shared" si="1"/>
        <v/>
      </c>
      <c r="H44" t="b">
        <f t="shared" si="2"/>
        <v>0</v>
      </c>
      <c r="J44" s="3" t="str">
        <v>696</v>
      </c>
      <c r="K44" s="4" t="str">
        <v>Lefkandi is occupied by Chalcis</v>
      </c>
      <c r="P44" t="str">
        <v>698</v>
      </c>
      <c r="Q44" t="str">
        <v>Euarchus is overthrown by Leontini</v>
      </c>
    </row>
    <row r="45" spans="1:17" x14ac:dyDescent="0.25">
      <c r="A45" t="s">
        <v>44</v>
      </c>
      <c r="B45" t="str" cm="1">
        <f t="array" ref="B45">INDEX(_xlfn.TEXTSPLIT(A45, " "), 1)</f>
        <v>695</v>
      </c>
      <c r="C45" t="str" cm="1">
        <f t="array" ref="C45">INDEX(_xlfn.TEXTSPLIT(B45, "-"), 1)</f>
        <v>695</v>
      </c>
      <c r="D45" t="str" cm="1">
        <f t="array" ref="D45">IFERROR(INDEX(_xlfn.TEXTSPLIT(B45, "-"), 2), "")</f>
        <v/>
      </c>
      <c r="E45" t="str">
        <f t="shared" si="0"/>
        <v>Polieum is founded by Ionians</v>
      </c>
      <c r="F45" t="str">
        <f t="shared" si="1"/>
        <v/>
      </c>
      <c r="H45" t="b">
        <f t="shared" si="2"/>
        <v>0</v>
      </c>
      <c r="J45" s="3" t="str">
        <v>695</v>
      </c>
      <c r="K45" s="4" t="str">
        <v>Polieum is founded by Ionians</v>
      </c>
      <c r="P45" t="str">
        <v>696</v>
      </c>
      <c r="Q45" t="str">
        <v>Lefkandi is occupied by Chalcis</v>
      </c>
    </row>
    <row r="46" spans="1:17" x14ac:dyDescent="0.25">
      <c r="A46" t="s">
        <v>45</v>
      </c>
      <c r="B46" t="str" cm="1">
        <f t="array" ref="B46">INDEX(_xlfn.TEXTSPLIT(A46, " "), 1)</f>
        <v>691</v>
      </c>
      <c r="C46" t="str" cm="1">
        <f t="array" ref="C46">INDEX(_xlfn.TEXTSPLIT(B46, "-"), 1)</f>
        <v>691</v>
      </c>
      <c r="D46" t="str" cm="1">
        <f t="array" ref="D46">IFERROR(INDEX(_xlfn.TEXTSPLIT(B46, "-"), 2), "")</f>
        <v/>
      </c>
      <c r="E46" t="str">
        <f t="shared" si="0"/>
        <v>Antandrus is founded and annexed by Mytilene</v>
      </c>
      <c r="F46" t="str">
        <f t="shared" si="1"/>
        <v/>
      </c>
      <c r="H46" t="b">
        <f t="shared" si="2"/>
        <v>0</v>
      </c>
      <c r="J46" s="3" t="str">
        <v>691</v>
      </c>
      <c r="K46" s="4" t="str">
        <v>Antandrus is founded and annexed by Mytilene</v>
      </c>
      <c r="P46" t="str">
        <v>695</v>
      </c>
      <c r="Q46" t="str">
        <v>Polieum is founded by Ionians</v>
      </c>
    </row>
    <row r="47" spans="1:17" x14ac:dyDescent="0.25">
      <c r="A47" t="s">
        <v>46</v>
      </c>
      <c r="B47" t="str" cm="1">
        <f t="array" ref="B47">INDEX(_xlfn.TEXTSPLIT(A47, " "), 1)</f>
        <v>690</v>
      </c>
      <c r="C47" t="str" cm="1">
        <f t="array" ref="C47">INDEX(_xlfn.TEXTSPLIT(B47, "-"), 1)</f>
        <v>690</v>
      </c>
      <c r="D47" t="str" cm="1">
        <f t="array" ref="D47">IFERROR(INDEX(_xlfn.TEXTSPLIT(B47, "-"), 2), "")</f>
        <v/>
      </c>
      <c r="E47" t="str">
        <f t="shared" si="0"/>
        <v>Pheidon becomes tyrant of Argos.</v>
      </c>
      <c r="F47" t="str">
        <f t="shared" si="1"/>
        <v/>
      </c>
      <c r="H47" t="b">
        <f t="shared" si="2"/>
        <v>0</v>
      </c>
      <c r="J47" s="3" t="str">
        <v>690</v>
      </c>
      <c r="K47" s="4" t="str">
        <v>Pheidon becomes tyrant of Argos.</v>
      </c>
      <c r="P47" t="str">
        <v>691</v>
      </c>
      <c r="Q47" t="str">
        <v>Antandrus is founded and annexed by Mytilene</v>
      </c>
    </row>
    <row r="48" spans="1:17" x14ac:dyDescent="0.25">
      <c r="A48" t="s">
        <v>47</v>
      </c>
      <c r="B48" t="str" cm="1">
        <f t="array" ref="B48">INDEX(_xlfn.TEXTSPLIT(A48, " "), 1)</f>
        <v>689</v>
      </c>
      <c r="C48" t="str" cm="1">
        <f t="array" ref="C48">INDEX(_xlfn.TEXTSPLIT(B48, "-"), 1)</f>
        <v>689</v>
      </c>
      <c r="D48" t="str" cm="1">
        <f t="array" ref="D48">IFERROR(INDEX(_xlfn.TEXTSPLIT(B48, "-"), 2), "")</f>
        <v/>
      </c>
      <c r="E48" t="str">
        <f t="shared" si="0"/>
        <v>Gela is founded by Cretans and Rodians</v>
      </c>
      <c r="F48" t="str">
        <f t="shared" si="1"/>
        <v/>
      </c>
      <c r="H48" t="b">
        <f t="shared" si="2"/>
        <v>0</v>
      </c>
      <c r="J48" s="3" t="str">
        <v>689</v>
      </c>
      <c r="K48" s="4" t="str">
        <v>Gela is founded by Cretans and Rodians</v>
      </c>
      <c r="P48" t="str">
        <v>690</v>
      </c>
      <c r="Q48" t="str">
        <v>Pheidon becomes tyrant of Argos.</v>
      </c>
    </row>
    <row r="49" spans="1:17" x14ac:dyDescent="0.25">
      <c r="A49" t="s">
        <v>48</v>
      </c>
      <c r="B49" t="str" cm="1">
        <f t="array" ref="B49">INDEX(_xlfn.TEXTSPLIT(A49, " "), 1)</f>
        <v>688</v>
      </c>
      <c r="C49" t="str" cm="1">
        <f t="array" ref="C49">INDEX(_xlfn.TEXTSPLIT(B49, "-"), 1)</f>
        <v>688</v>
      </c>
      <c r="D49" t="str" cm="1">
        <f t="array" ref="D49">IFERROR(INDEX(_xlfn.TEXTSPLIT(B49, "-"), 2), "")</f>
        <v/>
      </c>
      <c r="E49" t="str">
        <f t="shared" si="0"/>
        <v>Arisba is annexed by Methymna and Mytilene declares war on Methymna</v>
      </c>
      <c r="F49" t="str">
        <f t="shared" si="1"/>
        <v/>
      </c>
      <c r="H49" t="b">
        <f t="shared" si="2"/>
        <v>0</v>
      </c>
      <c r="J49" s="3" t="str">
        <v>688</v>
      </c>
      <c r="K49" s="4" t="str">
        <v>Arisba is annexed by Methymna and Mytilene declares war on Methymna</v>
      </c>
      <c r="P49" t="str">
        <v>689</v>
      </c>
      <c r="Q49" t="str">
        <v>Gela is founded by Cretans and Rodians</v>
      </c>
    </row>
    <row r="50" spans="1:17" x14ac:dyDescent="0.25">
      <c r="A50" t="s">
        <v>49</v>
      </c>
      <c r="B50" t="str" cm="1">
        <f t="array" ref="B50">INDEX(_xlfn.TEXTSPLIT(A50, " "), 1)</f>
        <v>687</v>
      </c>
      <c r="C50" t="str" cm="1">
        <f t="array" ref="C50">INDEX(_xlfn.TEXTSPLIT(B50, "-"), 1)</f>
        <v>687</v>
      </c>
      <c r="D50" t="str" cm="1">
        <f t="array" ref="D50">IFERROR(INDEX(_xlfn.TEXTSPLIT(B50, "-"), 2), "")</f>
        <v/>
      </c>
      <c r="E50" t="str">
        <f t="shared" si="0"/>
        <v>Annual office of Archon established in Athens. Any Athenian citizen can be elected to the office if they have the qualifications. Creon elected first annual archon. (Dating based on Pausanias).</v>
      </c>
      <c r="F50" t="str">
        <f t="shared" si="1"/>
        <v/>
      </c>
      <c r="H50" t="b">
        <f t="shared" si="2"/>
        <v>0</v>
      </c>
      <c r="J50" s="3" t="str">
        <v>687</v>
      </c>
      <c r="K50" s="4" t="str">
        <v>Annual office of Archon established in Athens. Any Athenian citizen can be elected to the office if they have the qualifications. Creon elected first annual archon. (Dating based on Pausanias).</v>
      </c>
      <c r="P50" t="str">
        <v>688</v>
      </c>
      <c r="Q50" t="str">
        <v>Arisba is annexed by Methymna and Mytilene declares war on Methymna</v>
      </c>
    </row>
    <row r="51" spans="1:17" x14ac:dyDescent="0.25">
      <c r="A51" t="s">
        <v>50</v>
      </c>
      <c r="B51" t="str" cm="1">
        <f t="array" ref="B51">INDEX(_xlfn.TEXTSPLIT(A51, " "), 1)</f>
        <v>686</v>
      </c>
      <c r="C51" t="str" cm="1">
        <f t="array" ref="C51">INDEX(_xlfn.TEXTSPLIT(B51, "-"), 1)</f>
        <v>686</v>
      </c>
      <c r="D51" t="str" cm="1">
        <f t="array" ref="D51">IFERROR(INDEX(_xlfn.TEXTSPLIT(B51, "-"), 2), "")</f>
        <v/>
      </c>
      <c r="E51" t="str">
        <f t="shared" si="0"/>
        <v>Methymna is annexed by Mytilene</v>
      </c>
      <c r="F51" t="str">
        <f t="shared" si="1"/>
        <v/>
      </c>
      <c r="H51" t="b">
        <f t="shared" si="2"/>
        <v>0</v>
      </c>
      <c r="J51" s="3" t="str">
        <v>686</v>
      </c>
      <c r="K51" s="4" t="str">
        <v>Methymna is annexed by Mytilene</v>
      </c>
      <c r="P51" t="str">
        <v>687</v>
      </c>
      <c r="Q51" t="str">
        <v>Annual office of Archon established in Athens. Any Athenian citizen can be elected to the office if they have the qualifications. Creon elected first annual archon. (Dating based on Pausanias).</v>
      </c>
    </row>
    <row r="52" spans="1:17" x14ac:dyDescent="0.25">
      <c r="A52" t="s">
        <v>51</v>
      </c>
      <c r="B52" t="str" cm="1">
        <f t="array" ref="B52">INDEX(_xlfn.TEXTSPLIT(A52, " "), 1)</f>
        <v>686</v>
      </c>
      <c r="C52" t="str" cm="1">
        <f t="array" ref="C52">INDEX(_xlfn.TEXTSPLIT(B52, "-"), 1)</f>
        <v>686</v>
      </c>
      <c r="D52" t="str" cm="1">
        <f t="array" ref="D52">IFERROR(INDEX(_xlfn.TEXTSPLIT(B52, "-"), 2), "")</f>
        <v/>
      </c>
      <c r="E52" t="str">
        <f t="shared" si="0"/>
        <v>Megara gains independence from Korinth</v>
      </c>
      <c r="F52" t="str">
        <f t="shared" si="1"/>
        <v/>
      </c>
      <c r="H52" t="b">
        <f t="shared" si="2"/>
        <v>0</v>
      </c>
      <c r="J52" s="3" t="str">
        <v>686</v>
      </c>
      <c r="K52" s="4" t="str">
        <v>Megara gains independence from Korinth</v>
      </c>
      <c r="P52" t="str">
        <v>686</v>
      </c>
      <c r="Q52" t="str">
        <v>Methymna is annexed by Mytilene</v>
      </c>
    </row>
    <row r="53" spans="1:17" x14ac:dyDescent="0.25">
      <c r="A53" t="s">
        <v>52</v>
      </c>
      <c r="B53" t="str" cm="1">
        <f t="array" ref="B53">INDEX(_xlfn.TEXTSPLIT(A53, " "), 1)</f>
        <v>685</v>
      </c>
      <c r="C53" t="str" cm="1">
        <f t="array" ref="C53">INDEX(_xlfn.TEXTSPLIT(B53, "-"), 1)</f>
        <v>685</v>
      </c>
      <c r="D53" t="str" cm="1">
        <f t="array" ref="D53">IFERROR(INDEX(_xlfn.TEXTSPLIT(B53, "-"), 2), "")</f>
        <v/>
      </c>
      <c r="E53" t="str">
        <f t="shared" si="0"/>
        <v>The second Messenian war begins.</v>
      </c>
      <c r="F53" t="str">
        <f t="shared" si="1"/>
        <v/>
      </c>
      <c r="H53" t="b">
        <f t="shared" si="2"/>
        <v>0</v>
      </c>
      <c r="J53" s="3" t="str">
        <v>685</v>
      </c>
      <c r="K53" s="4" t="str">
        <v>The second Messenian war begins.</v>
      </c>
      <c r="P53" t="str">
        <v>686</v>
      </c>
      <c r="Q53" t="str">
        <v>Megara gains independence from Korinth</v>
      </c>
    </row>
    <row r="54" spans="1:17" x14ac:dyDescent="0.25">
      <c r="A54" t="s">
        <v>53</v>
      </c>
      <c r="B54" t="str" cm="1">
        <f t="array" ref="B54">INDEX(_xlfn.TEXTSPLIT(A54, " "), 1)</f>
        <v>685</v>
      </c>
      <c r="C54" t="str" cm="1">
        <f t="array" ref="C54">INDEX(_xlfn.TEXTSPLIT(B54, "-"), 1)</f>
        <v>685</v>
      </c>
      <c r="D54" t="str" cm="1">
        <f t="array" ref="D54">IFERROR(INDEX(_xlfn.TEXTSPLIT(B54, "-"), 2), "")</f>
        <v/>
      </c>
      <c r="E54" t="str">
        <f t="shared" si="0"/>
        <v>Chalcedon is founded by Megarans</v>
      </c>
      <c r="F54" t="str">
        <f t="shared" si="1"/>
        <v/>
      </c>
      <c r="H54" t="b">
        <f t="shared" si="2"/>
        <v>0</v>
      </c>
      <c r="J54" s="3" t="str">
        <v>685</v>
      </c>
      <c r="K54" s="4" t="str">
        <v>Chalcedon is founded by Megarans</v>
      </c>
      <c r="P54" t="str">
        <v>685</v>
      </c>
      <c r="Q54" t="str">
        <v>The second Messenian war begins.</v>
      </c>
    </row>
    <row r="55" spans="1:17" x14ac:dyDescent="0.25">
      <c r="A55" t="s">
        <v>54</v>
      </c>
      <c r="B55" t="str" cm="1">
        <f t="array" ref="B55">INDEX(_xlfn.TEXTSPLIT(A55, " "), 1)</f>
        <v>680</v>
      </c>
      <c r="C55" t="str" cm="1">
        <f t="array" ref="C55">INDEX(_xlfn.TEXTSPLIT(B55, "-"), 1)</f>
        <v>680</v>
      </c>
      <c r="D55" t="str" cm="1">
        <f t="array" ref="D55">IFERROR(INDEX(_xlfn.TEXTSPLIT(B55, "-"), 2), "")</f>
        <v/>
      </c>
      <c r="E55" t="str">
        <f t="shared" si="0"/>
        <v>Epizephyrian Lokros is founded by Opus</v>
      </c>
      <c r="F55" t="str">
        <f t="shared" si="1"/>
        <v/>
      </c>
      <c r="H55" t="b">
        <f t="shared" si="2"/>
        <v>0</v>
      </c>
      <c r="J55" s="3" t="str">
        <v>680</v>
      </c>
      <c r="K55" s="4" t="str">
        <v>Epizephyrian Lokros is founded by Opus</v>
      </c>
      <c r="P55" t="str">
        <v>685</v>
      </c>
      <c r="Q55" t="str">
        <v>Chalcedon is founded by Megarans</v>
      </c>
    </row>
    <row r="56" spans="1:17" x14ac:dyDescent="0.25">
      <c r="A56" t="s">
        <v>55</v>
      </c>
      <c r="B56" t="str" cm="1">
        <f t="array" ref="B56">INDEX(_xlfn.TEXTSPLIT(A56, " "), 1)</f>
        <v>676</v>
      </c>
      <c r="C56" t="str" cm="1">
        <f t="array" ref="C56">INDEX(_xlfn.TEXTSPLIT(B56, "-"), 1)</f>
        <v>676</v>
      </c>
      <c r="D56" t="str" cm="1">
        <f t="array" ref="D56">IFERROR(INDEX(_xlfn.TEXTSPLIT(B56, "-"), 2), "")</f>
        <v/>
      </c>
      <c r="E56" t="str">
        <f t="shared" si="0"/>
        <v>Pergamon is founded by Ionians</v>
      </c>
      <c r="F56" t="str">
        <f t="shared" si="1"/>
        <v/>
      </c>
      <c r="H56" t="b">
        <f t="shared" si="2"/>
        <v>0</v>
      </c>
      <c r="J56" s="3" t="str">
        <v>676</v>
      </c>
      <c r="K56" s="4" t="str">
        <v>Pergamon is founded by Ionians</v>
      </c>
      <c r="P56" t="str">
        <v>680</v>
      </c>
      <c r="Q56" t="str">
        <v>Epizephyrian Lokros is founded by Opus</v>
      </c>
    </row>
    <row r="57" spans="1:17" x14ac:dyDescent="0.25">
      <c r="A57" t="s">
        <v>56</v>
      </c>
      <c r="B57" t="str" cm="1">
        <f t="array" ref="B57">INDEX(_xlfn.TEXTSPLIT(A57, " "), 1)</f>
        <v>674</v>
      </c>
      <c r="C57" t="str" cm="1">
        <f t="array" ref="C57">INDEX(_xlfn.TEXTSPLIT(B57, "-"), 1)</f>
        <v>674</v>
      </c>
      <c r="D57" t="str" cm="1">
        <f t="array" ref="D57">IFERROR(INDEX(_xlfn.TEXTSPLIT(B57, "-"), 2), "")</f>
        <v/>
      </c>
      <c r="E57" t="str">
        <f t="shared" si="0"/>
        <v>Karystus is occupied by Korinth</v>
      </c>
      <c r="F57" t="str">
        <f t="shared" si="1"/>
        <v/>
      </c>
      <c r="H57" t="b">
        <f t="shared" si="2"/>
        <v>0</v>
      </c>
      <c r="J57" s="3" t="str">
        <v>674</v>
      </c>
      <c r="K57" s="4" t="str">
        <v>Karystus is occupied by Korinth</v>
      </c>
      <c r="P57" t="str">
        <v>676</v>
      </c>
      <c r="Q57" t="str">
        <v>Pergamon is founded by Ionians</v>
      </c>
    </row>
    <row r="58" spans="1:17" x14ac:dyDescent="0.25">
      <c r="A58" t="s">
        <v>57</v>
      </c>
      <c r="B58" t="str" cm="1">
        <f t="array" ref="B58">INDEX(_xlfn.TEXTSPLIT(A58, " "), 1)</f>
        <v>672</v>
      </c>
      <c r="C58" t="str" cm="1">
        <f t="array" ref="C58">INDEX(_xlfn.TEXTSPLIT(B58, "-"), 1)</f>
        <v>672</v>
      </c>
      <c r="D58" t="str" cm="1">
        <f t="array" ref="D58">IFERROR(INDEX(_xlfn.TEXTSPLIT(B58, "-"), 2), "")</f>
        <v/>
      </c>
      <c r="E58" t="str">
        <f t="shared" si="0"/>
        <v>Abydos is settled by Miletus</v>
      </c>
      <c r="F58" t="str">
        <f t="shared" si="1"/>
        <v/>
      </c>
      <c r="H58" t="b">
        <f t="shared" si="2"/>
        <v>0</v>
      </c>
      <c r="J58" s="3" t="str">
        <v>672</v>
      </c>
      <c r="K58" s="4" t="str">
        <v>Abydos is settled by Miletus</v>
      </c>
      <c r="P58" t="str">
        <v>674</v>
      </c>
      <c r="Q58" t="str">
        <v>Karystus is occupied by Korinth</v>
      </c>
    </row>
    <row r="59" spans="1:17" x14ac:dyDescent="0.25">
      <c r="A59" t="s">
        <v>58</v>
      </c>
      <c r="B59" t="str" cm="1">
        <f t="array" ref="B59">INDEX(_xlfn.TEXTSPLIT(A59, " "), 1)</f>
        <v>671</v>
      </c>
      <c r="C59" t="str" cm="1">
        <f t="array" ref="C59">INDEX(_xlfn.TEXTSPLIT(B59, "-"), 1)</f>
        <v>671</v>
      </c>
      <c r="D59" t="str" cm="1">
        <f t="array" ref="D59">IFERROR(INDEX(_xlfn.TEXTSPLIT(B59, "-"), 2), "")</f>
        <v/>
      </c>
      <c r="E59" t="str">
        <f t="shared" si="0"/>
        <v>Melia is destroyed by Samos and Priene, Samos builds Fort Carium to replace it and Samos and Priene split Melia</v>
      </c>
      <c r="F59" t="str">
        <f t="shared" si="1"/>
        <v/>
      </c>
      <c r="H59" t="b">
        <f t="shared" si="2"/>
        <v>0</v>
      </c>
      <c r="J59" s="3" t="str">
        <v>671</v>
      </c>
      <c r="K59" s="4" t="str">
        <v>Melia is destroyed by Samos and Priene, Samos builds Fort Carium to replace it and Samos and Priene split Melia</v>
      </c>
      <c r="P59" t="str">
        <v>672</v>
      </c>
      <c r="Q59" t="str">
        <v>Abydos is settled by Miletus</v>
      </c>
    </row>
    <row r="60" spans="1:17" x14ac:dyDescent="0.25">
      <c r="A60" t="s">
        <v>59</v>
      </c>
      <c r="B60" t="str" cm="1">
        <f t="array" ref="B60">INDEX(_xlfn.TEXTSPLIT(A60, " "), 1)</f>
        <v>670</v>
      </c>
      <c r="C60" t="str" cm="1">
        <f t="array" ref="C60">INDEX(_xlfn.TEXTSPLIT(B60, "-"), 1)</f>
        <v>670</v>
      </c>
      <c r="D60" t="str" cm="1">
        <f t="array" ref="D60">IFERROR(INDEX(_xlfn.TEXTSPLIT(B60, "-"), 2), "")</f>
        <v/>
      </c>
      <c r="E60" t="str">
        <f t="shared" si="0"/>
        <v>Miletus is sieged by Lydia, Priene is annexed by Lydia, Samos annexes former Melian territory</v>
      </c>
      <c r="F60" t="str">
        <f t="shared" si="1"/>
        <v/>
      </c>
      <c r="H60" t="b">
        <f t="shared" si="2"/>
        <v>0</v>
      </c>
      <c r="J60" s="3" t="str">
        <v>670</v>
      </c>
      <c r="K60" s="4" t="str">
        <v>Miletus is sieged by Lydia, Priene is annexed by Lydia, Samos annexes former Melian territory</v>
      </c>
      <c r="P60" t="str">
        <v>671</v>
      </c>
      <c r="Q60" t="str">
        <v>Melia is destroyed by Samos and Priene, Samos builds Fort Carium to replace it and Samos and Priene split Melia</v>
      </c>
    </row>
    <row r="61" spans="1:17" x14ac:dyDescent="0.25">
      <c r="A61" t="s">
        <v>60</v>
      </c>
      <c r="B61" t="str" cm="1">
        <f t="array" ref="B61">INDEX(_xlfn.TEXTSPLIT(A61, " "), 1)</f>
        <v>669</v>
      </c>
      <c r="C61" t="str" cm="1">
        <f t="array" ref="C61">INDEX(_xlfn.TEXTSPLIT(B61, "-"), 1)</f>
        <v>669</v>
      </c>
      <c r="D61" t="str" cm="1">
        <f t="array" ref="D61">IFERROR(INDEX(_xlfn.TEXTSPLIT(B61, "-"), 2), "")</f>
        <v/>
      </c>
      <c r="E61" t="str">
        <f t="shared" si="0"/>
        <v>or 668 Battle of Hysiae</v>
      </c>
      <c r="F61" t="str">
        <f t="shared" si="1"/>
        <v/>
      </c>
      <c r="H61" t="b">
        <f t="shared" si="2"/>
        <v>0</v>
      </c>
      <c r="J61" s="3" t="str">
        <v>669</v>
      </c>
      <c r="K61" s="4" t="str">
        <v>or 668 Battle of Hysiae</v>
      </c>
      <c r="P61" t="str">
        <v>670</v>
      </c>
      <c r="Q61" t="str">
        <v>Miletus is sieged by Lydia, Priene is annexed by Lydia, Samos annexes former Melian territory</v>
      </c>
    </row>
    <row r="62" spans="1:17" x14ac:dyDescent="0.25">
      <c r="A62" t="s">
        <v>61</v>
      </c>
      <c r="B62" t="str" cm="1">
        <f t="array" ref="B62">INDEX(_xlfn.TEXTSPLIT(A62, " "), 1)</f>
        <v>668</v>
      </c>
      <c r="C62" t="str" cm="1">
        <f t="array" ref="C62">INDEX(_xlfn.TEXTSPLIT(B62, "-"), 1)</f>
        <v>668</v>
      </c>
      <c r="D62" t="str" cm="1">
        <f t="array" ref="D62">IFERROR(INDEX(_xlfn.TEXTSPLIT(B62, "-"), 2), "")</f>
        <v/>
      </c>
      <c r="E62" t="str">
        <f t="shared" si="0"/>
        <v>Lydia abandons siege of Mietus</v>
      </c>
      <c r="F62" t="str">
        <f t="shared" si="1"/>
        <v/>
      </c>
      <c r="H62" t="b">
        <f t="shared" si="2"/>
        <v>0</v>
      </c>
      <c r="J62" s="3" t="str">
        <v>668</v>
      </c>
      <c r="K62" s="4" t="str">
        <v>Lydia abandons siege of Mietus</v>
      </c>
      <c r="P62" t="str">
        <v>669</v>
      </c>
      <c r="Q62" t="str">
        <v>or 668 Battle of Hysiae</v>
      </c>
    </row>
    <row r="63" spans="1:17" x14ac:dyDescent="0.25">
      <c r="A63" t="s">
        <v>62</v>
      </c>
      <c r="B63" t="str" cm="1">
        <f t="array" ref="B63">INDEX(_xlfn.TEXTSPLIT(A63, " "), 1)</f>
        <v>667</v>
      </c>
      <c r="C63" t="str" cm="1">
        <f t="array" ref="C63">INDEX(_xlfn.TEXTSPLIT(B63, "-"), 1)</f>
        <v>667</v>
      </c>
      <c r="D63" t="str" cm="1">
        <f t="array" ref="D63">IFERROR(INDEX(_xlfn.TEXTSPLIT(B63, "-"), 2), "")</f>
        <v/>
      </c>
      <c r="E63" t="str">
        <f t="shared" si="0"/>
        <v>Byzantium is founded by Korinthians</v>
      </c>
      <c r="F63" t="str">
        <f t="shared" si="1"/>
        <v/>
      </c>
      <c r="H63" t="b">
        <f t="shared" si="2"/>
        <v>0</v>
      </c>
      <c r="J63" s="3" t="str">
        <v>667</v>
      </c>
      <c r="K63" s="4" t="str">
        <v>Byzantium is founded by Korinthians</v>
      </c>
      <c r="P63" t="str">
        <v>668</v>
      </c>
      <c r="Q63" t="str">
        <v>Lydia abandons siege of Mietus</v>
      </c>
    </row>
    <row r="64" spans="1:17" x14ac:dyDescent="0.25">
      <c r="A64" t="s">
        <v>63</v>
      </c>
      <c r="B64" t="str" cm="1">
        <f t="array" ref="B64">INDEX(_xlfn.TEXTSPLIT(A64, " "), 1)</f>
        <v>665</v>
      </c>
      <c r="C64" t="str" cm="1">
        <f t="array" ref="C64">INDEX(_xlfn.TEXTSPLIT(B64, "-"), 1)</f>
        <v>665</v>
      </c>
      <c r="D64" t="str" cm="1">
        <f t="array" ref="D64">IFERROR(INDEX(_xlfn.TEXTSPLIT(B64, "-"), 2), "")</f>
        <v/>
      </c>
      <c r="E64" t="str">
        <f t="shared" si="0"/>
        <v>The second Messenian war ends.</v>
      </c>
      <c r="F64" t="str">
        <f t="shared" si="1"/>
        <v/>
      </c>
      <c r="H64" t="b">
        <f t="shared" si="2"/>
        <v>0</v>
      </c>
      <c r="J64" s="3" t="str">
        <v>665</v>
      </c>
      <c r="K64" s="4" t="str">
        <v>The second Messenian war ends.</v>
      </c>
      <c r="P64" t="str">
        <v>667</v>
      </c>
      <c r="Q64" t="str">
        <v>Byzantium is founded by Korinthians</v>
      </c>
    </row>
    <row r="65" spans="1:17" x14ac:dyDescent="0.25">
      <c r="A65" t="s">
        <v>64</v>
      </c>
      <c r="B65" t="str" cm="1">
        <f t="array" ref="B65">INDEX(_xlfn.TEXTSPLIT(A65, " "), 1)</f>
        <v>664</v>
      </c>
      <c r="C65" t="str" cm="1">
        <f t="array" ref="C65">INDEX(_xlfn.TEXTSPLIT(B65, "-"), 1)</f>
        <v>664</v>
      </c>
      <c r="D65" t="str" cm="1">
        <f t="array" ref="D65">IFERROR(INDEX(_xlfn.TEXTSPLIT(B65, "-"), 2), "")</f>
        <v/>
      </c>
      <c r="E65" t="str">
        <f t="shared" si="0"/>
        <v>Corcyran Revolt and First Sea Battle in ancient Greece between Corcyra and Korinthos</v>
      </c>
      <c r="F65" t="str">
        <f t="shared" si="1"/>
        <v/>
      </c>
      <c r="H65" t="b">
        <f t="shared" si="2"/>
        <v>0</v>
      </c>
      <c r="J65" s="3" t="str">
        <v>664</v>
      </c>
      <c r="K65" s="4" t="str">
        <v>Corcyran Revolt and First Sea Battle in ancient Greece between Corcyra and Korinthos</v>
      </c>
      <c r="P65" t="str">
        <v>665</v>
      </c>
      <c r="Q65" t="str">
        <v>The second Messenian war ends.</v>
      </c>
    </row>
    <row r="66" spans="1:17" x14ac:dyDescent="0.25">
      <c r="A66" t="s">
        <v>65</v>
      </c>
      <c r="B66" t="str" cm="1">
        <f t="array" ref="B66">INDEX(_xlfn.TEXTSPLIT(A66, " "), 1)</f>
        <v>664</v>
      </c>
      <c r="C66" t="str" cm="1">
        <f t="array" ref="C66">INDEX(_xlfn.TEXTSPLIT(B66, "-"), 1)</f>
        <v>664</v>
      </c>
      <c r="D66" t="str" cm="1">
        <f t="array" ref="D66">IFERROR(INDEX(_xlfn.TEXTSPLIT(B66, "-"), 2), "")</f>
        <v/>
      </c>
      <c r="E66" t="str">
        <f t="shared" si="0"/>
        <v>Akrai is founded and annexed by Syracuse</v>
      </c>
      <c r="F66" t="str">
        <f t="shared" si="1"/>
        <v/>
      </c>
      <c r="H66" t="b">
        <f t="shared" si="2"/>
        <v>0</v>
      </c>
      <c r="J66" s="3" t="str">
        <v>664</v>
      </c>
      <c r="K66" s="4" t="str">
        <v>Akrai is founded and annexed by Syracuse</v>
      </c>
      <c r="P66" t="str">
        <v>664</v>
      </c>
      <c r="Q66" t="str">
        <v>Corcyran Revolt and First Sea Battle in ancient Greece between Corcyra and Korinthos</v>
      </c>
    </row>
    <row r="67" spans="1:17" x14ac:dyDescent="0.25">
      <c r="A67" t="s">
        <v>66</v>
      </c>
      <c r="B67" t="str" cm="1">
        <f t="array" ref="B67">INDEX(_xlfn.TEXTSPLIT(A67, " "), 1)</f>
        <v>657</v>
      </c>
      <c r="C67" t="str" cm="1">
        <f t="array" ref="C67">INDEX(_xlfn.TEXTSPLIT(B67, "-"), 1)</f>
        <v>657</v>
      </c>
      <c r="D67" t="str" cm="1">
        <f t="array" ref="D67">IFERROR(INDEX(_xlfn.TEXTSPLIT(B67, "-"), 2), "")</f>
        <v/>
      </c>
      <c r="E67" t="str">
        <f t="shared" ref="E67:E130" si="3">_xlfn.LET(
  _xlpm.szoveg,
  MID(A67, SEARCH(" ", A67) + 1, LEN(A67)),
  IF(ISNUMBER(SEARCH("-",B67)), _xlpm.szoveg &amp; " --&gt;", _xlpm.szoveg)
)</f>
        <v>Cypselus subjects Corinth to tyranny.</v>
      </c>
      <c r="F67" t="str">
        <f t="shared" ref="F67:F130" si="4">_xlfn.LET(
  _xlpm.szoveg,
  MID(A67, SEARCH(" ", A67) + 1, LEN(A67)),
  IF(ISNUMBER(SEARCH("-",B67)), "--&gt; " &amp; _xlpm.szoveg, "")
)</f>
        <v/>
      </c>
      <c r="H67" t="b">
        <f t="shared" ref="H67:H130" si="5">ISNUMBER(SEARCH("-", B67))</f>
        <v>0</v>
      </c>
      <c r="J67" s="3" t="str">
        <v>657</v>
      </c>
      <c r="K67" s="4" t="str">
        <v>Cypselus subjects Corinth to tyranny.</v>
      </c>
      <c r="P67" t="str">
        <v>664</v>
      </c>
      <c r="Q67" t="str">
        <v>Akrai is founded and annexed by Syracuse</v>
      </c>
    </row>
    <row r="68" spans="1:17" x14ac:dyDescent="0.25">
      <c r="A68" t="s">
        <v>67</v>
      </c>
      <c r="B68" t="str" cm="1">
        <f t="array" ref="B68">INDEX(_xlfn.TEXTSPLIT(A68, " "), 1)</f>
        <v>657</v>
      </c>
      <c r="C68" t="str" cm="1">
        <f t="array" ref="C68">INDEX(_xlfn.TEXTSPLIT(B68, "-"), 1)</f>
        <v>657</v>
      </c>
      <c r="D68" t="str" cm="1">
        <f t="array" ref="D68">IFERROR(INDEX(_xlfn.TEXTSPLIT(B68, "-"), 2), "")</f>
        <v/>
      </c>
      <c r="E68" t="str">
        <f t="shared" si="3"/>
        <v>Founding of Lekas by Corinth</v>
      </c>
      <c r="F68" t="str">
        <f t="shared" si="4"/>
        <v/>
      </c>
      <c r="H68" t="b">
        <f t="shared" si="5"/>
        <v>0</v>
      </c>
      <c r="J68" s="3" t="str">
        <v>657</v>
      </c>
      <c r="K68" s="4" t="str">
        <v>Founding of Lekas by Corinth</v>
      </c>
      <c r="P68" t="str">
        <v>657</v>
      </c>
      <c r="Q68" t="str">
        <v>Cypselus subjects Corinth to tyranny.</v>
      </c>
    </row>
    <row r="69" spans="1:17" x14ac:dyDescent="0.25">
      <c r="A69" t="s">
        <v>68</v>
      </c>
      <c r="B69" t="str" cm="1">
        <f t="array" ref="B69">INDEX(_xlfn.TEXTSPLIT(A69, " "), 1)</f>
        <v>655</v>
      </c>
      <c r="C69" t="str" cm="1">
        <f t="array" ref="C69">INDEX(_xlfn.TEXTSPLIT(B69, "-"), 1)</f>
        <v>655</v>
      </c>
      <c r="D69" t="str" cm="1">
        <f t="array" ref="D69">IFERROR(INDEX(_xlfn.TEXTSPLIT(B69, "-"), 2), "")</f>
        <v/>
      </c>
      <c r="E69" t="str">
        <f t="shared" si="3"/>
        <v>Akanthus and Stageira are founded by Androsi</v>
      </c>
      <c r="F69" t="str">
        <f t="shared" si="4"/>
        <v/>
      </c>
      <c r="H69" t="b">
        <f t="shared" si="5"/>
        <v>0</v>
      </c>
      <c r="J69" s="3" t="str">
        <v>655</v>
      </c>
      <c r="K69" s="4" t="str">
        <v>Akanthus and Stageira are founded by Androsi</v>
      </c>
      <c r="P69" t="str">
        <v>657</v>
      </c>
      <c r="Q69" t="str">
        <v>Founding of Lekas by Corinth</v>
      </c>
    </row>
    <row r="70" spans="1:17" x14ac:dyDescent="0.25">
      <c r="A70" t="s">
        <v>69</v>
      </c>
      <c r="B70" t="str" cm="1">
        <f t="array" ref="B70">INDEX(_xlfn.TEXTSPLIT(A70, " "), 1)</f>
        <v>654</v>
      </c>
      <c r="C70" t="str" cm="1">
        <f t="array" ref="C70">INDEX(_xlfn.TEXTSPLIT(B70, "-"), 1)</f>
        <v>654</v>
      </c>
      <c r="D70" t="str" cm="1">
        <f t="array" ref="D70">IFERROR(INDEX(_xlfn.TEXTSPLIT(B70, "-"), 2), "")</f>
        <v/>
      </c>
      <c r="E70" t="str">
        <f t="shared" si="3"/>
        <v>Abdera is founded by Klazomenaites</v>
      </c>
      <c r="F70" t="str">
        <f t="shared" si="4"/>
        <v/>
      </c>
      <c r="H70" t="b">
        <f t="shared" si="5"/>
        <v>0</v>
      </c>
      <c r="J70" s="3" t="str">
        <v>654</v>
      </c>
      <c r="K70" s="4" t="str">
        <v>Abdera is founded by Klazomenaites</v>
      </c>
      <c r="P70" t="str">
        <v>655</v>
      </c>
      <c r="Q70" t="str">
        <v>Akanthus and Stageira are founded by Androsi</v>
      </c>
    </row>
    <row r="71" spans="1:17" x14ac:dyDescent="0.25">
      <c r="A71" t="s">
        <v>70</v>
      </c>
      <c r="B71" t="str" cm="1">
        <f t="array" ref="B71">INDEX(_xlfn.TEXTSPLIT(A71, " "), 1)</f>
        <v>652</v>
      </c>
      <c r="C71" t="str" cm="1">
        <f t="array" ref="C71">INDEX(_xlfn.TEXTSPLIT(B71, "-"), 1)</f>
        <v>652</v>
      </c>
      <c r="D71" t="str" cm="1">
        <f t="array" ref="D71">IFERROR(INDEX(_xlfn.TEXTSPLIT(B71, "-"), 2), "")</f>
        <v/>
      </c>
      <c r="E71" t="str">
        <f t="shared" si="3"/>
        <v>Ephesus and Priene are sacked by Cimmerians</v>
      </c>
      <c r="F71" t="str">
        <f t="shared" si="4"/>
        <v/>
      </c>
      <c r="H71" t="b">
        <f t="shared" si="5"/>
        <v>0</v>
      </c>
      <c r="J71" s="3" t="str">
        <v>652</v>
      </c>
      <c r="K71" s="4" t="str">
        <v>Ephesus and Priene are sacked by Cimmerians</v>
      </c>
      <c r="P71" t="str">
        <v>654</v>
      </c>
      <c r="Q71" t="str">
        <v>Abdera is founded by Klazomenaites</v>
      </c>
    </row>
    <row r="72" spans="1:17" x14ac:dyDescent="0.25">
      <c r="A72" t="s">
        <v>71</v>
      </c>
      <c r="B72" t="str" cm="1">
        <f t="array" ref="B72">INDEX(_xlfn.TEXTSPLIT(A72, " "), 1)</f>
        <v>651</v>
      </c>
      <c r="C72" t="str" cm="1">
        <f t="array" ref="C72">INDEX(_xlfn.TEXTSPLIT(B72, "-"), 1)</f>
        <v>651</v>
      </c>
      <c r="D72" t="str" cm="1">
        <f t="array" ref="D72">IFERROR(INDEX(_xlfn.TEXTSPLIT(B72, "-"), 2), "")</f>
        <v/>
      </c>
      <c r="E72" t="str">
        <f t="shared" si="3"/>
        <v>Levantine War ends, Chalcis wins and annexes Levantine Plain</v>
      </c>
      <c r="F72" t="str">
        <f t="shared" si="4"/>
        <v/>
      </c>
      <c r="H72" t="b">
        <f t="shared" si="5"/>
        <v>0</v>
      </c>
      <c r="J72" s="3" t="str">
        <v>651</v>
      </c>
      <c r="K72" s="4" t="str">
        <v>Levantine War ends, Chalcis wins and annexes Levantine Plain</v>
      </c>
      <c r="P72" t="str">
        <v>652</v>
      </c>
      <c r="Q72" t="str">
        <v>Ephesus and Priene are sacked by Cimmerians</v>
      </c>
    </row>
    <row r="73" spans="1:17" x14ac:dyDescent="0.25">
      <c r="A73" t="s">
        <v>72</v>
      </c>
      <c r="B73" t="str" cm="1">
        <f t="array" ref="B73">INDEX(_xlfn.TEXTSPLIT(A73, " "), 1)</f>
        <v>650</v>
      </c>
      <c r="C73" t="str" cm="1">
        <f t="array" ref="C73">INDEX(_xlfn.TEXTSPLIT(B73, "-"), 1)</f>
        <v>650</v>
      </c>
      <c r="D73" t="str" cm="1">
        <f t="array" ref="D73">IFERROR(INDEX(_xlfn.TEXTSPLIT(B73, "-"), 2), "")</f>
        <v/>
      </c>
      <c r="E73" t="str">
        <f t="shared" si="3"/>
        <v>The Pontic Pentapolis: Apollonia, Callatis, Mesembria (Nessebar), Odessos (Varna), and Tomis (Constanța), all on the Euxeinos Pontos.</v>
      </c>
      <c r="F73" t="str">
        <f t="shared" si="4"/>
        <v/>
      </c>
      <c r="H73" t="b">
        <f t="shared" si="5"/>
        <v>0</v>
      </c>
      <c r="J73" s="3" t="str">
        <v>650</v>
      </c>
      <c r="K73" s="4" t="str">
        <v>The Pontic Pentapolis: Apollonia, Callatis, Mesembria (Nessebar), Odessos (Varna), and Tomis (Constanța), all on the Euxeinos Pontos.</v>
      </c>
      <c r="P73" t="str">
        <v>651</v>
      </c>
      <c r="Q73" t="str">
        <v>Levantine War ends, Chalcis wins and annexes Levantine Plain</v>
      </c>
    </row>
    <row r="74" spans="1:17" x14ac:dyDescent="0.25">
      <c r="A74" t="s">
        <v>73</v>
      </c>
      <c r="B74" t="str" cm="1">
        <f t="array" ref="B74">INDEX(_xlfn.TEXTSPLIT(A74, " "), 1)</f>
        <v>650</v>
      </c>
      <c r="C74" t="str" cm="1">
        <f t="array" ref="C74">INDEX(_xlfn.TEXTSPLIT(B74, "-"), 1)</f>
        <v>650</v>
      </c>
      <c r="D74" t="str" cm="1">
        <f t="array" ref="D74">IFERROR(INDEX(_xlfn.TEXTSPLIT(B74, "-"), 2), "")</f>
        <v/>
      </c>
      <c r="E74" t="str">
        <f t="shared" si="3"/>
        <v>Andros, Kea and Tenos gain independence from Eretria, Cypselus leaves Karystus</v>
      </c>
      <c r="F74" t="str">
        <f t="shared" si="4"/>
        <v/>
      </c>
      <c r="H74" t="b">
        <f t="shared" si="5"/>
        <v>0</v>
      </c>
      <c r="J74" s="3" t="str">
        <v>650</v>
      </c>
      <c r="K74" s="4" t="str">
        <v>Andros, Kea and Tenos gain independence from Eretria, Cypselus leaves Karystus</v>
      </c>
      <c r="P74" t="str">
        <v>650</v>
      </c>
      <c r="Q74" t="str">
        <v>The Pontic Pentapolis: Apollonia, Callatis, Mesembria (Nessebar), Odessos (Varna), and Tomis (Constanța), all on the Euxeinos Pontos.</v>
      </c>
    </row>
    <row r="75" spans="1:17" x14ac:dyDescent="0.25">
      <c r="A75" t="s">
        <v>74</v>
      </c>
      <c r="B75" t="str" cm="1">
        <f t="array" ref="B75">INDEX(_xlfn.TEXTSPLIT(A75, " "), 1)</f>
        <v>650</v>
      </c>
      <c r="C75" t="str" cm="1">
        <f t="array" ref="C75">INDEX(_xlfn.TEXTSPLIT(B75, "-"), 1)</f>
        <v>650</v>
      </c>
      <c r="D75" t="str" cm="1">
        <f t="array" ref="D75">IFERROR(INDEX(_xlfn.TEXTSPLIT(B75, "-"), 2), "")</f>
        <v/>
      </c>
      <c r="E75" t="str">
        <f t="shared" si="3"/>
        <v>Syracuse annexes Pantalica</v>
      </c>
      <c r="F75" t="str">
        <f t="shared" si="4"/>
        <v/>
      </c>
      <c r="H75" t="b">
        <f t="shared" si="5"/>
        <v>0</v>
      </c>
      <c r="J75" s="3" t="str">
        <v>650</v>
      </c>
      <c r="K75" s="4" t="str">
        <v>Syracuse annexes Pantalica</v>
      </c>
      <c r="P75" t="str">
        <v>650</v>
      </c>
      <c r="Q75" t="str">
        <v>Andros, Kea and Tenos gain independence from Eretria, Cypselus leaves Karystus</v>
      </c>
    </row>
    <row r="76" spans="1:17" x14ac:dyDescent="0.25">
      <c r="A76" t="s">
        <v>75</v>
      </c>
      <c r="B76" t="str" cm="1">
        <f t="array" ref="B76">INDEX(_xlfn.TEXTSPLIT(A76, " "), 1)</f>
        <v>648</v>
      </c>
      <c r="C76" t="str" cm="1">
        <f t="array" ref="C76">INDEX(_xlfn.TEXTSPLIT(B76, "-"), 1)</f>
        <v>648</v>
      </c>
      <c r="D76" t="str" cm="1">
        <f t="array" ref="D76">IFERROR(INDEX(_xlfn.TEXTSPLIT(B76, "-"), 2), "")</f>
        <v/>
      </c>
      <c r="E76" t="str">
        <f t="shared" si="3"/>
        <v>Himera is founded by Zancleans</v>
      </c>
      <c r="F76" t="str">
        <f t="shared" si="4"/>
        <v/>
      </c>
      <c r="H76" t="b">
        <f t="shared" si="5"/>
        <v>0</v>
      </c>
      <c r="J76" s="3" t="str">
        <v>648</v>
      </c>
      <c r="K76" s="4" t="str">
        <v>Himera is founded by Zancleans</v>
      </c>
      <c r="P76" t="str">
        <v>650</v>
      </c>
      <c r="Q76" t="str">
        <v>Syracuse annexes Pantalica</v>
      </c>
    </row>
    <row r="77" spans="1:17" x14ac:dyDescent="0.25">
      <c r="A77" t="s">
        <v>76</v>
      </c>
      <c r="B77" t="str" cm="1">
        <f t="array" ref="B77">INDEX(_xlfn.TEXTSPLIT(A77, " "), 1)</f>
        <v>645-560</v>
      </c>
      <c r="C77" t="str" cm="1">
        <f t="array" ref="C77">INDEX(_xlfn.TEXTSPLIT(B77, "-"), 1)</f>
        <v>645</v>
      </c>
      <c r="D77" t="str" cm="1">
        <f t="array" ref="D77">IFERROR(INDEX(_xlfn.TEXTSPLIT(B77, "-"), 2), "")</f>
        <v>560</v>
      </c>
      <c r="E77" t="str">
        <f t="shared" si="3"/>
        <v>Spartan wars with Tegea all unsuccessful --&gt;</v>
      </c>
      <c r="F77" t="str">
        <f t="shared" si="4"/>
        <v>--&gt; Spartan wars with Tegea all unsuccessful</v>
      </c>
      <c r="H77" t="b">
        <f t="shared" si="5"/>
        <v>1</v>
      </c>
      <c r="J77" s="3" t="str">
        <v>645</v>
      </c>
      <c r="K77" s="4" t="str">
        <v>Spartan wars with Tegea all unsuccessful --&gt;</v>
      </c>
      <c r="P77" t="str">
        <v>648</v>
      </c>
      <c r="Q77" t="str">
        <v>Himera is founded by Zancleans</v>
      </c>
    </row>
    <row r="78" spans="1:17" x14ac:dyDescent="0.25">
      <c r="A78" t="s">
        <v>77</v>
      </c>
      <c r="B78" t="str" cm="1">
        <f t="array" ref="B78">INDEX(_xlfn.TEXTSPLIT(A78, " "), 1)</f>
        <v>643</v>
      </c>
      <c r="C78" t="str" cm="1">
        <f t="array" ref="C78">INDEX(_xlfn.TEXTSPLIT(B78, "-"), 1)</f>
        <v>643</v>
      </c>
      <c r="D78" t="str" cm="1">
        <f t="array" ref="D78">IFERROR(INDEX(_xlfn.TEXTSPLIT(B78, "-"), 2), "")</f>
        <v/>
      </c>
      <c r="E78" t="str">
        <f t="shared" si="3"/>
        <v>Kasmenai is founded and annexed by Syracuse</v>
      </c>
      <c r="F78" t="str">
        <f t="shared" si="4"/>
        <v/>
      </c>
      <c r="H78" t="b">
        <f t="shared" si="5"/>
        <v>0</v>
      </c>
      <c r="J78" s="3" t="str">
        <v>643</v>
      </c>
      <c r="K78" s="4" t="str">
        <v>Kasmenai is founded and annexed by Syracuse</v>
      </c>
      <c r="P78" t="str">
        <v>645</v>
      </c>
      <c r="Q78" t="str">
        <v>Spartan wars with Tegea all unsuccessful --&gt;</v>
      </c>
    </row>
    <row r="79" spans="1:17" x14ac:dyDescent="0.25">
      <c r="A79" t="s">
        <v>78</v>
      </c>
      <c r="B79" t="str" cm="1">
        <f t="array" ref="B79">INDEX(_xlfn.TEXTSPLIT(A79, " "), 1)</f>
        <v>637-630</v>
      </c>
      <c r="C79" t="str" cm="1">
        <f t="array" ref="C79">INDEX(_xlfn.TEXTSPLIT(B79, "-"), 1)</f>
        <v>637</v>
      </c>
      <c r="D79" t="str" cm="1">
        <f t="array" ref="D79">IFERROR(INDEX(_xlfn.TEXTSPLIT(B79, "-"), 2), "")</f>
        <v>630</v>
      </c>
      <c r="E79" t="str">
        <f t="shared" si="3"/>
        <v>Drought on Thera --&gt;</v>
      </c>
      <c r="F79" t="str">
        <f t="shared" si="4"/>
        <v>--&gt; Drought on Thera</v>
      </c>
      <c r="H79" t="b">
        <f t="shared" si="5"/>
        <v>1</v>
      </c>
      <c r="J79" s="3" t="str">
        <v>637</v>
      </c>
      <c r="K79" s="4" t="str">
        <v>Drought on Thera --&gt;</v>
      </c>
      <c r="P79" t="str">
        <v>643</v>
      </c>
      <c r="Q79" t="str">
        <v>Kasmenai is founded and annexed by Syracuse</v>
      </c>
    </row>
    <row r="80" spans="1:17" x14ac:dyDescent="0.25">
      <c r="A80" t="s">
        <v>79</v>
      </c>
      <c r="B80" t="str" cm="1">
        <f t="array" ref="B80">INDEX(_xlfn.TEXTSPLIT(A80, " "), 1)</f>
        <v>633</v>
      </c>
      <c r="C80" t="str" cm="1">
        <f t="array" ref="C80">INDEX(_xlfn.TEXTSPLIT(B80, "-"), 1)</f>
        <v>633</v>
      </c>
      <c r="D80" t="str" cm="1">
        <f t="array" ref="D80">IFERROR(INDEX(_xlfn.TEXTSPLIT(B80, "-"), 2), "")</f>
        <v/>
      </c>
      <c r="E80" t="str">
        <f t="shared" si="3"/>
        <v>Ambrakia founded by Tyrant Gorgus and Korinthians</v>
      </c>
      <c r="F80" t="str">
        <f t="shared" si="4"/>
        <v/>
      </c>
      <c r="H80" t="b">
        <f t="shared" si="5"/>
        <v>0</v>
      </c>
      <c r="J80" s="3" t="str">
        <v>633</v>
      </c>
      <c r="K80" s="4" t="str">
        <v>Ambrakia founded by Tyrant Gorgus and Korinthians</v>
      </c>
      <c r="P80" t="str">
        <v>637</v>
      </c>
      <c r="Q80" t="str">
        <v>Drought on Thera --&gt;</v>
      </c>
    </row>
    <row r="81" spans="1:17" x14ac:dyDescent="0.25">
      <c r="A81" t="s">
        <v>80</v>
      </c>
      <c r="B81" t="str" cm="1">
        <f t="array" ref="B81">INDEX(_xlfn.TEXTSPLIT(A81, " "), 1)</f>
        <v>632</v>
      </c>
      <c r="C81" t="str" cm="1">
        <f t="array" ref="C81">INDEX(_xlfn.TEXTSPLIT(B81, "-"), 1)</f>
        <v>632</v>
      </c>
      <c r="D81" t="str" cm="1">
        <f t="array" ref="D81">IFERROR(INDEX(_xlfn.TEXTSPLIT(B81, "-"), 2), "")</f>
        <v/>
      </c>
      <c r="E81" t="str">
        <f t="shared" si="3"/>
        <v>Cylon, Athenian noble, seizes Acropolis and tries unsuccessfully to make himself king</v>
      </c>
      <c r="F81" t="str">
        <f t="shared" si="4"/>
        <v/>
      </c>
      <c r="H81" t="b">
        <f t="shared" si="5"/>
        <v>0</v>
      </c>
      <c r="J81" s="3" t="str">
        <v>632</v>
      </c>
      <c r="K81" s="4" t="str">
        <v>Cylon, Athenian noble, seizes Acropolis and tries unsuccessfully to make himself king</v>
      </c>
      <c r="P81" t="str">
        <v>633</v>
      </c>
      <c r="Q81" t="str">
        <v>Ambrakia founded by Tyrant Gorgus and Korinthians</v>
      </c>
    </row>
    <row r="82" spans="1:17" x14ac:dyDescent="0.25">
      <c r="A82" t="s">
        <v>81</v>
      </c>
      <c r="B82" t="str" cm="1">
        <f t="array" ref="B82">INDEX(_xlfn.TEXTSPLIT(A82, " "), 1)</f>
        <v>631</v>
      </c>
      <c r="C82" t="str" cm="1">
        <f t="array" ref="C82">INDEX(_xlfn.TEXTSPLIT(B82, "-"), 1)</f>
        <v>631</v>
      </c>
      <c r="D82" t="str" cm="1">
        <f t="array" ref="D82">IFERROR(INDEX(_xlfn.TEXTSPLIT(B82, "-"), 2), "")</f>
        <v/>
      </c>
      <c r="E82" t="str">
        <f t="shared" si="3"/>
        <v>Battus establishes a Greek colony in Cyrene in Libya.</v>
      </c>
      <c r="F82" t="str">
        <f t="shared" si="4"/>
        <v/>
      </c>
      <c r="H82" t="b">
        <f t="shared" si="5"/>
        <v>0</v>
      </c>
      <c r="J82" s="3" t="str">
        <v>631</v>
      </c>
      <c r="K82" s="4" t="str">
        <v>Battus establishes a Greek colony in Cyrene in Libya.</v>
      </c>
      <c r="P82" t="str">
        <v>632</v>
      </c>
      <c r="Q82" t="str">
        <v>Cylon, Athenian noble, seizes Acropolis and tries unsuccessfully to make himself king</v>
      </c>
    </row>
    <row r="83" spans="1:17" x14ac:dyDescent="0.25">
      <c r="A83" t="s">
        <v>82</v>
      </c>
      <c r="B83" t="str" cm="1">
        <f t="array" ref="B83">INDEX(_xlfn.TEXTSPLIT(A83, " "), 1)</f>
        <v>630</v>
      </c>
      <c r="C83" t="str" cm="1">
        <f t="array" ref="C83">INDEX(_xlfn.TEXTSPLIT(B83, "-"), 1)</f>
        <v>630</v>
      </c>
      <c r="D83" t="str" cm="1">
        <f t="array" ref="D83">IFERROR(INDEX(_xlfn.TEXTSPLIT(B83, "-"), 2), "")</f>
        <v/>
      </c>
      <c r="E83" t="str">
        <f t="shared" si="3"/>
        <v>Helorus is founded and annexed by Syracuse</v>
      </c>
      <c r="F83" t="str">
        <f t="shared" si="4"/>
        <v/>
      </c>
      <c r="H83" t="b">
        <f t="shared" si="5"/>
        <v>0</v>
      </c>
      <c r="J83" s="3" t="str">
        <v>630</v>
      </c>
      <c r="K83" s="4" t="str">
        <v>Helorus is founded and annexed by Syracuse</v>
      </c>
      <c r="P83" t="str">
        <v>631</v>
      </c>
      <c r="Q83" t="str">
        <v>Battus establishes a Greek colony in Cyrene in Libya.</v>
      </c>
    </row>
    <row r="84" spans="1:17" x14ac:dyDescent="0.25">
      <c r="A84" t="s">
        <v>83</v>
      </c>
      <c r="B84" t="str" cm="1">
        <f t="array" ref="B84">INDEX(_xlfn.TEXTSPLIT(A84, " "), 1)</f>
        <v>630</v>
      </c>
      <c r="C84" t="str" cm="1">
        <f t="array" ref="C84">INDEX(_xlfn.TEXTSPLIT(B84, "-"), 1)</f>
        <v>630</v>
      </c>
      <c r="D84" t="str" cm="1">
        <f t="array" ref="D84">IFERROR(INDEX(_xlfn.TEXTSPLIT(B84, "-"), 2), "")</f>
        <v/>
      </c>
      <c r="E84" t="str">
        <f t="shared" si="3"/>
        <v>Histria is established by Milesian settlers in order to facilitate trade with the native Getae.</v>
      </c>
      <c r="F84" t="str">
        <f t="shared" si="4"/>
        <v/>
      </c>
      <c r="H84" t="b">
        <f t="shared" si="5"/>
        <v>0</v>
      </c>
      <c r="J84" s="3" t="str">
        <v>630</v>
      </c>
      <c r="K84" s="4" t="str">
        <v>Histria is established by Milesian settlers in order to facilitate trade with the native Getae.</v>
      </c>
      <c r="P84" t="str">
        <v>630</v>
      </c>
      <c r="Q84" t="str">
        <v>Helorus is founded and annexed by Syracuse</v>
      </c>
    </row>
    <row r="85" spans="1:17" x14ac:dyDescent="0.25">
      <c r="A85" t="s">
        <v>84</v>
      </c>
      <c r="B85" t="str" cm="1">
        <f t="array" ref="B85">INDEX(_xlfn.TEXTSPLIT(A85, " "), 1)</f>
        <v>630</v>
      </c>
      <c r="C85" t="str" cm="1">
        <f t="array" ref="C85">INDEX(_xlfn.TEXTSPLIT(B85, "-"), 1)</f>
        <v>630</v>
      </c>
      <c r="D85" t="str" cm="1">
        <f t="array" ref="D85">IFERROR(INDEX(_xlfn.TEXTSPLIT(B85, "-"), 2), "")</f>
        <v/>
      </c>
      <c r="E85" t="str">
        <f t="shared" si="3"/>
        <v>Founding of Tripolis by Samos</v>
      </c>
      <c r="F85" t="str">
        <f t="shared" si="4"/>
        <v/>
      </c>
      <c r="H85" t="b">
        <f t="shared" si="5"/>
        <v>0</v>
      </c>
      <c r="J85" s="3" t="str">
        <v>630</v>
      </c>
      <c r="K85" s="4" t="str">
        <v>Founding of Tripolis by Samos</v>
      </c>
      <c r="P85" t="str">
        <v>630</v>
      </c>
      <c r="Q85" t="str">
        <v>Histria is established by Milesian settlers in order to facilitate trade with the native Getae.</v>
      </c>
    </row>
    <row r="86" spans="1:17" x14ac:dyDescent="0.25">
      <c r="A86" t="s">
        <v>85</v>
      </c>
      <c r="B86" t="str" cm="1">
        <f t="array" ref="B86">INDEX(_xlfn.TEXTSPLIT(A86, " "), 1)</f>
        <v>630</v>
      </c>
      <c r="C86" t="str" cm="1">
        <f t="array" ref="C86">INDEX(_xlfn.TEXTSPLIT(B86, "-"), 1)</f>
        <v>630</v>
      </c>
      <c r="D86" t="str" cm="1">
        <f t="array" ref="D86">IFERROR(INDEX(_xlfn.TEXTSPLIT(B86, "-"), 2), "")</f>
        <v/>
      </c>
      <c r="E86" t="str">
        <f t="shared" si="3"/>
        <v>Formal pederasty is introduced, first in Crete, as a means of population control and an educational modality.</v>
      </c>
      <c r="F86" t="str">
        <f t="shared" si="4"/>
        <v/>
      </c>
      <c r="H86" t="b">
        <f t="shared" si="5"/>
        <v>0</v>
      </c>
      <c r="J86" s="3" t="str">
        <v>630</v>
      </c>
      <c r="K86" s="4" t="str">
        <v>Formal pederasty is introduced, first in Crete, as a means of population control and an educational modality.</v>
      </c>
      <c r="P86" t="str">
        <v>630</v>
      </c>
      <c r="Q86" t="str">
        <v>Founding of Tripolis by Samos</v>
      </c>
    </row>
    <row r="87" spans="1:17" x14ac:dyDescent="0.25">
      <c r="A87" t="s">
        <v>86</v>
      </c>
      <c r="B87" t="str" cm="1">
        <f t="array" ref="B87">INDEX(_xlfn.TEXTSPLIT(A87, " "), 1)</f>
        <v>628</v>
      </c>
      <c r="C87" t="str" cm="1">
        <f t="array" ref="C87">INDEX(_xlfn.TEXTSPLIT(B87, "-"), 1)</f>
        <v>628</v>
      </c>
      <c r="D87" t="str" cm="1">
        <f t="array" ref="D87">IFERROR(INDEX(_xlfn.TEXTSPLIT(B87, "-"), 2), "")</f>
        <v/>
      </c>
      <c r="E87" t="str">
        <f t="shared" si="3"/>
        <v>Selinus is founded by Hyblaea Megarans</v>
      </c>
      <c r="F87" t="str">
        <f t="shared" si="4"/>
        <v/>
      </c>
      <c r="H87" t="b">
        <f t="shared" si="5"/>
        <v>0</v>
      </c>
      <c r="J87" s="3" t="str">
        <v>628</v>
      </c>
      <c r="K87" s="4" t="str">
        <v>Selinus is founded by Hyblaea Megarans</v>
      </c>
      <c r="P87" t="str">
        <v>630</v>
      </c>
      <c r="Q87" t="str">
        <v>Formal pederasty is introduced, first in Crete, as a means of population control and an educational modality.</v>
      </c>
    </row>
    <row r="88" spans="1:17" x14ac:dyDescent="0.25">
      <c r="A88" t="s">
        <v>87</v>
      </c>
      <c r="B88" t="str" cm="1">
        <f t="array" ref="B88">INDEX(_xlfn.TEXTSPLIT(A88, " "), 1)</f>
        <v>627</v>
      </c>
      <c r="C88" t="str" cm="1">
        <f t="array" ref="C88">INDEX(_xlfn.TEXTSPLIT(B88, "-"), 1)</f>
        <v>627</v>
      </c>
      <c r="D88" t="str" cm="1">
        <f t="array" ref="D88">IFERROR(INDEX(_xlfn.TEXTSPLIT(B88, "-"), 2), "")</f>
        <v/>
      </c>
      <c r="E88" t="str">
        <f t="shared" si="3"/>
        <v>Epidamos is founded by Kerkyreans</v>
      </c>
      <c r="F88" t="str">
        <f t="shared" si="4"/>
        <v/>
      </c>
      <c r="H88" t="b">
        <f t="shared" si="5"/>
        <v>0</v>
      </c>
      <c r="J88" s="3" t="str">
        <v>627</v>
      </c>
      <c r="K88" s="4" t="str">
        <v>Epidamos is founded by Kerkyreans</v>
      </c>
      <c r="P88" t="str">
        <v>630</v>
      </c>
      <c r="Q88" t="str">
        <v>--&gt; Drought on Thera</v>
      </c>
    </row>
    <row r="89" spans="1:17" x14ac:dyDescent="0.25">
      <c r="A89" t="s">
        <v>88</v>
      </c>
      <c r="B89" t="str" cm="1">
        <f t="array" ref="B89">INDEX(_xlfn.TEXTSPLIT(A89, " "), 1)</f>
        <v>627</v>
      </c>
      <c r="C89" t="str" cm="1">
        <f t="array" ref="C89">INDEX(_xlfn.TEXTSPLIT(B89, "-"), 1)</f>
        <v>627</v>
      </c>
      <c r="D89" t="str" cm="1">
        <f t="array" ref="D89">IFERROR(INDEX(_xlfn.TEXTSPLIT(B89, "-"), 2), "")</f>
        <v/>
      </c>
      <c r="E89" t="str">
        <f t="shared" si="3"/>
        <v>Cypselus is succeeded by Periander</v>
      </c>
      <c r="F89" t="str">
        <f t="shared" si="4"/>
        <v/>
      </c>
      <c r="H89" t="b">
        <f t="shared" si="5"/>
        <v>0</v>
      </c>
      <c r="J89" s="3" t="str">
        <v>627</v>
      </c>
      <c r="K89" s="4" t="str">
        <v>Cypselus is succeeded by Periander</v>
      </c>
      <c r="P89" t="str">
        <v>63</v>
      </c>
      <c r="Q89" t="str">
        <v>--&gt; Seleucid Empire</v>
      </c>
    </row>
    <row r="90" spans="1:17" x14ac:dyDescent="0.25">
      <c r="A90" t="s">
        <v>89</v>
      </c>
      <c r="B90" t="str" cm="1">
        <f t="array" ref="B90">INDEX(_xlfn.TEXTSPLIT(A90, " "), 1)</f>
        <v>625</v>
      </c>
      <c r="C90" t="str" cm="1">
        <f t="array" ref="C90">INDEX(_xlfn.TEXTSPLIT(B90, "-"), 1)</f>
        <v>625</v>
      </c>
      <c r="D90" t="str" cm="1">
        <f t="array" ref="D90">IFERROR(INDEX(_xlfn.TEXTSPLIT(B90, "-"), 2), "")</f>
        <v/>
      </c>
      <c r="E90" t="str">
        <f t="shared" si="3"/>
        <v>Establishment of Naucratis</v>
      </c>
      <c r="F90" t="str">
        <f t="shared" si="4"/>
        <v/>
      </c>
      <c r="H90" t="b">
        <f t="shared" si="5"/>
        <v>0</v>
      </c>
      <c r="J90" s="3" t="str">
        <v>625</v>
      </c>
      <c r="K90" s="4" t="str">
        <v>Establishment of Naucratis</v>
      </c>
      <c r="P90" t="str">
        <v>628</v>
      </c>
      <c r="Q90" t="str">
        <v>Selinus is founded by Hyblaea Megarans</v>
      </c>
    </row>
    <row r="91" spans="1:17" x14ac:dyDescent="0.25">
      <c r="A91" t="s">
        <v>90</v>
      </c>
      <c r="B91" t="str" cm="1">
        <f t="array" ref="B91">INDEX(_xlfn.TEXTSPLIT(A91, " "), 1)</f>
        <v>621</v>
      </c>
      <c r="C91" t="str" cm="1">
        <f t="array" ref="C91">INDEX(_xlfn.TEXTSPLIT(B91, "-"), 1)</f>
        <v>621</v>
      </c>
      <c r="D91" t="str" cm="1">
        <f t="array" ref="D91">IFERROR(INDEX(_xlfn.TEXTSPLIT(B91, "-"), 2), "")</f>
        <v/>
      </c>
      <c r="E91" t="str">
        <f t="shared" si="3"/>
        <v>Draco, Athenian lawgiver, issues code of laws, with many crimes punishable by death.</v>
      </c>
      <c r="F91" t="str">
        <f t="shared" si="4"/>
        <v/>
      </c>
      <c r="H91" t="b">
        <f t="shared" si="5"/>
        <v>0</v>
      </c>
      <c r="J91" s="3" t="str">
        <v>621</v>
      </c>
      <c r="K91" s="4" t="str">
        <v>Draco, Athenian lawgiver, issues code of laws, with many crimes punishable by death.</v>
      </c>
      <c r="P91" t="str">
        <v>627</v>
      </c>
      <c r="Q91" t="str">
        <v>Epidamos is founded by Kerkyreans</v>
      </c>
    </row>
    <row r="92" spans="1:17" x14ac:dyDescent="0.25">
      <c r="A92" t="s">
        <v>91</v>
      </c>
      <c r="B92" t="str" cm="1">
        <f t="array" ref="B92">INDEX(_xlfn.TEXTSPLIT(A92, " "), 1)</f>
        <v>621</v>
      </c>
      <c r="C92" t="str" cm="1">
        <f t="array" ref="C92">INDEX(_xlfn.TEXTSPLIT(B92, "-"), 1)</f>
        <v>621</v>
      </c>
      <c r="D92" t="str" cm="1">
        <f t="array" ref="D92">IFERROR(INDEX(_xlfn.TEXTSPLIT(B92, "-"), 2), "")</f>
        <v/>
      </c>
      <c r="E92" t="str">
        <f t="shared" si="3"/>
        <v>Epidaurus is annexed by Korinth</v>
      </c>
      <c r="F92" t="str">
        <f t="shared" si="4"/>
        <v/>
      </c>
      <c r="H92" t="b">
        <f t="shared" si="5"/>
        <v>0</v>
      </c>
      <c r="J92" s="3" t="str">
        <v>621</v>
      </c>
      <c r="K92" s="4" t="str">
        <v>Epidaurus is annexed by Korinth</v>
      </c>
      <c r="P92" t="str">
        <v>627</v>
      </c>
      <c r="Q92" t="str">
        <v>Cypselus is succeeded by Periander</v>
      </c>
    </row>
    <row r="93" spans="1:17" x14ac:dyDescent="0.25">
      <c r="A93" t="s">
        <v>92</v>
      </c>
      <c r="B93" t="str" cm="1">
        <f t="array" ref="B93">INDEX(_xlfn.TEXTSPLIT(A93, " "), 1)</f>
        <v>619</v>
      </c>
      <c r="C93" t="str" cm="1">
        <f t="array" ref="C93">INDEX(_xlfn.TEXTSPLIT(B93, "-"), 1)</f>
        <v>619</v>
      </c>
      <c r="D93" t="str" cm="1">
        <f t="array" ref="D93">IFERROR(INDEX(_xlfn.TEXTSPLIT(B93, "-"), 2), "")</f>
        <v/>
      </c>
      <c r="E93" t="str">
        <f t="shared" si="3"/>
        <v>Herbessus is annexed by Syracuse</v>
      </c>
      <c r="F93" t="str">
        <f t="shared" si="4"/>
        <v/>
      </c>
      <c r="H93" t="b">
        <f t="shared" si="5"/>
        <v>0</v>
      </c>
      <c r="J93" s="3" t="str">
        <v>619</v>
      </c>
      <c r="K93" s="4" t="str">
        <v>Herbessus is annexed by Syracuse</v>
      </c>
      <c r="P93" t="str">
        <v>625</v>
      </c>
      <c r="Q93" t="str">
        <v>Establishment of Naucratis</v>
      </c>
    </row>
    <row r="94" spans="1:17" x14ac:dyDescent="0.25">
      <c r="A94" t="s">
        <v>93</v>
      </c>
      <c r="B94" t="str" cm="1">
        <f t="array" ref="B94">INDEX(_xlfn.TEXTSPLIT(A94, " "), 1)</f>
        <v>616</v>
      </c>
      <c r="C94" t="str" cm="1">
        <f t="array" ref="C94">INDEX(_xlfn.TEXTSPLIT(B94, "-"), 1)</f>
        <v>616</v>
      </c>
      <c r="D94" t="str" cm="1">
        <f t="array" ref="D94">IFERROR(INDEX(_xlfn.TEXTSPLIT(B94, "-"), 2), "")</f>
        <v/>
      </c>
      <c r="E94" t="str">
        <f t="shared" si="3"/>
        <v>Miletus is sieged by Lydia</v>
      </c>
      <c r="F94" t="str">
        <f t="shared" si="4"/>
        <v/>
      </c>
      <c r="H94" t="b">
        <f t="shared" si="5"/>
        <v>0</v>
      </c>
      <c r="J94" s="3" t="str">
        <v>616</v>
      </c>
      <c r="K94" s="4" t="str">
        <v>Miletus is sieged by Lydia</v>
      </c>
      <c r="P94" t="str">
        <v>621</v>
      </c>
      <c r="Q94" t="str">
        <v>Draco, Athenian lawgiver, issues code of laws, with many crimes punishable by death.</v>
      </c>
    </row>
    <row r="95" spans="1:17" x14ac:dyDescent="0.25">
      <c r="A95" t="s">
        <v>94</v>
      </c>
      <c r="B95" t="str" cm="1">
        <f t="array" ref="B95">INDEX(_xlfn.TEXTSPLIT(A95, " "), 1)</f>
        <v>615</v>
      </c>
      <c r="C95" t="str" cm="1">
        <f t="array" ref="C95">INDEX(_xlfn.TEXTSPLIT(B95, "-"), 1)</f>
        <v>615</v>
      </c>
      <c r="D95" t="str" cm="1">
        <f t="array" ref="D95">IFERROR(INDEX(_xlfn.TEXTSPLIT(B95, "-"), 2), "")</f>
        <v/>
      </c>
      <c r="E95" t="str">
        <f t="shared" si="3"/>
        <v>Leontini is overthrown by Panaetius</v>
      </c>
      <c r="F95" t="str">
        <f t="shared" si="4"/>
        <v/>
      </c>
      <c r="H95" t="b">
        <f t="shared" si="5"/>
        <v>0</v>
      </c>
      <c r="J95" s="3" t="str">
        <v>615</v>
      </c>
      <c r="K95" s="4" t="str">
        <v>Leontini is overthrown by Panaetius</v>
      </c>
      <c r="P95" t="str">
        <v>621</v>
      </c>
      <c r="Q95" t="str">
        <v>Epidaurus is annexed by Korinth</v>
      </c>
    </row>
    <row r="96" spans="1:17" x14ac:dyDescent="0.25">
      <c r="A96" t="s">
        <v>95</v>
      </c>
      <c r="B96" t="str" cm="1">
        <f t="array" ref="B96">INDEX(_xlfn.TEXTSPLIT(A96, " "), 1)</f>
        <v>612</v>
      </c>
      <c r="C96" t="str" cm="1">
        <f t="array" ref="C96">INDEX(_xlfn.TEXTSPLIT(B96, "-"), 1)</f>
        <v>612</v>
      </c>
      <c r="D96" t="str" cm="1">
        <f t="array" ref="D96">IFERROR(INDEX(_xlfn.TEXTSPLIT(B96, "-"), 2), "")</f>
        <v/>
      </c>
      <c r="E96" t="str">
        <f t="shared" si="3"/>
        <v>Miletus is overthrown by Thrasybulos</v>
      </c>
      <c r="F96" t="str">
        <f t="shared" si="4"/>
        <v/>
      </c>
      <c r="H96" t="b">
        <f t="shared" si="5"/>
        <v>0</v>
      </c>
      <c r="J96" s="3" t="str">
        <v>612</v>
      </c>
      <c r="K96" s="4" t="str">
        <v>Miletus is overthrown by Thrasybulos</v>
      </c>
      <c r="P96" t="str">
        <v>619</v>
      </c>
      <c r="Q96" t="str">
        <v>Herbessus is annexed by Syracuse</v>
      </c>
    </row>
    <row r="97" spans="1:17" x14ac:dyDescent="0.25">
      <c r="A97" t="s">
        <v>96</v>
      </c>
      <c r="B97" t="str" cm="1">
        <f t="array" ref="B97">INDEX(_xlfn.TEXTSPLIT(A97, " "), 1)</f>
        <v>610</v>
      </c>
      <c r="C97" t="str" cm="1">
        <f t="array" ref="C97">INDEX(_xlfn.TEXTSPLIT(B97, "-"), 1)</f>
        <v>610</v>
      </c>
      <c r="D97" t="str" cm="1">
        <f t="array" ref="D97">IFERROR(INDEX(_xlfn.TEXTSPLIT(B97, "-"), 2), "")</f>
        <v/>
      </c>
      <c r="E97" t="str">
        <f t="shared" si="3"/>
        <v>Panticapaeum (modern city Kerch) is founded by Milesians</v>
      </c>
      <c r="F97" t="str">
        <f t="shared" si="4"/>
        <v/>
      </c>
      <c r="H97" t="b">
        <f t="shared" si="5"/>
        <v>0</v>
      </c>
      <c r="J97" s="3" t="str">
        <v>610</v>
      </c>
      <c r="K97" s="4" t="str">
        <v>Panticapaeum (modern city Kerch) is founded by Milesians</v>
      </c>
      <c r="P97" t="str">
        <v>616</v>
      </c>
      <c r="Q97" t="str">
        <v>Miletus is sieged by Lydia</v>
      </c>
    </row>
    <row r="98" spans="1:17" x14ac:dyDescent="0.25">
      <c r="A98" t="s">
        <v>97</v>
      </c>
      <c r="B98" t="str" cm="1">
        <f t="array" ref="B98">INDEX(_xlfn.TEXTSPLIT(A98, " "), 1)</f>
        <v>609</v>
      </c>
      <c r="C98" t="str" cm="1">
        <f t="array" ref="C98">INDEX(_xlfn.TEXTSPLIT(B98, "-"), 1)</f>
        <v>609</v>
      </c>
      <c r="D98" t="str" cm="1">
        <f t="array" ref="D98">IFERROR(INDEX(_xlfn.TEXTSPLIT(B98, "-"), 2), "")</f>
        <v/>
      </c>
      <c r="E98" t="str">
        <f t="shared" si="3"/>
        <v>Panaetius is oust by Leontini</v>
      </c>
      <c r="F98" t="str">
        <f t="shared" si="4"/>
        <v/>
      </c>
      <c r="H98" t="b">
        <f t="shared" si="5"/>
        <v>0</v>
      </c>
      <c r="J98" s="3" t="str">
        <v>609</v>
      </c>
      <c r="K98" s="4" t="str">
        <v>Panaetius is oust by Leontini</v>
      </c>
      <c r="P98" t="str">
        <v>615</v>
      </c>
      <c r="Q98" t="str">
        <v>Leontini is overthrown by Panaetius</v>
      </c>
    </row>
    <row r="99" spans="1:17" x14ac:dyDescent="0.25">
      <c r="A99" t="s">
        <v>98</v>
      </c>
      <c r="B99" t="str" cm="1">
        <f t="array" ref="B99">INDEX(_xlfn.TEXTSPLIT(A99, " "), 1)</f>
        <v>606</v>
      </c>
      <c r="C99" t="str" cm="1">
        <f t="array" ref="C99">INDEX(_xlfn.TEXTSPLIT(B99, "-"), 1)</f>
        <v>606</v>
      </c>
      <c r="D99" t="str" cm="1">
        <f t="array" ref="D99">IFERROR(INDEX(_xlfn.TEXTSPLIT(B99, "-"), 2), "")</f>
        <v/>
      </c>
      <c r="E99" t="str">
        <f t="shared" si="3"/>
        <v>Gorgus is succeeded by Periander</v>
      </c>
      <c r="F99" t="str">
        <f t="shared" si="4"/>
        <v/>
      </c>
      <c r="H99" t="b">
        <f t="shared" si="5"/>
        <v>0</v>
      </c>
      <c r="J99" s="3" t="str">
        <v>606</v>
      </c>
      <c r="K99" s="4" t="str">
        <v>Gorgus is succeeded by Periander</v>
      </c>
      <c r="P99" t="str">
        <v>612</v>
      </c>
      <c r="Q99" t="str">
        <v>Miletus is overthrown by Thrasybulos</v>
      </c>
    </row>
    <row r="100" spans="1:17" x14ac:dyDescent="0.25">
      <c r="A100" t="s">
        <v>99</v>
      </c>
      <c r="B100" t="str" cm="1">
        <f t="array" ref="B100">INDEX(_xlfn.TEXTSPLIT(A100, " "), 1)</f>
        <v>604</v>
      </c>
      <c r="C100" t="str" cm="1">
        <f t="array" ref="C100">INDEX(_xlfn.TEXTSPLIT(B100, "-"), 1)</f>
        <v>604</v>
      </c>
      <c r="D100" t="str" cm="1">
        <f t="array" ref="D100">IFERROR(INDEX(_xlfn.TEXTSPLIT(B100, "-"), 2), "")</f>
        <v/>
      </c>
      <c r="E100" t="str">
        <f t="shared" si="3"/>
        <v>Lydia abandons the Siege of Miletus</v>
      </c>
      <c r="F100" t="str">
        <f t="shared" si="4"/>
        <v/>
      </c>
      <c r="H100" t="b">
        <f t="shared" si="5"/>
        <v>0</v>
      </c>
      <c r="J100" s="3" t="str">
        <v>604</v>
      </c>
      <c r="K100" s="4" t="str">
        <v>Lydia abandons the Siege of Miletus</v>
      </c>
      <c r="P100" t="str">
        <v>610</v>
      </c>
      <c r="Q100" t="str">
        <v>Panticapaeum (modern city Kerch) is founded by Milesians</v>
      </c>
    </row>
    <row r="101" spans="1:17" x14ac:dyDescent="0.25">
      <c r="A101" t="s">
        <v>100</v>
      </c>
      <c r="B101" t="str" cm="1">
        <f t="array" ref="B101">INDEX(_xlfn.TEXTSPLIT(A101, " "), 1)</f>
        <v>603</v>
      </c>
      <c r="C101" t="str" cm="1">
        <f t="array" ref="C101">INDEX(_xlfn.TEXTSPLIT(B101, "-"), 1)</f>
        <v>603</v>
      </c>
      <c r="D101" t="str" cm="1">
        <f t="array" ref="D101">IFERROR(INDEX(_xlfn.TEXTSPLIT(B101, "-"), 2), "")</f>
        <v/>
      </c>
      <c r="E101" t="str">
        <f t="shared" si="3"/>
        <v>Athenai annexes Sigeion</v>
      </c>
      <c r="F101" t="str">
        <f t="shared" si="4"/>
        <v/>
      </c>
      <c r="H101" t="b">
        <f t="shared" si="5"/>
        <v>0</v>
      </c>
      <c r="J101" s="3" t="str">
        <v>603</v>
      </c>
      <c r="K101" s="4" t="str">
        <v>Athenai annexes Sigeion</v>
      </c>
      <c r="P101" t="str">
        <v>609</v>
      </c>
      <c r="Q101" t="str">
        <v>Panaetius is oust by Leontini</v>
      </c>
    </row>
    <row r="102" spans="1:17" x14ac:dyDescent="0.25">
      <c r="A102" t="s">
        <v>101</v>
      </c>
      <c r="B102" t="str" cm="1">
        <f t="array" ref="B102">INDEX(_xlfn.TEXTSPLIT(A102, " "), 1)</f>
        <v>601</v>
      </c>
      <c r="C102" t="str" cm="1">
        <f t="array" ref="C102">INDEX(_xlfn.TEXTSPLIT(B102, "-"), 1)</f>
        <v>601</v>
      </c>
      <c r="D102" t="str" cm="1">
        <f t="array" ref="D102">IFERROR(INDEX(_xlfn.TEXTSPLIT(B102, "-"), 2), "")</f>
        <v/>
      </c>
      <c r="E102" t="str">
        <f t="shared" si="3"/>
        <v>Miletus and Korinth become allies</v>
      </c>
      <c r="F102" t="str">
        <f t="shared" si="4"/>
        <v/>
      </c>
      <c r="H102" t="b">
        <f t="shared" si="5"/>
        <v>0</v>
      </c>
      <c r="J102" s="3" t="str">
        <v>601</v>
      </c>
      <c r="K102" s="4" t="str">
        <v>Miletus and Korinth become allies</v>
      </c>
      <c r="P102" t="str">
        <v>606</v>
      </c>
      <c r="Q102" t="str">
        <v>Gorgus is succeeded by Periander</v>
      </c>
    </row>
    <row r="103" spans="1:17" x14ac:dyDescent="0.25">
      <c r="A103" t="s">
        <v>102</v>
      </c>
      <c r="B103" t="str" cm="1">
        <f t="array" ref="B103">INDEX(_xlfn.TEXTSPLIT(A103, " "), 1)</f>
        <v>600</v>
      </c>
      <c r="C103" t="str" cm="1">
        <f t="array" ref="C103">INDEX(_xlfn.TEXTSPLIT(B103, "-"), 1)</f>
        <v>600</v>
      </c>
      <c r="D103" t="str" cm="1">
        <f t="array" ref="D103">IFERROR(INDEX(_xlfn.TEXTSPLIT(B103, "-"), 2), "")</f>
        <v/>
      </c>
      <c r="E103" t="str">
        <f t="shared" si="3"/>
        <v>Massalia founded by Phocaean Greeks (approximate date).[1]</v>
      </c>
      <c r="F103" t="str">
        <f t="shared" si="4"/>
        <v/>
      </c>
      <c r="H103" t="b">
        <f t="shared" si="5"/>
        <v>0</v>
      </c>
      <c r="J103" s="3" t="str">
        <v>600</v>
      </c>
      <c r="K103" s="4" t="str">
        <v>Massalia founded by Phocaean Greeks (approximate date).[1]</v>
      </c>
      <c r="P103" t="str">
        <v>604</v>
      </c>
      <c r="Q103" t="str">
        <v>Lydia abandons the Siege of Miletus</v>
      </c>
    </row>
    <row r="104" spans="1:17" x14ac:dyDescent="0.25">
      <c r="A104" t="s">
        <v>103</v>
      </c>
      <c r="B104" t="str" cm="1">
        <f t="array" ref="B104">INDEX(_xlfn.TEXTSPLIT(A104, " "), 1)</f>
        <v>600</v>
      </c>
      <c r="C104" t="str" cm="1">
        <f t="array" ref="C104">INDEX(_xlfn.TEXTSPLIT(B104, "-"), 1)</f>
        <v>600</v>
      </c>
      <c r="D104" t="str" cm="1">
        <f t="array" ref="D104">IFERROR(INDEX(_xlfn.TEXTSPLIT(B104, "-"), 2), "")</f>
        <v/>
      </c>
      <c r="E104" t="str">
        <f t="shared" si="3"/>
        <v>Segesta is Hellenized by Ionians</v>
      </c>
      <c r="F104" t="str">
        <f t="shared" si="4"/>
        <v/>
      </c>
      <c r="H104" t="b">
        <f t="shared" si="5"/>
        <v>0</v>
      </c>
      <c r="J104" s="3" t="str">
        <v>600</v>
      </c>
      <c r="K104" s="4" t="str">
        <v>Segesta is Hellenized by Ionians</v>
      </c>
      <c r="P104" t="str">
        <v>603</v>
      </c>
      <c r="Q104" t="str">
        <v>Athenai annexes Sigeion</v>
      </c>
    </row>
    <row r="105" spans="1:17" x14ac:dyDescent="0.25">
      <c r="A105" t="s">
        <v>104</v>
      </c>
      <c r="B105" t="str" cm="1">
        <f t="array" ref="B105">INDEX(_xlfn.TEXTSPLIT(A105, " "), 1)</f>
        <v>598</v>
      </c>
      <c r="C105" t="str" cm="1">
        <f t="array" ref="C105">INDEX(_xlfn.TEXTSPLIT(B105, "-"), 1)</f>
        <v>598</v>
      </c>
      <c r="D105" t="str" cm="1">
        <f t="array" ref="D105">IFERROR(INDEX(_xlfn.TEXTSPLIT(B105, "-"), 2), "")</f>
        <v/>
      </c>
      <c r="E105" t="str">
        <f t="shared" si="3"/>
        <v>Akrillai is founded and annexed by Syracuse</v>
      </c>
      <c r="F105" t="str">
        <f t="shared" si="4"/>
        <v/>
      </c>
      <c r="H105" t="b">
        <f t="shared" si="5"/>
        <v>0</v>
      </c>
      <c r="J105" s="3" t="str">
        <v>598</v>
      </c>
      <c r="K105" s="4" t="str">
        <v>Akrillai is founded and annexed by Syracuse</v>
      </c>
      <c r="P105" t="str">
        <v>601</v>
      </c>
      <c r="Q105" t="str">
        <v>Miletus and Korinth become allies</v>
      </c>
    </row>
    <row r="106" spans="1:17" x14ac:dyDescent="0.25">
      <c r="A106" t="s">
        <v>105</v>
      </c>
      <c r="B106" t="str" cm="1">
        <f t="array" ref="B106">INDEX(_xlfn.TEXTSPLIT(A106, " "), 1)</f>
        <v>598</v>
      </c>
      <c r="C106" t="str" cm="1">
        <f t="array" ref="C106">INDEX(_xlfn.TEXTSPLIT(B106, "-"), 1)</f>
        <v>598</v>
      </c>
      <c r="D106" t="str" cm="1">
        <f t="array" ref="D106">IFERROR(INDEX(_xlfn.TEXTSPLIT(B106, "-"), 2), "")</f>
        <v/>
      </c>
      <c r="E106" t="str">
        <f t="shared" si="3"/>
        <v>Kamarina is founded and annexed by Syracuse</v>
      </c>
      <c r="F106" t="str">
        <f t="shared" si="4"/>
        <v/>
      </c>
      <c r="H106" t="b">
        <f t="shared" si="5"/>
        <v>0</v>
      </c>
      <c r="J106" s="3" t="str">
        <v>598</v>
      </c>
      <c r="K106" s="4" t="str">
        <v>Kamarina is founded and annexed by Syracuse</v>
      </c>
      <c r="P106" t="str">
        <v>600</v>
      </c>
      <c r="Q106" t="str">
        <v>Massalia founded by Phocaean Greeks (approximate date).[1]</v>
      </c>
    </row>
    <row r="107" spans="1:17" x14ac:dyDescent="0.25">
      <c r="A107" t="s">
        <v>106</v>
      </c>
      <c r="B107" t="str" cm="1">
        <f t="array" ref="B107">INDEX(_xlfn.TEXTSPLIT(A107, " "), 1)</f>
        <v>597</v>
      </c>
      <c r="C107" t="str" cm="1">
        <f t="array" ref="C107">INDEX(_xlfn.TEXTSPLIT(B107, "-"), 1)</f>
        <v>597</v>
      </c>
      <c r="D107" t="str" cm="1">
        <f t="array" ref="D107">IFERROR(INDEX(_xlfn.TEXTSPLIT(B107, "-"), 2), "")</f>
        <v/>
      </c>
      <c r="E107" t="str">
        <f t="shared" si="3"/>
        <v>Delphi gains independence from Kirrha</v>
      </c>
      <c r="F107" t="str">
        <f t="shared" si="4"/>
        <v/>
      </c>
      <c r="H107" t="b">
        <f t="shared" si="5"/>
        <v>0</v>
      </c>
      <c r="J107" s="3" t="str">
        <v>597</v>
      </c>
      <c r="K107" s="4" t="str">
        <v>Delphi gains independence from Kirrha</v>
      </c>
      <c r="P107" t="str">
        <v>600</v>
      </c>
      <c r="Q107" t="str">
        <v>Segesta is Hellenized by Ionians</v>
      </c>
    </row>
    <row r="108" spans="1:17" x14ac:dyDescent="0.25">
      <c r="A108" t="s">
        <v>107</v>
      </c>
      <c r="B108" t="str" cm="1">
        <f t="array" ref="B108">INDEX(_xlfn.TEXTSPLIT(A108, " "), 1)</f>
        <v>596</v>
      </c>
      <c r="C108" t="str" cm="1">
        <f t="array" ref="C108">INDEX(_xlfn.TEXTSPLIT(B108, "-"), 1)</f>
        <v>596</v>
      </c>
      <c r="D108" t="str" cm="1">
        <f t="array" ref="D108">IFERROR(INDEX(_xlfn.TEXTSPLIT(B108, "-"), 2), "")</f>
        <v/>
      </c>
      <c r="E108" t="str">
        <f t="shared" si="3"/>
        <v>Paleopoli is founded by Samosi</v>
      </c>
      <c r="F108" t="str">
        <f t="shared" si="4"/>
        <v/>
      </c>
      <c r="H108" t="b">
        <f t="shared" si="5"/>
        <v>0</v>
      </c>
      <c r="J108" s="3" t="str">
        <v>596</v>
      </c>
      <c r="K108" s="4" t="str">
        <v>Paleopoli is founded by Samosi</v>
      </c>
      <c r="P108" t="str">
        <v>598</v>
      </c>
      <c r="Q108" t="str">
        <v>Akrillai is founded and annexed by Syracuse</v>
      </c>
    </row>
    <row r="109" spans="1:17" x14ac:dyDescent="0.25">
      <c r="A109" t="s">
        <v>108</v>
      </c>
      <c r="B109" t="str" cm="1">
        <f t="array" ref="B109">INDEX(_xlfn.TEXTSPLIT(A109, " "), 1)</f>
        <v>595</v>
      </c>
      <c r="C109" t="str" cm="1">
        <f t="array" ref="C109">INDEX(_xlfn.TEXTSPLIT(B109, "-"), 1)</f>
        <v>595</v>
      </c>
      <c r="D109" t="str" cm="1">
        <f t="array" ref="D109">IFERROR(INDEX(_xlfn.TEXTSPLIT(B109, "-"), 2), "")</f>
        <v/>
      </c>
      <c r="E109" t="str">
        <f t="shared" si="3"/>
        <v>Salamis is annexed by Athens</v>
      </c>
      <c r="F109" t="str">
        <f t="shared" si="4"/>
        <v/>
      </c>
      <c r="H109" t="b">
        <f t="shared" si="5"/>
        <v>0</v>
      </c>
      <c r="J109" s="3" t="str">
        <v>595</v>
      </c>
      <c r="K109" s="4" t="str">
        <v>Salamis is annexed by Athens</v>
      </c>
      <c r="P109" t="str">
        <v>598</v>
      </c>
      <c r="Q109" t="str">
        <v>Kamarina is founded and annexed by Syracuse</v>
      </c>
    </row>
    <row r="110" spans="1:17" x14ac:dyDescent="0.25">
      <c r="A110" t="s">
        <v>109</v>
      </c>
      <c r="B110" t="str" cm="1">
        <f t="array" ref="B110">INDEX(_xlfn.TEXTSPLIT(A110, " "), 1)</f>
        <v>595</v>
      </c>
      <c r="C110" t="str" cm="1">
        <f t="array" ref="C110">INDEX(_xlfn.TEXTSPLIT(B110, "-"), 1)</f>
        <v>595</v>
      </c>
      <c r="D110" t="str" cm="1">
        <f t="array" ref="D110">IFERROR(INDEX(_xlfn.TEXTSPLIT(B110, "-"), 2), "")</f>
        <v/>
      </c>
      <c r="E110" t="str">
        <f t="shared" si="3"/>
        <v>Start of the First Sacred War</v>
      </c>
      <c r="F110" t="str">
        <f t="shared" si="4"/>
        <v/>
      </c>
      <c r="H110" t="b">
        <f t="shared" si="5"/>
        <v>0</v>
      </c>
      <c r="J110" s="3" t="str">
        <v>595</v>
      </c>
      <c r="K110" s="4" t="str">
        <v>Start of the First Sacred War</v>
      </c>
      <c r="P110" t="str">
        <v>597</v>
      </c>
      <c r="Q110" t="str">
        <v>Delphi gains independence from Kirrha</v>
      </c>
    </row>
    <row r="111" spans="1:17" x14ac:dyDescent="0.25">
      <c r="A111" t="s">
        <v>110</v>
      </c>
      <c r="B111" t="str" cm="1">
        <f t="array" ref="B111">INDEX(_xlfn.TEXTSPLIT(A111, " "), 1)</f>
        <v>594</v>
      </c>
      <c r="C111" t="str" cm="1">
        <f t="array" ref="C111">INDEX(_xlfn.TEXTSPLIT(B111, "-"), 1)</f>
        <v>594</v>
      </c>
      <c r="D111" t="str" cm="1">
        <f t="array" ref="D111">IFERROR(INDEX(_xlfn.TEXTSPLIT(B111, "-"), 2), "")</f>
        <v/>
      </c>
      <c r="E111" t="str">
        <f t="shared" si="3"/>
        <v>Kirrha is sieged by Amphictyonic League</v>
      </c>
      <c r="F111" t="str">
        <f t="shared" si="4"/>
        <v/>
      </c>
      <c r="H111" t="b">
        <f t="shared" si="5"/>
        <v>0</v>
      </c>
      <c r="J111" s="3" t="str">
        <v>594</v>
      </c>
      <c r="K111" s="4" t="str">
        <v>Kirrha is sieged by Amphictyonic League</v>
      </c>
      <c r="P111" t="str">
        <v>596</v>
      </c>
      <c r="Q111" t="str">
        <v>Paleopoli is founded by Samosi</v>
      </c>
    </row>
    <row r="112" spans="1:17" x14ac:dyDescent="0.25">
      <c r="A112" t="s">
        <v>111</v>
      </c>
      <c r="B112" t="str" cm="1">
        <f t="array" ref="B112">INDEX(_xlfn.TEXTSPLIT(A112, " "), 1)</f>
        <v>594</v>
      </c>
      <c r="C112" t="str" cm="1">
        <f t="array" ref="C112">INDEX(_xlfn.TEXTSPLIT(B112, "-"), 1)</f>
        <v>594</v>
      </c>
      <c r="D112" t="str" cm="1">
        <f t="array" ref="D112">IFERROR(INDEX(_xlfn.TEXTSPLIT(B112, "-"), 2), "")</f>
        <v/>
      </c>
      <c r="E112" t="str">
        <f t="shared" si="3"/>
        <v>Solon, Athenian statesman, becomes Archon pre-582 (cf. ML6 and Plutarch Sol. 14)—later, when member of the Areopagus is appointed to effect social reforms in order to preserve order in Athens, which include the abolition of the security of debts on a debtor's person (Aristotle Ath. Pol. 6), returning exiled Athenian slaves (Solon fr. 4 in Ath. Pol. 12), changing the value of weights and measures to the Korinthian standard, prohibiting the export of grain from Attica and encouraging the planting of olives (Plut. Sol. 22-4), established the property classes (Ar. Ath. Pol. 7) and the council of 400 (Ar. Ath. Pol. 8).</v>
      </c>
      <c r="F112" t="str">
        <f t="shared" si="4"/>
        <v/>
      </c>
      <c r="H112" t="b">
        <f t="shared" si="5"/>
        <v>0</v>
      </c>
      <c r="J112" s="3" t="str">
        <v>594</v>
      </c>
      <c r="K112" s="4" t="str">
        <v>Solon, Athenian statesman, becomes Archon pre-582 (cf. ML6 and Plutarch Sol. 14)—later, when member of the Areopagus is appointed to effect social reforms in order to preserve order in Athens, which include the abolition of the security of debts on a debtor's person (Aristotle Ath. Pol. 6), returning exiled Athenian slaves (Solon fr. 4 in Ath. Pol. 12), changing the value of weights and measures to the Korinthian standard, prohibiting the export of grain from Attica and encouraging the planting of olives (Plut. Sol. 22-4), established the property classes (Ar. Ath. Pol. 7) and the council of 400 (Ar. Ath. Pol. 8).</v>
      </c>
      <c r="P112" t="str">
        <v>595</v>
      </c>
      <c r="Q112" t="str">
        <v>Salamis is annexed by Athens</v>
      </c>
    </row>
    <row r="113" spans="1:17" x14ac:dyDescent="0.25">
      <c r="A113" t="s">
        <v>112</v>
      </c>
      <c r="B113" t="str" cm="1">
        <f t="array" ref="B113">INDEX(_xlfn.TEXTSPLIT(A113, " "), 1)</f>
        <v>592</v>
      </c>
      <c r="C113" t="str" cm="1">
        <f t="array" ref="C113">INDEX(_xlfn.TEXTSPLIT(B113, "-"), 1)</f>
        <v>592</v>
      </c>
      <c r="D113" t="str" cm="1">
        <f t="array" ref="D113">IFERROR(INDEX(_xlfn.TEXTSPLIT(B113, "-"), 2), "")</f>
        <v/>
      </c>
      <c r="E113" t="str">
        <f t="shared" si="3"/>
        <v>Ephesus is sieged by Persia</v>
      </c>
      <c r="F113" t="str">
        <f t="shared" si="4"/>
        <v/>
      </c>
      <c r="H113" t="b">
        <f t="shared" si="5"/>
        <v>0</v>
      </c>
      <c r="J113" s="3" t="str">
        <v>592</v>
      </c>
      <c r="K113" s="4" t="str">
        <v>Ephesus is sieged by Persia</v>
      </c>
      <c r="P113" t="str">
        <v>595</v>
      </c>
      <c r="Q113" t="str">
        <v>Start of the First Sacred War</v>
      </c>
    </row>
    <row r="114" spans="1:17" x14ac:dyDescent="0.25">
      <c r="A114" t="s">
        <v>113</v>
      </c>
      <c r="B114" t="str" cm="1">
        <f t="array" ref="B114">INDEX(_xlfn.TEXTSPLIT(A114, " "), 1)</f>
        <v>590</v>
      </c>
      <c r="C114" t="str" cm="1">
        <f t="array" ref="C114">INDEX(_xlfn.TEXTSPLIT(B114, "-"), 1)</f>
        <v>590</v>
      </c>
      <c r="D114" t="str" cm="1">
        <f t="array" ref="D114">IFERROR(INDEX(_xlfn.TEXTSPLIT(B114, "-"), 2), "")</f>
        <v/>
      </c>
      <c r="E114" t="str">
        <f t="shared" si="3"/>
        <v>Siege of Ephesus is abandoned, Lydia annexes Smyrna and Median-Lydian war starts</v>
      </c>
      <c r="F114" t="str">
        <f t="shared" si="4"/>
        <v/>
      </c>
      <c r="H114" t="b">
        <f t="shared" si="5"/>
        <v>0</v>
      </c>
      <c r="J114" s="3" t="str">
        <v>590</v>
      </c>
      <c r="K114" s="4" t="str">
        <v>Siege of Ephesus is abandoned, Lydia annexes Smyrna and Median-Lydian war starts</v>
      </c>
      <c r="P114" t="str">
        <v>594</v>
      </c>
      <c r="Q114" t="str">
        <v>Kirrha is sieged by Amphictyonic League</v>
      </c>
    </row>
    <row r="115" spans="1:17" x14ac:dyDescent="0.25">
      <c r="A115" t="s">
        <v>114</v>
      </c>
      <c r="B115" t="str" cm="1">
        <f t="array" ref="B115">INDEX(_xlfn.TEXTSPLIT(A115, " "), 1)</f>
        <v>590</v>
      </c>
      <c r="C115" t="str" cm="1">
        <f t="array" ref="C115">INDEX(_xlfn.TEXTSPLIT(B115, "-"), 1)</f>
        <v>590</v>
      </c>
      <c r="D115" t="str" cm="1">
        <f t="array" ref="D115">IFERROR(INDEX(_xlfn.TEXTSPLIT(B115, "-"), 2), "")</f>
        <v/>
      </c>
      <c r="E115" t="str">
        <f t="shared" si="3"/>
        <v>Muorica (Renamed Modica) is annexed by Syracuse</v>
      </c>
      <c r="F115" t="str">
        <f t="shared" si="4"/>
        <v/>
      </c>
      <c r="H115" t="b">
        <f t="shared" si="5"/>
        <v>0</v>
      </c>
      <c r="J115" s="3" t="str">
        <v>590</v>
      </c>
      <c r="K115" s="4" t="str">
        <v>Muorica (Renamed Modica) is annexed by Syracuse</v>
      </c>
      <c r="P115" t="str">
        <v>594</v>
      </c>
      <c r="Q115" t="str">
        <v>Solon, Athenian statesman, becomes Archon pre-582 (cf. ML6 and Plutarch Sol. 14)—later, when member of the Areopagus is appointed to effect social reforms in order to preserve order in Athens, which include the abolition of the security of debts on a debtor's person (Aristotle Ath. Pol. 6), returning exiled Athenian slaves (Solon fr. 4 in Ath. Pol. 12), changing the value of weights and measures to the Korinthian standard, prohibiting the export of grain from Attica and encouraging the planting of olives (Plut. Sol. 22-4), established the property classes (Ar. Ath. Pol. 7) and the council of 400 (Ar. Ath. Pol. 8).</v>
      </c>
    </row>
    <row r="116" spans="1:17" x14ac:dyDescent="0.25">
      <c r="A116" t="s">
        <v>115</v>
      </c>
      <c r="B116" t="str" cm="1">
        <f t="array" ref="B116">INDEX(_xlfn.TEXTSPLIT(A116, " "), 1)</f>
        <v>590</v>
      </c>
      <c r="C116" t="str" cm="1">
        <f t="array" ref="C116">INDEX(_xlfn.TEXTSPLIT(B116, "-"), 1)</f>
        <v>590</v>
      </c>
      <c r="D116" t="str" cm="1">
        <f t="array" ref="D116">IFERROR(INDEX(_xlfn.TEXTSPLIT(B116, "-"), 2), "")</f>
        <v/>
      </c>
      <c r="E116" t="str">
        <f t="shared" si="3"/>
        <v>Sappho, Greek poet, flourishes on island of Lesbos.</v>
      </c>
      <c r="F116" t="str">
        <f t="shared" si="4"/>
        <v/>
      </c>
      <c r="H116" t="b">
        <f t="shared" si="5"/>
        <v>0</v>
      </c>
      <c r="J116" s="3" t="str">
        <v>590</v>
      </c>
      <c r="K116" s="4" t="str">
        <v>Sappho, Greek poet, flourishes on island of Lesbos.</v>
      </c>
      <c r="P116" t="str">
        <v>592</v>
      </c>
      <c r="Q116" t="str">
        <v>Ephesus is sieged by Persia</v>
      </c>
    </row>
    <row r="117" spans="1:17" x14ac:dyDescent="0.25">
      <c r="A117" t="s">
        <v>116</v>
      </c>
      <c r="B117" t="str" cm="1">
        <f t="array" ref="B117">INDEX(_xlfn.TEXTSPLIT(A117, " "), 1)</f>
        <v>589</v>
      </c>
      <c r="C117" t="str" cm="1">
        <f t="array" ref="C117">INDEX(_xlfn.TEXTSPLIT(B117, "-"), 1)</f>
        <v>589</v>
      </c>
      <c r="D117" t="str" cm="1">
        <f t="array" ref="D117">IFERROR(INDEX(_xlfn.TEXTSPLIT(B117, "-"), 2), "")</f>
        <v/>
      </c>
      <c r="E117" t="str">
        <f t="shared" si="3"/>
        <v>Klazomenai is sieged by Lydia</v>
      </c>
      <c r="F117" t="str">
        <f t="shared" si="4"/>
        <v/>
      </c>
      <c r="H117" t="b">
        <f t="shared" si="5"/>
        <v>0</v>
      </c>
      <c r="J117" s="3" t="str">
        <v>589</v>
      </c>
      <c r="K117" s="4" t="str">
        <v>Klazomenai is sieged by Lydia</v>
      </c>
      <c r="P117" t="str">
        <v>590</v>
      </c>
      <c r="Q117" t="str">
        <v>Siege of Ephesus is abandoned, Lydia annexes Smyrna and Median-Lydian war starts</v>
      </c>
    </row>
    <row r="118" spans="1:17" x14ac:dyDescent="0.25">
      <c r="A118" t="s">
        <v>117</v>
      </c>
      <c r="B118" t="str" cm="1">
        <f t="array" ref="B118">INDEX(_xlfn.TEXTSPLIT(A118, " "), 1)</f>
        <v>588</v>
      </c>
      <c r="C118" t="str" cm="1">
        <f t="array" ref="C118">INDEX(_xlfn.TEXTSPLIT(B118, "-"), 1)</f>
        <v>588</v>
      </c>
      <c r="D118" t="str" cm="1">
        <f t="array" ref="D118">IFERROR(INDEX(_xlfn.TEXTSPLIT(B118, "-"), 2), "")</f>
        <v/>
      </c>
      <c r="E118" t="str">
        <f t="shared" si="3"/>
        <v>Poseidonia is founded by Sybaris</v>
      </c>
      <c r="F118" t="str">
        <f t="shared" si="4"/>
        <v/>
      </c>
      <c r="H118" t="b">
        <f t="shared" si="5"/>
        <v>0</v>
      </c>
      <c r="J118" s="3" t="str">
        <v>588</v>
      </c>
      <c r="K118" s="4" t="str">
        <v>Poseidonia is founded by Sybaris</v>
      </c>
      <c r="P118" t="str">
        <v>590</v>
      </c>
      <c r="Q118" t="str">
        <v>Muorica (Renamed Modica) is annexed by Syracuse</v>
      </c>
    </row>
    <row r="119" spans="1:17" x14ac:dyDescent="0.25">
      <c r="A119" t="s">
        <v>118</v>
      </c>
      <c r="B119" t="str" cm="1">
        <f t="array" ref="B119">INDEX(_xlfn.TEXTSPLIT(A119, " "), 1)</f>
        <v>587</v>
      </c>
      <c r="C119" t="str" cm="1">
        <f t="array" ref="C119">INDEX(_xlfn.TEXTSPLIT(B119, "-"), 1)</f>
        <v>587</v>
      </c>
      <c r="D119" t="str" cm="1">
        <f t="array" ref="D119">IFERROR(INDEX(_xlfn.TEXTSPLIT(B119, "-"), 2), "")</f>
        <v/>
      </c>
      <c r="E119" t="str">
        <f t="shared" si="3"/>
        <v>Siege of Klazomenai is abandoned by Lydia</v>
      </c>
      <c r="F119" t="str">
        <f t="shared" si="4"/>
        <v/>
      </c>
      <c r="H119" t="b">
        <f t="shared" si="5"/>
        <v>0</v>
      </c>
      <c r="J119" s="3" t="str">
        <v>587</v>
      </c>
      <c r="K119" s="4" t="str">
        <v>Siege of Klazomenai is abandoned by Lydia</v>
      </c>
      <c r="P119" t="str">
        <v>590</v>
      </c>
      <c r="Q119" t="str">
        <v>Sappho, Greek poet, flourishes on island of Lesbos.</v>
      </c>
    </row>
    <row r="120" spans="1:17" x14ac:dyDescent="0.25">
      <c r="A120" t="s">
        <v>119</v>
      </c>
      <c r="B120" t="str" cm="1">
        <f t="array" ref="B120">INDEX(_xlfn.TEXTSPLIT(A120, " "), 1)</f>
        <v>586</v>
      </c>
      <c r="C120" t="str" cm="1">
        <f t="array" ref="C120">INDEX(_xlfn.TEXTSPLIT(B120, "-"), 1)</f>
        <v>586</v>
      </c>
      <c r="D120" t="str" cm="1">
        <f t="array" ref="D120">IFERROR(INDEX(_xlfn.TEXTSPLIT(B120, "-"), 2), "")</f>
        <v/>
      </c>
      <c r="E120" t="str">
        <f t="shared" si="3"/>
        <v>Death of Lycophron tyrant of Corcyra</v>
      </c>
      <c r="F120" t="str">
        <f t="shared" si="4"/>
        <v/>
      </c>
      <c r="H120" t="b">
        <f t="shared" si="5"/>
        <v>0</v>
      </c>
      <c r="J120" s="3" t="str">
        <v>586</v>
      </c>
      <c r="K120" s="4" t="str">
        <v>Death of Lycophron tyrant of Corcyra</v>
      </c>
      <c r="P120" t="str">
        <v>589</v>
      </c>
      <c r="Q120" t="str">
        <v>Klazomenai is sieged by Lydia</v>
      </c>
    </row>
    <row r="121" spans="1:17" x14ac:dyDescent="0.25">
      <c r="A121" t="s">
        <v>120</v>
      </c>
      <c r="B121" t="str" cm="1">
        <f t="array" ref="B121">INDEX(_xlfn.TEXTSPLIT(A121, " "), 1)</f>
        <v>586</v>
      </c>
      <c r="C121" t="str" cm="1">
        <f t="array" ref="C121">INDEX(_xlfn.TEXTSPLIT(B121, "-"), 1)</f>
        <v>586</v>
      </c>
      <c r="D121" t="str" cm="1">
        <f t="array" ref="D121">IFERROR(INDEX(_xlfn.TEXTSPLIT(B121, "-"), 2), "")</f>
        <v/>
      </c>
      <c r="E121" t="str">
        <f t="shared" si="3"/>
        <v>Plataea gains independence from Thebai</v>
      </c>
      <c r="F121" t="str">
        <f t="shared" si="4"/>
        <v/>
      </c>
      <c r="H121" t="b">
        <f t="shared" si="5"/>
        <v>0</v>
      </c>
      <c r="J121" s="3" t="str">
        <v>586</v>
      </c>
      <c r="K121" s="4" t="str">
        <v>Plataea gains independence from Thebai</v>
      </c>
      <c r="P121" t="str">
        <v>588</v>
      </c>
      <c r="Q121" t="str">
        <v>Poseidonia is founded by Sybaris</v>
      </c>
    </row>
    <row r="122" spans="1:17" x14ac:dyDescent="0.25">
      <c r="A122" t="s">
        <v>121</v>
      </c>
      <c r="B122" t="str" cm="1">
        <f t="array" ref="B122">INDEX(_xlfn.TEXTSPLIT(A122, " "), 1)</f>
        <v>585</v>
      </c>
      <c r="C122" t="str" cm="1">
        <f t="array" ref="C122">INDEX(_xlfn.TEXTSPLIT(B122, "-"), 1)</f>
        <v>585</v>
      </c>
      <c r="D122" t="str" cm="1">
        <f t="array" ref="D122">IFERROR(INDEX(_xlfn.TEXTSPLIT(B122, "-"), 2), "")</f>
        <v/>
      </c>
      <c r="E122" t="str">
        <f t="shared" si="3"/>
        <v>Kirrha is destroyed</v>
      </c>
      <c r="F122" t="str">
        <f t="shared" si="4"/>
        <v/>
      </c>
      <c r="H122" t="b">
        <f t="shared" si="5"/>
        <v>0</v>
      </c>
      <c r="J122" s="3" t="str">
        <v>585</v>
      </c>
      <c r="K122" s="4" t="str">
        <v>Kirrha is destroyed</v>
      </c>
      <c r="P122" t="str">
        <v>587</v>
      </c>
      <c r="Q122" t="str">
        <v>Siege of Klazomenai is abandoned by Lydia</v>
      </c>
    </row>
    <row r="123" spans="1:17" x14ac:dyDescent="0.25">
      <c r="A123" t="s">
        <v>122</v>
      </c>
      <c r="B123" t="str" cm="1">
        <f t="array" ref="B123">INDEX(_xlfn.TEXTSPLIT(A123, " "), 1)</f>
        <v>585</v>
      </c>
      <c r="C123" t="str" cm="1">
        <f t="array" ref="C123">INDEX(_xlfn.TEXTSPLIT(B123, "-"), 1)</f>
        <v>585</v>
      </c>
      <c r="D123" t="str" cm="1">
        <f t="array" ref="D123">IFERROR(INDEX(_xlfn.TEXTSPLIT(B123, "-"), 2), "")</f>
        <v/>
      </c>
      <c r="E123" t="str">
        <f t="shared" si="3"/>
        <v>Lydian-Median border set at Halys River</v>
      </c>
      <c r="F123" t="str">
        <f t="shared" si="4"/>
        <v/>
      </c>
      <c r="H123" t="b">
        <f t="shared" si="5"/>
        <v>0</v>
      </c>
      <c r="J123" s="3" t="str">
        <v>585</v>
      </c>
      <c r="K123" s="4" t="str">
        <v>Lydian-Median border set at Halys River</v>
      </c>
      <c r="P123" t="str">
        <v>586</v>
      </c>
      <c r="Q123" t="str">
        <v>Death of Lycophron tyrant of Corcyra</v>
      </c>
    </row>
    <row r="124" spans="1:17" x14ac:dyDescent="0.25">
      <c r="A124" t="s">
        <v>123</v>
      </c>
      <c r="B124" t="str" cm="1">
        <f t="array" ref="B124">INDEX(_xlfn.TEXTSPLIT(A124, " "), 1)</f>
        <v>585</v>
      </c>
      <c r="C124" t="str" cm="1">
        <f t="array" ref="C124">INDEX(_xlfn.TEXTSPLIT(B124, "-"), 1)</f>
        <v>585</v>
      </c>
      <c r="D124" t="str" cm="1">
        <f t="array" ref="D124">IFERROR(INDEX(_xlfn.TEXTSPLIT(B124, "-"), 2), "")</f>
        <v/>
      </c>
      <c r="E124" t="str">
        <f t="shared" si="3"/>
        <v>The philosopher Thales of Miletus predicts a solar eclipse that occurs during the Battle of Halys.</v>
      </c>
      <c r="F124" t="str">
        <f t="shared" si="4"/>
        <v/>
      </c>
      <c r="H124" t="b">
        <f t="shared" si="5"/>
        <v>0</v>
      </c>
      <c r="J124" s="3" t="str">
        <v>585</v>
      </c>
      <c r="K124" s="4" t="str">
        <v>The philosopher Thales of Miletus predicts a solar eclipse that occurs during the Battle of Halys.</v>
      </c>
      <c r="P124" t="str">
        <v>586</v>
      </c>
      <c r="Q124" t="str">
        <v>Plataea gains independence from Thebai</v>
      </c>
    </row>
    <row r="125" spans="1:17" x14ac:dyDescent="0.25">
      <c r="A125" t="s">
        <v>124</v>
      </c>
      <c r="B125" t="str" cm="1">
        <f t="array" ref="B125">INDEX(_xlfn.TEXTSPLIT(A125, " "), 1)</f>
        <v>585</v>
      </c>
      <c r="C125" t="str" cm="1">
        <f t="array" ref="C125">INDEX(_xlfn.TEXTSPLIT(B125, "-"), 1)</f>
        <v>585</v>
      </c>
      <c r="D125" t="str" cm="1">
        <f t="array" ref="D125">IFERROR(INDEX(_xlfn.TEXTSPLIT(B125, "-"), 2), "")</f>
        <v/>
      </c>
      <c r="E125" t="str">
        <f t="shared" si="3"/>
        <v>Periander is overthrown by Psammetichus</v>
      </c>
      <c r="F125" t="str">
        <f t="shared" si="4"/>
        <v/>
      </c>
      <c r="H125" t="b">
        <f t="shared" si="5"/>
        <v>0</v>
      </c>
      <c r="J125" s="3" t="str">
        <v>585</v>
      </c>
      <c r="K125" s="4" t="str">
        <v>Periander is overthrown by Psammetichus</v>
      </c>
      <c r="P125" t="str">
        <v>585</v>
      </c>
      <c r="Q125" t="str">
        <v>Kirrha is destroyed</v>
      </c>
    </row>
    <row r="126" spans="1:17" x14ac:dyDescent="0.25">
      <c r="A126" t="s">
        <v>125</v>
      </c>
      <c r="B126" t="str" cm="1">
        <f t="array" ref="B126">INDEX(_xlfn.TEXTSPLIT(A126, " "), 1)</f>
        <v>585</v>
      </c>
      <c r="C126" t="str" cm="1">
        <f t="array" ref="C126">INDEX(_xlfn.TEXTSPLIT(B126, "-"), 1)</f>
        <v>585</v>
      </c>
      <c r="D126" t="str" cm="1">
        <f t="array" ref="D126">IFERROR(INDEX(_xlfn.TEXTSPLIT(B126, "-"), 2), "")</f>
        <v/>
      </c>
      <c r="E126" t="str">
        <f t="shared" si="3"/>
        <v>End of the First Sacred War</v>
      </c>
      <c r="F126" t="str">
        <f t="shared" si="4"/>
        <v/>
      </c>
      <c r="H126" t="b">
        <f t="shared" si="5"/>
        <v>0</v>
      </c>
      <c r="J126" s="3" t="str">
        <v>585</v>
      </c>
      <c r="K126" s="4" t="str">
        <v>End of the First Sacred War</v>
      </c>
      <c r="P126" t="str">
        <v>585</v>
      </c>
      <c r="Q126" t="str">
        <v>Lydian-Median border set at Halys River</v>
      </c>
    </row>
    <row r="127" spans="1:17" x14ac:dyDescent="0.25">
      <c r="A127" t="s">
        <v>126</v>
      </c>
      <c r="B127" t="str" cm="1">
        <f t="array" ref="B127">INDEX(_xlfn.TEXTSPLIT(A127, " "), 1)</f>
        <v>583</v>
      </c>
      <c r="C127" t="str" cm="1">
        <f t="array" ref="C127">INDEX(_xlfn.TEXTSPLIT(B127, "-"), 1)</f>
        <v>583</v>
      </c>
      <c r="D127" t="str" cm="1">
        <f t="array" ref="D127">IFERROR(INDEX(_xlfn.TEXTSPLIT(B127, "-"), 2), "")</f>
        <v/>
      </c>
      <c r="E127" t="str">
        <f t="shared" si="3"/>
        <v>Psammetichus is overthrown by Korinth</v>
      </c>
      <c r="F127" t="str">
        <f t="shared" si="4"/>
        <v/>
      </c>
      <c r="H127" t="b">
        <f t="shared" si="5"/>
        <v>0</v>
      </c>
      <c r="J127" s="3" t="str">
        <v>583</v>
      </c>
      <c r="K127" s="4" t="str">
        <v>Psammetichus is overthrown by Korinth</v>
      </c>
      <c r="P127" t="str">
        <v>585</v>
      </c>
      <c r="Q127" t="str">
        <v>The philosopher Thales of Miletus predicts a solar eclipse that occurs during the Battle of Halys.</v>
      </c>
    </row>
    <row r="128" spans="1:17" x14ac:dyDescent="0.25">
      <c r="A128" t="s">
        <v>127</v>
      </c>
      <c r="B128" t="str" cm="1">
        <f t="array" ref="B128">INDEX(_xlfn.TEXTSPLIT(A128, " "), 1)</f>
        <v>582</v>
      </c>
      <c r="C128" t="str" cm="1">
        <f t="array" ref="C128">INDEX(_xlfn.TEXTSPLIT(B128, "-"), 1)</f>
        <v>582</v>
      </c>
      <c r="D128" t="str" cm="1">
        <f t="array" ref="D128">IFERROR(INDEX(_xlfn.TEXTSPLIT(B128, "-"), 2), "")</f>
        <v/>
      </c>
      <c r="E128" t="str">
        <f t="shared" si="3"/>
        <v>Akragas is founded by Gelans</v>
      </c>
      <c r="F128" t="str">
        <f t="shared" si="4"/>
        <v/>
      </c>
      <c r="H128" t="b">
        <f t="shared" si="5"/>
        <v>0</v>
      </c>
      <c r="J128" s="3" t="str">
        <v>582</v>
      </c>
      <c r="K128" s="4" t="str">
        <v>Akragas is founded by Gelans</v>
      </c>
      <c r="P128" t="str">
        <v>585</v>
      </c>
      <c r="Q128" t="str">
        <v>Periander is overthrown by Psammetichus</v>
      </c>
    </row>
    <row r="129" spans="1:17" x14ac:dyDescent="0.25">
      <c r="A129" t="s">
        <v>128</v>
      </c>
      <c r="B129" t="str" cm="1">
        <f t="array" ref="B129">INDEX(_xlfn.TEXTSPLIT(A129, " "), 1)</f>
        <v>582</v>
      </c>
      <c r="C129" t="str" cm="1">
        <f t="array" ref="C129">INDEX(_xlfn.TEXTSPLIT(B129, "-"), 1)</f>
        <v>582</v>
      </c>
      <c r="D129" t="str" cm="1">
        <f t="array" ref="D129">IFERROR(INDEX(_xlfn.TEXTSPLIT(B129, "-"), 2), "")</f>
        <v/>
      </c>
      <c r="E129" t="str">
        <f t="shared" si="3"/>
        <v>First recorded Pythian Games</v>
      </c>
      <c r="F129" t="str">
        <f t="shared" si="4"/>
        <v/>
      </c>
      <c r="H129" t="b">
        <f t="shared" si="5"/>
        <v>0</v>
      </c>
      <c r="J129" s="3" t="str">
        <v>582</v>
      </c>
      <c r="K129" s="4" t="str">
        <v>First recorded Pythian Games</v>
      </c>
      <c r="P129" t="str">
        <v>585</v>
      </c>
      <c r="Q129" t="str">
        <v>End of the First Sacred War</v>
      </c>
    </row>
    <row r="130" spans="1:17" x14ac:dyDescent="0.25">
      <c r="A130" t="s">
        <v>129</v>
      </c>
      <c r="B130" t="str" cm="1">
        <f t="array" ref="B130">INDEX(_xlfn.TEXTSPLIT(A130, " "), 1)</f>
        <v>581</v>
      </c>
      <c r="C130" t="str" cm="1">
        <f t="array" ref="C130">INDEX(_xlfn.TEXTSPLIT(B130, "-"), 1)</f>
        <v>581</v>
      </c>
      <c r="D130" t="str" cm="1">
        <f t="array" ref="D130">IFERROR(INDEX(_xlfn.TEXTSPLIT(B130, "-"), 2), "")</f>
        <v/>
      </c>
      <c r="E130" t="str">
        <f t="shared" si="3"/>
        <v>Selinus attacks Motya</v>
      </c>
      <c r="F130" t="str">
        <f t="shared" si="4"/>
        <v/>
      </c>
      <c r="H130" t="b">
        <f t="shared" si="5"/>
        <v>0</v>
      </c>
      <c r="J130" s="3" t="str">
        <v>581</v>
      </c>
      <c r="K130" s="4" t="str">
        <v>Selinus attacks Motya</v>
      </c>
      <c r="P130" t="str">
        <v>583</v>
      </c>
      <c r="Q130" t="str">
        <v>Psammetichus is overthrown by Korinth</v>
      </c>
    </row>
    <row r="131" spans="1:17" x14ac:dyDescent="0.25">
      <c r="A131" t="s">
        <v>130</v>
      </c>
      <c r="B131" t="str" cm="1">
        <f t="array" ref="B131">INDEX(_xlfn.TEXTSPLIT(A131, " "), 1)</f>
        <v>581</v>
      </c>
      <c r="C131" t="str" cm="1">
        <f t="array" ref="C131">INDEX(_xlfn.TEXTSPLIT(B131, "-"), 1)</f>
        <v>581</v>
      </c>
      <c r="D131" t="str" cm="1">
        <f t="array" ref="D131">IFERROR(INDEX(_xlfn.TEXTSPLIT(B131, "-"), 2), "")</f>
        <v/>
      </c>
      <c r="E131" t="str">
        <f t="shared" ref="E131:E194" si="6">_xlfn.LET(
  _xlpm.szoveg,
  MID(A131, SEARCH(" ", A131) + 1, LEN(A131)),
  IF(ISNUMBER(SEARCH("-",B131)), _xlpm.szoveg &amp; " --&gt;", _xlpm.szoveg)
)</f>
        <v>Korinth join the Peloponnesian League</v>
      </c>
      <c r="F131" t="str">
        <f t="shared" ref="F131:F194" si="7">_xlfn.LET(
  _xlpm.szoveg,
  MID(A131, SEARCH(" ", A131) + 1, LEN(A131)),
  IF(ISNUMBER(SEARCH("-",B131)), "--&gt; " &amp; _xlpm.szoveg, "")
)</f>
        <v/>
      </c>
      <c r="H131" t="b">
        <f t="shared" ref="H131:H194" si="8">ISNUMBER(SEARCH("-", B131))</f>
        <v>0</v>
      </c>
      <c r="J131" s="3" t="str">
        <v>581</v>
      </c>
      <c r="K131" s="4" t="str">
        <v>Korinth join the Peloponnesian League</v>
      </c>
      <c r="P131" t="str">
        <v>582</v>
      </c>
      <c r="Q131" t="str">
        <v>Akragas is founded by Gelans</v>
      </c>
    </row>
    <row r="132" spans="1:17" x14ac:dyDescent="0.25">
      <c r="A132" t="s">
        <v>131</v>
      </c>
      <c r="B132" t="str" cm="1">
        <f t="array" ref="B132">INDEX(_xlfn.TEXTSPLIT(A132, " "), 1)</f>
        <v>580</v>
      </c>
      <c r="C132" t="str" cm="1">
        <f t="array" ref="C132">INDEX(_xlfn.TEXTSPLIT(B132, "-"), 1)</f>
        <v>580</v>
      </c>
      <c r="D132" t="str" cm="1">
        <f t="array" ref="D132">IFERROR(INDEX(_xlfn.TEXTSPLIT(B132, "-"), 2), "")</f>
        <v/>
      </c>
      <c r="E132" t="str">
        <f t="shared" si="6"/>
        <v>Foundation of Parthenope</v>
      </c>
      <c r="F132" t="str">
        <f t="shared" si="7"/>
        <v/>
      </c>
      <c r="H132" t="b">
        <f t="shared" si="8"/>
        <v>0</v>
      </c>
      <c r="J132" s="3" t="str">
        <v>580</v>
      </c>
      <c r="K132" s="4" t="str">
        <v>Foundation of Parthenope</v>
      </c>
      <c r="P132" t="str">
        <v>582</v>
      </c>
      <c r="Q132" t="str">
        <v>First recorded Pythian Games</v>
      </c>
    </row>
    <row r="133" spans="1:17" x14ac:dyDescent="0.25">
      <c r="A133" t="s">
        <v>132</v>
      </c>
      <c r="B133" t="str" cm="1">
        <f t="array" ref="B133">INDEX(_xlfn.TEXTSPLIT(A133, " "), 1)</f>
        <v>580</v>
      </c>
      <c r="C133" t="str" cm="1">
        <f t="array" ref="C133">INDEX(_xlfn.TEXTSPLIT(B133, "-"), 1)</f>
        <v>580</v>
      </c>
      <c r="D133" t="str" cm="1">
        <f t="array" ref="D133">IFERROR(INDEX(_xlfn.TEXTSPLIT(B133, "-"), 2), "")</f>
        <v/>
      </c>
      <c r="E133" t="str">
        <f t="shared" si="6"/>
        <v>Selinus is defeated by Carthage and withdraws from Motya</v>
      </c>
      <c r="F133" t="str">
        <f t="shared" si="7"/>
        <v/>
      </c>
      <c r="H133" t="b">
        <f t="shared" si="8"/>
        <v>0</v>
      </c>
      <c r="J133" s="3" t="str">
        <v>580</v>
      </c>
      <c r="K133" s="4" t="str">
        <v>Selinus is defeated by Carthage and withdraws from Motya</v>
      </c>
      <c r="P133" t="str">
        <v>581</v>
      </c>
      <c r="Q133" t="str">
        <v>Selinus attacks Motya</v>
      </c>
    </row>
    <row r="134" spans="1:17" x14ac:dyDescent="0.25">
      <c r="A134" t="s">
        <v>133</v>
      </c>
      <c r="B134" t="str" cm="1">
        <f t="array" ref="B134">INDEX(_xlfn.TEXTSPLIT(A134, " "), 1)</f>
        <v>580</v>
      </c>
      <c r="C134" t="str" cm="1">
        <f t="array" ref="C134">INDEX(_xlfn.TEXTSPLIT(B134, "-"), 1)</f>
        <v>580</v>
      </c>
      <c r="D134" t="str" cm="1">
        <f t="array" ref="D134">IFERROR(INDEX(_xlfn.TEXTSPLIT(B134, "-"), 2), "")</f>
        <v/>
      </c>
      <c r="E134" t="str">
        <f t="shared" si="6"/>
        <v>Periander is overthrown by democrats in Ambrakia</v>
      </c>
      <c r="F134" t="str">
        <f t="shared" si="7"/>
        <v/>
      </c>
      <c r="H134" t="b">
        <f t="shared" si="8"/>
        <v>0</v>
      </c>
      <c r="J134" s="3" t="str">
        <v>580</v>
      </c>
      <c r="K134" s="4" t="str">
        <v>Periander is overthrown by democrats in Ambrakia</v>
      </c>
      <c r="P134" t="str">
        <v>581</v>
      </c>
      <c r="Q134" t="str">
        <v>Korinth join the Peloponnesian League</v>
      </c>
    </row>
    <row r="135" spans="1:17" x14ac:dyDescent="0.25">
      <c r="A135" t="s">
        <v>134</v>
      </c>
      <c r="B135" t="str" cm="1">
        <f t="array" ref="B135">INDEX(_xlfn.TEXTSPLIT(A135, " "), 1)</f>
        <v>580</v>
      </c>
      <c r="C135" t="str" cm="1">
        <f t="array" ref="C135">INDEX(_xlfn.TEXTSPLIT(B135, "-"), 1)</f>
        <v>580</v>
      </c>
      <c r="D135" t="str" cm="1">
        <f t="array" ref="D135">IFERROR(INDEX(_xlfn.TEXTSPLIT(B135, "-"), 2), "")</f>
        <v/>
      </c>
      <c r="E135" t="str">
        <f t="shared" si="6"/>
        <v>Elis joins the Peloponnesian League</v>
      </c>
      <c r="F135" t="str">
        <f t="shared" si="7"/>
        <v/>
      </c>
      <c r="H135" t="b">
        <f t="shared" si="8"/>
        <v>0</v>
      </c>
      <c r="J135" s="3" t="str">
        <v>580</v>
      </c>
      <c r="K135" s="4" t="str">
        <v>Elis joins the Peloponnesian League</v>
      </c>
      <c r="P135" t="str">
        <v>580</v>
      </c>
      <c r="Q135" t="str">
        <v>Foundation of Parthenope</v>
      </c>
    </row>
    <row r="136" spans="1:17" x14ac:dyDescent="0.25">
      <c r="A136" t="s">
        <v>135</v>
      </c>
      <c r="B136" t="str" cm="1">
        <f t="array" ref="B136">INDEX(_xlfn.TEXTSPLIT(A136, " "), 1)</f>
        <v>580</v>
      </c>
      <c r="C136" t="str" cm="1">
        <f t="array" ref="C136">INDEX(_xlfn.TEXTSPLIT(B136, "-"), 1)</f>
        <v>580</v>
      </c>
      <c r="D136" t="str" cm="1">
        <f t="array" ref="D136">IFERROR(INDEX(_xlfn.TEXTSPLIT(B136, "-"), 2), "")</f>
        <v/>
      </c>
      <c r="E136" t="str">
        <f t="shared" si="6"/>
        <v>Lipari is founded by Knidosi</v>
      </c>
      <c r="F136" t="str">
        <f t="shared" si="7"/>
        <v/>
      </c>
      <c r="H136" t="b">
        <f t="shared" si="8"/>
        <v>0</v>
      </c>
      <c r="J136" s="3" t="str">
        <v>580</v>
      </c>
      <c r="K136" s="4" t="str">
        <v>Lipari is founded by Knidosi</v>
      </c>
      <c r="P136" t="str">
        <v>580</v>
      </c>
      <c r="Q136" t="str">
        <v>Selinus is defeated by Carthage and withdraws from Motya</v>
      </c>
    </row>
    <row r="137" spans="1:17" x14ac:dyDescent="0.25">
      <c r="A137" t="s">
        <v>136</v>
      </c>
      <c r="B137" t="str" cm="1">
        <f t="array" ref="B137">INDEX(_xlfn.TEXTSPLIT(A137, " "), 1)</f>
        <v>578</v>
      </c>
      <c r="C137" t="str" cm="1">
        <f t="array" ref="C137">INDEX(_xlfn.TEXTSPLIT(B137, "-"), 1)</f>
        <v>578</v>
      </c>
      <c r="D137" t="str" cm="1">
        <f t="array" ref="D137">IFERROR(INDEX(_xlfn.TEXTSPLIT(B137, "-"), 2), "")</f>
        <v/>
      </c>
      <c r="E137" t="str">
        <f t="shared" si="6"/>
        <v>Thrasybulos dies</v>
      </c>
      <c r="F137" t="str">
        <f t="shared" si="7"/>
        <v/>
      </c>
      <c r="H137" t="b">
        <f t="shared" si="8"/>
        <v>0</v>
      </c>
      <c r="J137" s="3" t="str">
        <v>578</v>
      </c>
      <c r="K137" s="4" t="str">
        <v>Thrasybulos dies</v>
      </c>
      <c r="P137" t="str">
        <v>580</v>
      </c>
      <c r="Q137" t="str">
        <v>Periander is overthrown by democrats in Ambrakia</v>
      </c>
    </row>
    <row r="138" spans="1:17" x14ac:dyDescent="0.25">
      <c r="A138" t="s">
        <v>137</v>
      </c>
      <c r="B138" t="str" cm="1">
        <f t="array" ref="B138">INDEX(_xlfn.TEXTSPLIT(A138, " "), 1)</f>
        <v>575</v>
      </c>
      <c r="C138" t="str" cm="1">
        <f t="array" ref="C138">INDEX(_xlfn.TEXTSPLIT(B138, "-"), 1)</f>
        <v>575</v>
      </c>
      <c r="D138" t="str" cm="1">
        <f t="array" ref="D138">IFERROR(INDEX(_xlfn.TEXTSPLIT(B138, "-"), 2), "")</f>
        <v/>
      </c>
      <c r="E138" t="str">
        <f t="shared" si="6"/>
        <v>Empúries, also known as Ampurias (Greek: Ἐμπόριον, Catalan: Empúries [əmˈpuɾiəs], Spanish: Ampurias [amˈpuɾjas]), a town on the Mediterranean coast of the Catalan comarca of Alt Empordà in Catalonia, Spain is founded by Greek colonists from Phocaea with the name of Ἐμπόριον (Emporion, meaning "trading place", cf. emporion).</v>
      </c>
      <c r="F138" t="str">
        <f t="shared" si="7"/>
        <v/>
      </c>
      <c r="H138" t="b">
        <f t="shared" si="8"/>
        <v>0</v>
      </c>
      <c r="J138" s="3" t="str">
        <v>575</v>
      </c>
      <c r="K138" s="4" t="str">
        <v>Empúries, also known as Ampurias (Greek: Ἐμπόριον, Catalan: Empúries [əmˈpuɾiəs], Spanish: Ampurias [amˈpuɾjas]), a town on the Mediterranean coast of the Catalan comarca of Alt Empordà in Catalonia, Spain is founded by Greek colonists from Phocaea with the name of Ἐμπόριον (Emporion, meaning "trading place", cf. emporion).</v>
      </c>
      <c r="P138" t="str">
        <v>580</v>
      </c>
      <c r="Q138" t="str">
        <v>Elis joins the Peloponnesian League</v>
      </c>
    </row>
    <row r="139" spans="1:17" x14ac:dyDescent="0.25">
      <c r="A139" t="s">
        <v>138</v>
      </c>
      <c r="B139" t="str" cm="1">
        <f t="array" ref="B139">INDEX(_xlfn.TEXTSPLIT(A139, " "), 1)</f>
        <v>572</v>
      </c>
      <c r="C139" t="str" cm="1">
        <f t="array" ref="C139">INDEX(_xlfn.TEXTSPLIT(B139, "-"), 1)</f>
        <v>572</v>
      </c>
      <c r="D139" t="str" cm="1">
        <f t="array" ref="D139">IFERROR(INDEX(_xlfn.TEXTSPLIT(B139, "-"), 2), "")</f>
        <v/>
      </c>
      <c r="E139" t="str">
        <f t="shared" si="6"/>
        <v>Pisa and Olympia are annexed by Elis</v>
      </c>
      <c r="F139" t="str">
        <f t="shared" si="7"/>
        <v/>
      </c>
      <c r="H139" t="b">
        <f t="shared" si="8"/>
        <v>0</v>
      </c>
      <c r="J139" s="3" t="str">
        <v>572</v>
      </c>
      <c r="K139" s="4" t="str">
        <v>Pisa and Olympia are annexed by Elis</v>
      </c>
      <c r="P139" t="str">
        <v>580</v>
      </c>
      <c r="Q139" t="str">
        <v>Lipari is founded by Knidosi</v>
      </c>
    </row>
    <row r="140" spans="1:17" x14ac:dyDescent="0.25">
      <c r="A140" t="s">
        <v>139</v>
      </c>
      <c r="B140" t="str" cm="1">
        <f t="array" ref="B140">INDEX(_xlfn.TEXTSPLIT(A140, " "), 1)</f>
        <v>570</v>
      </c>
      <c r="C140" t="str" cm="1">
        <f t="array" ref="C140">INDEX(_xlfn.TEXTSPLIT(B140, "-"), 1)</f>
        <v>570</v>
      </c>
      <c r="D140" t="str" cm="1">
        <f t="array" ref="D140">IFERROR(INDEX(_xlfn.TEXTSPLIT(B140, "-"), 2), "")</f>
        <v/>
      </c>
      <c r="E140" t="str">
        <f t="shared" si="6"/>
        <v>Akragas is overthrown by Phalaris</v>
      </c>
      <c r="F140" t="str">
        <f t="shared" si="7"/>
        <v/>
      </c>
      <c r="H140" t="b">
        <f t="shared" si="8"/>
        <v>0</v>
      </c>
      <c r="J140" s="3" t="str">
        <v>570</v>
      </c>
      <c r="K140" s="4" t="str">
        <v>Akragas is overthrown by Phalaris</v>
      </c>
      <c r="P140" t="str">
        <v>578</v>
      </c>
      <c r="Q140" t="str">
        <v>Thrasybulos dies</v>
      </c>
    </row>
    <row r="141" spans="1:17" x14ac:dyDescent="0.25">
      <c r="A141" t="s">
        <v>140</v>
      </c>
      <c r="B141" t="str" cm="1">
        <f t="array" ref="B141">INDEX(_xlfn.TEXTSPLIT(A141, " "), 1)</f>
        <v>570</v>
      </c>
      <c r="C141" t="str" cm="1">
        <f t="array" ref="C141">INDEX(_xlfn.TEXTSPLIT(B141, "-"), 1)</f>
        <v>570</v>
      </c>
      <c r="D141" t="str" cm="1">
        <f t="array" ref="D141">IFERROR(INDEX(_xlfn.TEXTSPLIT(B141, "-"), 2), "")</f>
        <v/>
      </c>
      <c r="E141" t="str">
        <f t="shared" si="6"/>
        <v>Phocaeans from Massalia (modern day Marseille) founded the colony of Monoikos (Monaco).[2]</v>
      </c>
      <c r="F141" t="str">
        <f t="shared" si="7"/>
        <v/>
      </c>
      <c r="H141" t="b">
        <f t="shared" si="8"/>
        <v>0</v>
      </c>
      <c r="J141" s="3" t="str">
        <v>570</v>
      </c>
      <c r="K141" s="4" t="str">
        <v>Phocaeans from Massalia (modern day Marseille) founded the colony of Monoikos (Monaco).[2]</v>
      </c>
      <c r="P141" t="str">
        <v>575</v>
      </c>
      <c r="Q141" t="str">
        <v>Empúries, also known as Ampurias (Greek: Ἐμπόριον, Catalan: Empúries [əmˈpuɾiəs], Spanish: Ampurias [amˈpuɾjas]), a town on the Mediterranean coast of the Catalan comarca of Alt Empordà in Catalonia, Spain is founded by Greek colonists from Phocaea with the name of Ἐμπόριον (Emporion, meaning "trading place", cf. emporion).</v>
      </c>
    </row>
    <row r="142" spans="1:17" x14ac:dyDescent="0.25">
      <c r="A142" t="s">
        <v>141</v>
      </c>
      <c r="B142" t="str" cm="1">
        <f t="array" ref="B142">INDEX(_xlfn.TEXTSPLIT(A142, " "), 1)</f>
        <v>569</v>
      </c>
      <c r="C142" t="str" cm="1">
        <f t="array" ref="C142">INDEX(_xlfn.TEXTSPLIT(B142, "-"), 1)</f>
        <v>569</v>
      </c>
      <c r="D142" t="str" cm="1">
        <f t="array" ref="D142">IFERROR(INDEX(_xlfn.TEXTSPLIT(B142, "-"), 2), "")</f>
        <v/>
      </c>
      <c r="E142" t="str">
        <f t="shared" si="6"/>
        <v>Pythagoras is born.</v>
      </c>
      <c r="F142" t="str">
        <f t="shared" si="7"/>
        <v/>
      </c>
      <c r="H142" t="b">
        <f t="shared" si="8"/>
        <v>0</v>
      </c>
      <c r="J142" s="3" t="str">
        <v>569</v>
      </c>
      <c r="K142" s="4" t="str">
        <v>Pythagoras is born.</v>
      </c>
      <c r="P142" t="str">
        <v>572</v>
      </c>
      <c r="Q142" t="str">
        <v>Pisa and Olympia are annexed by Elis</v>
      </c>
    </row>
    <row r="143" spans="1:17" x14ac:dyDescent="0.25">
      <c r="A143" t="s">
        <v>142</v>
      </c>
      <c r="B143" t="str" cm="1">
        <f t="array" ref="B143">INDEX(_xlfn.TEXTSPLIT(A143, " "), 1)</f>
        <v>565</v>
      </c>
      <c r="C143" t="str" cm="1">
        <f t="array" ref="C143">INDEX(_xlfn.TEXTSPLIT(B143, "-"), 1)</f>
        <v>565</v>
      </c>
      <c r="D143" t="str" cm="1">
        <f t="array" ref="D143">IFERROR(INDEX(_xlfn.TEXTSPLIT(B143, "-"), 2), "")</f>
        <v/>
      </c>
      <c r="E143" t="str">
        <f t="shared" si="6"/>
        <v>Peisistratos, Athenian general, organizes Diakrioi, party of poor people.</v>
      </c>
      <c r="F143" t="str">
        <f t="shared" si="7"/>
        <v/>
      </c>
      <c r="H143" t="b">
        <f t="shared" si="8"/>
        <v>0</v>
      </c>
      <c r="J143" s="3" t="str">
        <v>565</v>
      </c>
      <c r="K143" s="4" t="str">
        <v>Peisistratos, Athenian general, organizes Diakrioi, party of poor people.</v>
      </c>
      <c r="P143" t="str">
        <v>570</v>
      </c>
      <c r="Q143" t="str">
        <v>Akragas is overthrown by Phalaris</v>
      </c>
    </row>
    <row r="144" spans="1:17" x14ac:dyDescent="0.25">
      <c r="A144" t="s">
        <v>143</v>
      </c>
      <c r="B144" t="str" cm="1">
        <f t="array" ref="B144">INDEX(_xlfn.TEXTSPLIT(A144, " "), 1)</f>
        <v>561</v>
      </c>
      <c r="C144" t="str" cm="1">
        <f t="array" ref="C144">INDEX(_xlfn.TEXTSPLIT(B144, "-"), 1)</f>
        <v>561</v>
      </c>
      <c r="D144" t="str" cm="1">
        <f t="array" ref="D144">IFERROR(INDEX(_xlfn.TEXTSPLIT(B144, "-"), 2), "")</f>
        <v/>
      </c>
      <c r="E144" t="str">
        <f t="shared" si="6"/>
        <v>Peisistratos takes power in Athens for first time.</v>
      </c>
      <c r="F144" t="str">
        <f t="shared" si="7"/>
        <v/>
      </c>
      <c r="H144" t="b">
        <f t="shared" si="8"/>
        <v>0</v>
      </c>
      <c r="J144" s="3" t="str">
        <v>561</v>
      </c>
      <c r="K144" s="4" t="str">
        <v>Peisistratos takes power in Athens for first time.</v>
      </c>
      <c r="P144" t="str">
        <v>570</v>
      </c>
      <c r="Q144" t="str">
        <v>Phocaeans from Massalia (modern day Marseille) founded the colony of Monoikos (Monaco).[2]</v>
      </c>
    </row>
    <row r="145" spans="1:17" x14ac:dyDescent="0.25">
      <c r="A145" t="s">
        <v>144</v>
      </c>
      <c r="B145" t="str" cm="1">
        <f t="array" ref="B145">INDEX(_xlfn.TEXTSPLIT(A145, " "), 1)</f>
        <v>560</v>
      </c>
      <c r="C145" t="str" cm="1">
        <f t="array" ref="C145">INDEX(_xlfn.TEXTSPLIT(B145, "-"), 1)</f>
        <v>560</v>
      </c>
      <c r="D145" t="str" cm="1">
        <f t="array" ref="D145">IFERROR(INDEX(_xlfn.TEXTSPLIT(B145, "-"), 2), "")</f>
        <v/>
      </c>
      <c r="E145" t="str">
        <f t="shared" si="6"/>
        <v>Ephesus is besieged by Lydia</v>
      </c>
      <c r="F145" t="str">
        <f t="shared" si="7"/>
        <v/>
      </c>
      <c r="H145" t="b">
        <f t="shared" si="8"/>
        <v>0</v>
      </c>
      <c r="J145" s="3" t="str">
        <v>560</v>
      </c>
      <c r="K145" s="4" t="str">
        <v>Ephesus is besieged by Lydia</v>
      </c>
      <c r="P145" t="str">
        <v>569</v>
      </c>
      <c r="Q145" t="str">
        <v>Pythagoras is born.</v>
      </c>
    </row>
    <row r="146" spans="1:17" x14ac:dyDescent="0.25">
      <c r="A146" t="s">
        <v>145</v>
      </c>
      <c r="B146" t="str" cm="1">
        <f t="array" ref="B146">INDEX(_xlfn.TEXTSPLIT(A146, " "), 1)</f>
        <v>560</v>
      </c>
      <c r="C146" t="str" cm="1">
        <f t="array" ref="C146">INDEX(_xlfn.TEXTSPLIT(B146, "-"), 1)</f>
        <v>560</v>
      </c>
      <c r="D146" t="str" cm="1">
        <f t="array" ref="D146">IFERROR(INDEX(_xlfn.TEXTSPLIT(B146, "-"), 2), "")</f>
        <v/>
      </c>
      <c r="E146" t="str">
        <f t="shared" si="6"/>
        <v>Phalaris annexes Himera</v>
      </c>
      <c r="F146" t="str">
        <f t="shared" si="7"/>
        <v/>
      </c>
      <c r="H146" t="b">
        <f t="shared" si="8"/>
        <v>0</v>
      </c>
      <c r="J146" s="3" t="str">
        <v>560</v>
      </c>
      <c r="K146" s="4" t="str">
        <v>Phalaris annexes Himera</v>
      </c>
      <c r="P146" t="str">
        <v>565</v>
      </c>
      <c r="Q146" t="str">
        <v>Peisistratos, Athenian general, organizes Diakrioi, party of poor people.</v>
      </c>
    </row>
    <row r="147" spans="1:17" x14ac:dyDescent="0.25">
      <c r="A147" t="s">
        <v>146</v>
      </c>
      <c r="B147" t="str" cm="1">
        <f t="array" ref="B147">INDEX(_xlfn.TEXTSPLIT(A147, " "), 1)</f>
        <v>559</v>
      </c>
      <c r="C147" t="str" cm="1">
        <f t="array" ref="C147">INDEX(_xlfn.TEXTSPLIT(B147, "-"), 1)</f>
        <v>559</v>
      </c>
      <c r="D147" t="str" cm="1">
        <f t="array" ref="D147">IFERROR(INDEX(_xlfn.TEXTSPLIT(B147, "-"), 2), "")</f>
        <v/>
      </c>
      <c r="E147" t="str">
        <f t="shared" si="6"/>
        <v>Ephesus is annexed by Lydia</v>
      </c>
      <c r="F147" t="str">
        <f t="shared" si="7"/>
        <v/>
      </c>
      <c r="H147" t="b">
        <f t="shared" si="8"/>
        <v>0</v>
      </c>
      <c r="J147" s="3" t="str">
        <v>559</v>
      </c>
      <c r="K147" s="4" t="str">
        <v>Ephesus is annexed by Lydia</v>
      </c>
      <c r="P147" t="str">
        <v>561</v>
      </c>
      <c r="Q147" t="str">
        <v>Peisistratos takes power in Athens for first time.</v>
      </c>
    </row>
    <row r="148" spans="1:17" x14ac:dyDescent="0.25">
      <c r="A148" t="s">
        <v>147</v>
      </c>
      <c r="B148" t="str" cm="1">
        <f t="array" ref="B148">INDEX(_xlfn.TEXTSPLIT(A148, " "), 1)</f>
        <v>559-550</v>
      </c>
      <c r="C148" t="str" cm="1">
        <f t="array" ref="C148">INDEX(_xlfn.TEXTSPLIT(B148, "-"), 1)</f>
        <v>559</v>
      </c>
      <c r="D148" t="str" cm="1">
        <f t="array" ref="D148">IFERROR(INDEX(_xlfn.TEXTSPLIT(B148, "-"), 2), "")</f>
        <v>550</v>
      </c>
      <c r="E148" t="str">
        <f t="shared" si="6"/>
        <v>Lydia annexes Aeolis and Ionia --&gt;</v>
      </c>
      <c r="F148" t="str">
        <f t="shared" si="7"/>
        <v>--&gt; Lydia annexes Aeolis and Ionia</v>
      </c>
      <c r="H148" t="b">
        <f t="shared" si="8"/>
        <v>1</v>
      </c>
      <c r="J148" s="3" t="str">
        <v>559</v>
      </c>
      <c r="K148" s="4" t="str">
        <v>Lydia annexes Aeolis and Ionia --&gt;</v>
      </c>
      <c r="P148" t="str">
        <v>560</v>
      </c>
      <c r="Q148" t="str">
        <v>Ephesus is besieged by Lydia</v>
      </c>
    </row>
    <row r="149" spans="1:17" x14ac:dyDescent="0.25">
      <c r="A149" t="s">
        <v>148</v>
      </c>
      <c r="B149" t="str" cm="1">
        <f t="array" ref="B149">INDEX(_xlfn.TEXTSPLIT(A149, " "), 1)</f>
        <v>559</v>
      </c>
      <c r="C149" t="str" cm="1">
        <f t="array" ref="C149">INDEX(_xlfn.TEXTSPLIT(B149, "-"), 1)</f>
        <v>559</v>
      </c>
      <c r="D149" t="str" cm="1">
        <f t="array" ref="D149">IFERROR(INDEX(_xlfn.TEXTSPLIT(B149, "-"), 2), "")</f>
        <v/>
      </c>
      <c r="E149" t="str">
        <f t="shared" si="6"/>
        <v>Achilleion is founded and annexed by Mytilene</v>
      </c>
      <c r="F149" t="str">
        <f t="shared" si="7"/>
        <v/>
      </c>
      <c r="H149" t="b">
        <f t="shared" si="8"/>
        <v>0</v>
      </c>
      <c r="J149" s="3" t="str">
        <v>559</v>
      </c>
      <c r="K149" s="4" t="str">
        <v>Achilleion is founded and annexed by Mytilene</v>
      </c>
      <c r="P149" t="str">
        <v>560</v>
      </c>
      <c r="Q149" t="str">
        <v>Phalaris annexes Himera</v>
      </c>
    </row>
    <row r="150" spans="1:17" x14ac:dyDescent="0.25">
      <c r="A150" t="s">
        <v>149</v>
      </c>
      <c r="B150" t="str" cm="1">
        <f t="array" ref="B150">INDEX(_xlfn.TEXTSPLIT(A150, " "), 1)</f>
        <v>557</v>
      </c>
      <c r="C150" t="str" cm="1">
        <f t="array" ref="C150">INDEX(_xlfn.TEXTSPLIT(B150, "-"), 1)</f>
        <v>557</v>
      </c>
      <c r="D150" t="str" cm="1">
        <f t="array" ref="D150">IFERROR(INDEX(_xlfn.TEXTSPLIT(B150, "-"), 2), "")</f>
        <v/>
      </c>
      <c r="E150" t="str">
        <f t="shared" si="6"/>
        <v>Argos is overthrown by Perilaus</v>
      </c>
      <c r="F150" t="str">
        <f t="shared" si="7"/>
        <v/>
      </c>
      <c r="H150" t="b">
        <f t="shared" si="8"/>
        <v>0</v>
      </c>
      <c r="J150" s="3" t="str">
        <v>557</v>
      </c>
      <c r="K150" s="4" t="str">
        <v>Argos is overthrown by Perilaus</v>
      </c>
      <c r="P150" t="str">
        <v>560</v>
      </c>
      <c r="Q150" t="str">
        <v>--&gt; Spartan wars with Tegea all unsuccessful</v>
      </c>
    </row>
    <row r="151" spans="1:17" x14ac:dyDescent="0.25">
      <c r="A151" t="s">
        <v>150</v>
      </c>
      <c r="B151" t="str" cm="1">
        <f t="array" ref="B151">INDEX(_xlfn.TEXTSPLIT(A151, " "), 1)</f>
        <v>556</v>
      </c>
      <c r="C151" t="str" cm="1">
        <f t="array" ref="C151">INDEX(_xlfn.TEXTSPLIT(B151, "-"), 1)</f>
        <v>556</v>
      </c>
      <c r="D151" t="str" cm="1">
        <f t="array" ref="D151">IFERROR(INDEX(_xlfn.TEXTSPLIT(B151, "-"), 2), "")</f>
        <v/>
      </c>
      <c r="E151" t="str">
        <f t="shared" si="6"/>
        <v>Phlius is overthrown by Leo</v>
      </c>
      <c r="F151" t="str">
        <f t="shared" si="7"/>
        <v/>
      </c>
      <c r="H151" t="b">
        <f t="shared" si="8"/>
        <v>0</v>
      </c>
      <c r="J151" s="3" t="str">
        <v>556</v>
      </c>
      <c r="K151" s="4" t="str">
        <v>Phlius is overthrown by Leo</v>
      </c>
      <c r="P151" t="str">
        <v>559</v>
      </c>
      <c r="Q151" t="str">
        <v>Ephesus is annexed by Lydia</v>
      </c>
    </row>
    <row r="152" spans="1:17" x14ac:dyDescent="0.25">
      <c r="A152" t="s">
        <v>151</v>
      </c>
      <c r="B152" t="str" cm="1">
        <f t="array" ref="B152">INDEX(_xlfn.TEXTSPLIT(A152, " "), 1)</f>
        <v>555</v>
      </c>
      <c r="C152" t="str" cm="1">
        <f t="array" ref="C152">INDEX(_xlfn.TEXTSPLIT(B152, "-"), 1)</f>
        <v>555</v>
      </c>
      <c r="D152" t="str" cm="1">
        <f t="array" ref="D152">IFERROR(INDEX(_xlfn.TEXTSPLIT(B152, "-"), 2), "")</f>
        <v/>
      </c>
      <c r="E152" t="str">
        <f t="shared" si="6"/>
        <v>Helike (Elche) is established by Greeks from the Achaian city of Helice</v>
      </c>
      <c r="F152" t="str">
        <f t="shared" si="7"/>
        <v/>
      </c>
      <c r="H152" t="b">
        <f t="shared" si="8"/>
        <v>0</v>
      </c>
      <c r="J152" s="3" t="str">
        <v>555</v>
      </c>
      <c r="K152" s="4" t="str">
        <v>Helike (Elche) is established by Greeks from the Achaian city of Helice</v>
      </c>
      <c r="P152" t="str">
        <v>559</v>
      </c>
      <c r="Q152" t="str">
        <v>Lydia annexes Aeolis and Ionia --&gt;</v>
      </c>
    </row>
    <row r="153" spans="1:17" x14ac:dyDescent="0.25">
      <c r="A153" t="s">
        <v>152</v>
      </c>
      <c r="B153" t="str" cm="1">
        <f t="array" ref="B153">INDEX(_xlfn.TEXTSPLIT(A153, " "), 1)</f>
        <v>555</v>
      </c>
      <c r="C153" t="str" cm="1">
        <f t="array" ref="C153">INDEX(_xlfn.TEXTSPLIT(B153, "-"), 1)</f>
        <v>555</v>
      </c>
      <c r="D153" t="str" cm="1">
        <f t="array" ref="D153">IFERROR(INDEX(_xlfn.TEXTSPLIT(B153, "-"), 2), "")</f>
        <v/>
      </c>
      <c r="E153" t="str">
        <f t="shared" si="6"/>
        <v>Peisistratos driven out by Lycurgus who is commander of nobles.</v>
      </c>
      <c r="F153" t="str">
        <f t="shared" si="7"/>
        <v/>
      </c>
      <c r="H153" t="b">
        <f t="shared" si="8"/>
        <v>0</v>
      </c>
      <c r="J153" s="3" t="str">
        <v>555</v>
      </c>
      <c r="K153" s="4" t="str">
        <v>Peisistratos driven out by Lycurgus who is commander of nobles.</v>
      </c>
      <c r="P153" t="str">
        <v>559</v>
      </c>
      <c r="Q153" t="str">
        <v>Achilleion is founded and annexed by Mytilene</v>
      </c>
    </row>
    <row r="154" spans="1:17" x14ac:dyDescent="0.25">
      <c r="A154" t="s">
        <v>153</v>
      </c>
      <c r="B154" t="str" cm="1">
        <f t="array" ref="B154">INDEX(_xlfn.TEXTSPLIT(A154, " "), 1)</f>
        <v>555</v>
      </c>
      <c r="C154" t="str" cm="1">
        <f t="array" ref="C154">INDEX(_xlfn.TEXTSPLIT(B154, "-"), 1)</f>
        <v>555</v>
      </c>
      <c r="D154" t="str" cm="1">
        <f t="array" ref="D154">IFERROR(INDEX(_xlfn.TEXTSPLIT(B154, "-"), 2), "")</f>
        <v/>
      </c>
      <c r="E154" t="str">
        <f t="shared" si="6"/>
        <v>Miltiades I unites Thracian Chernessos under his rule</v>
      </c>
      <c r="F154" t="str">
        <f t="shared" si="7"/>
        <v/>
      </c>
      <c r="H154" t="b">
        <f t="shared" si="8"/>
        <v>0</v>
      </c>
      <c r="J154" s="3" t="str">
        <v>555</v>
      </c>
      <c r="K154" s="4" t="str">
        <v>Miltiades I unites Thracian Chernessos under his rule</v>
      </c>
      <c r="P154" t="str">
        <v>557</v>
      </c>
      <c r="Q154" t="str">
        <v>Argos is overthrown by Perilaus</v>
      </c>
    </row>
    <row r="155" spans="1:17" x14ac:dyDescent="0.25">
      <c r="A155" t="s">
        <v>154</v>
      </c>
      <c r="B155" t="str" cm="1">
        <f t="array" ref="B155">INDEX(_xlfn.TEXTSPLIT(A155, " "), 1)</f>
        <v>554</v>
      </c>
      <c r="C155" t="str" cm="1">
        <f t="array" ref="C155">INDEX(_xlfn.TEXTSPLIT(B155, "-"), 1)</f>
        <v>554</v>
      </c>
      <c r="D155" t="str" cm="1">
        <f t="array" ref="D155">IFERROR(INDEX(_xlfn.TEXTSPLIT(B155, "-"), 2), "")</f>
        <v/>
      </c>
      <c r="E155" t="str">
        <f t="shared" si="6"/>
        <v>Phalaris is overthrown by Akragas and Himera gains independence</v>
      </c>
      <c r="F155" t="str">
        <f t="shared" si="7"/>
        <v/>
      </c>
      <c r="H155" t="b">
        <f t="shared" si="8"/>
        <v>0</v>
      </c>
      <c r="J155" s="3" t="str">
        <v>554</v>
      </c>
      <c r="K155" s="4" t="str">
        <v>Phalaris is overthrown by Akragas and Himera gains independence</v>
      </c>
      <c r="P155" t="str">
        <v>556</v>
      </c>
      <c r="Q155" t="str">
        <v>Phlius is overthrown by Leo</v>
      </c>
    </row>
    <row r="156" spans="1:17" x14ac:dyDescent="0.25">
      <c r="A156" t="s">
        <v>155</v>
      </c>
      <c r="B156" t="str" cm="1">
        <f t="array" ref="B156">INDEX(_xlfn.TEXTSPLIT(A156, " "), 1)</f>
        <v>553</v>
      </c>
      <c r="C156" t="str" cm="1">
        <f t="array" ref="C156">INDEX(_xlfn.TEXTSPLIT(B156, "-"), 1)</f>
        <v>553</v>
      </c>
      <c r="D156" t="str" cm="1">
        <f t="array" ref="D156">IFERROR(INDEX(_xlfn.TEXTSPLIT(B156, "-"), 2), "")</f>
        <v/>
      </c>
      <c r="E156" t="str">
        <f t="shared" si="6"/>
        <v>Kamarina declares independence from Syracuse</v>
      </c>
      <c r="F156" t="str">
        <f t="shared" si="7"/>
        <v/>
      </c>
      <c r="H156" t="b">
        <f t="shared" si="8"/>
        <v>0</v>
      </c>
      <c r="J156" s="3" t="str">
        <v>553</v>
      </c>
      <c r="K156" s="4" t="str">
        <v>Kamarina declares independence from Syracuse</v>
      </c>
      <c r="P156" t="str">
        <v>555</v>
      </c>
      <c r="Q156" t="str">
        <v>Helike (Elche) is established by Greeks from the Achaian city of Helice</v>
      </c>
    </row>
    <row r="157" spans="1:17" x14ac:dyDescent="0.25">
      <c r="A157" t="s">
        <v>156</v>
      </c>
      <c r="B157" t="str" cm="1">
        <f t="array" ref="B157">INDEX(_xlfn.TEXTSPLIT(A157, " "), 1)</f>
        <v>552</v>
      </c>
      <c r="C157" t="str" cm="1">
        <f t="array" ref="C157">INDEX(_xlfn.TEXTSPLIT(B157, "-"), 1)</f>
        <v>552</v>
      </c>
      <c r="D157" t="str" cm="1">
        <f t="array" ref="D157">IFERROR(INDEX(_xlfn.TEXTSPLIT(B157, "-"), 2), "")</f>
        <v/>
      </c>
      <c r="E157" t="str">
        <f t="shared" si="6"/>
        <v>Kamarina is annexed by Syracuse</v>
      </c>
      <c r="F157" t="str">
        <f t="shared" si="7"/>
        <v/>
      </c>
      <c r="H157" t="b">
        <f t="shared" si="8"/>
        <v>0</v>
      </c>
      <c r="J157" s="3" t="str">
        <v>552</v>
      </c>
      <c r="K157" s="4" t="str">
        <v>Kamarina is annexed by Syracuse</v>
      </c>
      <c r="P157" t="str">
        <v>555</v>
      </c>
      <c r="Q157" t="str">
        <v>Peisistratos driven out by Lycurgus who is commander of nobles.</v>
      </c>
    </row>
    <row r="158" spans="1:17" x14ac:dyDescent="0.25">
      <c r="A158" t="s">
        <v>157</v>
      </c>
      <c r="B158" t="str" cm="1">
        <f t="array" ref="B158">INDEX(_xlfn.TEXTSPLIT(A158, " "), 1)</f>
        <v>551</v>
      </c>
      <c r="C158" t="str" cm="1">
        <f t="array" ref="C158">INDEX(_xlfn.TEXTSPLIT(B158, "-"), 1)</f>
        <v>551</v>
      </c>
      <c r="D158" t="str" cm="1">
        <f t="array" ref="D158">IFERROR(INDEX(_xlfn.TEXTSPLIT(B158, "-"), 2), "")</f>
        <v/>
      </c>
      <c r="E158" t="str">
        <f t="shared" si="6"/>
        <v>Telemachus overthrows Akragas</v>
      </c>
      <c r="F158" t="str">
        <f t="shared" si="7"/>
        <v/>
      </c>
      <c r="H158" t="b">
        <f t="shared" si="8"/>
        <v>0</v>
      </c>
      <c r="J158" s="3" t="str">
        <v>551</v>
      </c>
      <c r="K158" s="4" t="str">
        <v>Telemachus overthrows Akragas</v>
      </c>
      <c r="P158" t="str">
        <v>555</v>
      </c>
      <c r="Q158" t="str">
        <v>Miltiades I unites Thracian Chernessos under his rule</v>
      </c>
    </row>
    <row r="159" spans="1:17" x14ac:dyDescent="0.25">
      <c r="A159" t="s">
        <v>158</v>
      </c>
      <c r="B159" t="str" cm="1">
        <f t="array" ref="B159">INDEX(_xlfn.TEXTSPLIT(A159, " "), 1)</f>
        <v>550</v>
      </c>
      <c r="C159" t="str" cm="1">
        <f t="array" ref="C159">INDEX(_xlfn.TEXTSPLIT(B159, "-"), 1)</f>
        <v>550</v>
      </c>
      <c r="D159" t="str" cm="1">
        <f t="array" ref="D159">IFERROR(INDEX(_xlfn.TEXTSPLIT(B159, "-"), 2), "")</f>
        <v/>
      </c>
      <c r="E159" t="str">
        <f t="shared" si="6"/>
        <v>Minoa is founded by Selinus</v>
      </c>
      <c r="F159" t="str">
        <f t="shared" si="7"/>
        <v/>
      </c>
      <c r="H159" t="b">
        <f t="shared" si="8"/>
        <v>0</v>
      </c>
      <c r="J159" s="3" t="str">
        <v>550</v>
      </c>
      <c r="K159" s="4" t="str">
        <v>Minoa is founded by Selinus</v>
      </c>
      <c r="P159" t="str">
        <v>554</v>
      </c>
      <c r="Q159" t="str">
        <v>Phalaris is overthrown by Akragas and Himera gains independence</v>
      </c>
    </row>
    <row r="160" spans="1:17" x14ac:dyDescent="0.25">
      <c r="A160" t="s">
        <v>159</v>
      </c>
      <c r="B160" t="str" cm="1">
        <f t="array" ref="B160">INDEX(_xlfn.TEXTSPLIT(A160, " "), 1)</f>
        <v>550</v>
      </c>
      <c r="C160" t="str" cm="1">
        <f t="array" ref="C160">INDEX(_xlfn.TEXTSPLIT(B160, "-"), 1)</f>
        <v>550</v>
      </c>
      <c r="D160" t="str" cm="1">
        <f t="array" ref="D160">IFERROR(INDEX(_xlfn.TEXTSPLIT(B160, "-"), 2), "")</f>
        <v/>
      </c>
      <c r="E160" t="str">
        <f t="shared" si="6"/>
        <v>Odessa[3] is established by the Greek city of Histria.</v>
      </c>
      <c r="F160" t="str">
        <f t="shared" si="7"/>
        <v/>
      </c>
      <c r="H160" t="b">
        <f t="shared" si="8"/>
        <v>0</v>
      </c>
      <c r="J160" s="3" t="str">
        <v>550</v>
      </c>
      <c r="K160" s="4" t="str">
        <v>Odessa[3] is established by the Greek city of Histria.</v>
      </c>
      <c r="P160" t="str">
        <v>553</v>
      </c>
      <c r="Q160" t="str">
        <v>Kamarina declares independence from Syracuse</v>
      </c>
    </row>
    <row r="161" spans="1:17" x14ac:dyDescent="0.25">
      <c r="A161" t="s">
        <v>160</v>
      </c>
      <c r="B161" t="str" cm="1">
        <f t="array" ref="B161">INDEX(_xlfn.TEXTSPLIT(A161, " "), 1)</f>
        <v>550</v>
      </c>
      <c r="C161" t="str" cm="1">
        <f t="array" ref="C161">INDEX(_xlfn.TEXTSPLIT(B161, "-"), 1)</f>
        <v>550</v>
      </c>
      <c r="D161" t="str" cm="1">
        <f t="array" ref="D161">IFERROR(INDEX(_xlfn.TEXTSPLIT(B161, "-"), 2), "")</f>
        <v/>
      </c>
      <c r="E161" t="str">
        <f t="shared" si="6"/>
        <v>Miltiades II is born</v>
      </c>
      <c r="F161" t="str">
        <f t="shared" si="7"/>
        <v/>
      </c>
      <c r="H161" t="b">
        <f t="shared" si="8"/>
        <v>0</v>
      </c>
      <c r="J161" s="3" t="str">
        <v>550</v>
      </c>
      <c r="K161" s="4" t="str">
        <v>Miltiades II is born</v>
      </c>
      <c r="P161" t="str">
        <v>552</v>
      </c>
      <c r="Q161" t="str">
        <v>Kamarina is annexed by Syracuse</v>
      </c>
    </row>
    <row r="162" spans="1:17" x14ac:dyDescent="0.25">
      <c r="A162" t="s">
        <v>161</v>
      </c>
      <c r="B162" t="str" cm="1">
        <f t="array" ref="B162">INDEX(_xlfn.TEXTSPLIT(A162, " "), 1)</f>
        <v>549</v>
      </c>
      <c r="C162" t="str" cm="1">
        <f t="array" ref="C162">INDEX(_xlfn.TEXTSPLIT(B162, "-"), 1)</f>
        <v>549</v>
      </c>
      <c r="D162" t="str" cm="1">
        <f t="array" ref="D162">IFERROR(INDEX(_xlfn.TEXTSPLIT(B162, "-"), 2), "")</f>
        <v/>
      </c>
      <c r="E162" t="str">
        <f t="shared" si="6"/>
        <v>Peisistratos restored by help of Megacles.</v>
      </c>
      <c r="F162" t="str">
        <f t="shared" si="7"/>
        <v/>
      </c>
      <c r="H162" t="b">
        <f t="shared" si="8"/>
        <v>0</v>
      </c>
      <c r="J162" s="3" t="str">
        <v>549</v>
      </c>
      <c r="K162" s="4" t="str">
        <v>Peisistratos restored by help of Megacles.</v>
      </c>
      <c r="P162" t="str">
        <v>551</v>
      </c>
      <c r="Q162" t="str">
        <v>Telemachus overthrows Akragas</v>
      </c>
    </row>
    <row r="163" spans="1:17" x14ac:dyDescent="0.25">
      <c r="A163" t="s">
        <v>162</v>
      </c>
      <c r="B163" t="str" cm="1">
        <f t="array" ref="B163">INDEX(_xlfn.TEXTSPLIT(A163, " "), 1)</f>
        <v>549</v>
      </c>
      <c r="C163" t="str" cm="1">
        <f t="array" ref="C163">INDEX(_xlfn.TEXTSPLIT(B163, "-"), 1)</f>
        <v>549</v>
      </c>
      <c r="D163" t="str" cm="1">
        <f t="array" ref="D163">IFERROR(INDEX(_xlfn.TEXTSPLIT(B163, "-"), 2), "")</f>
        <v/>
      </c>
      <c r="E163" t="str">
        <f t="shared" si="6"/>
        <v>Boeotian League is founded</v>
      </c>
      <c r="F163" t="str">
        <f t="shared" si="7"/>
        <v/>
      </c>
      <c r="H163" t="b">
        <f t="shared" si="8"/>
        <v>0</v>
      </c>
      <c r="J163" s="3" t="str">
        <v>549</v>
      </c>
      <c r="K163" s="4" t="str">
        <v>Boeotian League is founded</v>
      </c>
      <c r="P163" t="str">
        <v>550</v>
      </c>
      <c r="Q163" t="str">
        <v>Minoa is founded by Selinus</v>
      </c>
    </row>
    <row r="164" spans="1:17" x14ac:dyDescent="0.25">
      <c r="A164" t="s">
        <v>163</v>
      </c>
      <c r="B164" t="str" cm="1">
        <f t="array" ref="B164">INDEX(_xlfn.TEXTSPLIT(A164, " "), 1)</f>
        <v>548</v>
      </c>
      <c r="C164" t="str" cm="1">
        <f t="array" ref="C164">INDEX(_xlfn.TEXTSPLIT(B164, "-"), 1)</f>
        <v>548</v>
      </c>
      <c r="D164" t="str" cm="1">
        <f t="array" ref="D164">IFERROR(INDEX(_xlfn.TEXTSPLIT(B164, "-"), 2), "")</f>
        <v/>
      </c>
      <c r="E164" t="str">
        <f t="shared" si="6"/>
        <v>Lesbos sieges Sigeion</v>
      </c>
      <c r="F164" t="str">
        <f t="shared" si="7"/>
        <v/>
      </c>
      <c r="H164" t="b">
        <f t="shared" si="8"/>
        <v>0</v>
      </c>
      <c r="J164" s="3" t="str">
        <v>548</v>
      </c>
      <c r="K164" s="4" t="str">
        <v>Lesbos sieges Sigeion</v>
      </c>
      <c r="P164" t="str">
        <v>550</v>
      </c>
      <c r="Q164" t="str">
        <v>Odessa[3] is established by the Greek city of Histria.</v>
      </c>
    </row>
    <row r="165" spans="1:17" x14ac:dyDescent="0.25">
      <c r="A165" t="s">
        <v>164</v>
      </c>
      <c r="B165" t="str" cm="1">
        <f t="array" ref="B165">INDEX(_xlfn.TEXTSPLIT(A165, " "), 1)</f>
        <v>547</v>
      </c>
      <c r="C165" t="str" cm="1">
        <f t="array" ref="C165">INDEX(_xlfn.TEXTSPLIT(B165, "-"), 1)</f>
        <v>547</v>
      </c>
      <c r="D165" t="str" cm="1">
        <f t="array" ref="D165">IFERROR(INDEX(_xlfn.TEXTSPLIT(B165, "-"), 2), "")</f>
        <v/>
      </c>
      <c r="E165" t="str">
        <f t="shared" si="6"/>
        <v>Athens repulses the Lesbans and Sigeion (Now ruled by Hegesistratos) becomes an Athenian vassal</v>
      </c>
      <c r="F165" t="str">
        <f t="shared" si="7"/>
        <v/>
      </c>
      <c r="H165" t="b">
        <f t="shared" si="8"/>
        <v>0</v>
      </c>
      <c r="J165" s="3" t="str">
        <v>547</v>
      </c>
      <c r="K165" s="4" t="str">
        <v>Athens repulses the Lesbans and Sigeion (Now ruled by Hegesistratos) becomes an Athenian vassal</v>
      </c>
      <c r="P165" t="str">
        <v>550</v>
      </c>
      <c r="Q165" t="str">
        <v>Miltiades II is born</v>
      </c>
    </row>
    <row r="166" spans="1:17" x14ac:dyDescent="0.25">
      <c r="A166" t="s">
        <v>165</v>
      </c>
      <c r="B166" t="str" cm="1">
        <f t="array" ref="B166">INDEX(_xlfn.TEXTSPLIT(A166, " "), 1)</f>
        <v>546</v>
      </c>
      <c r="C166" t="str" cm="1">
        <f t="array" ref="C166">INDEX(_xlfn.TEXTSPLIT(B166, "-"), 1)</f>
        <v>546</v>
      </c>
      <c r="D166" t="str" cm="1">
        <f t="array" ref="D166">IFERROR(INDEX(_xlfn.TEXTSPLIT(B166, "-"), 2), "")</f>
        <v/>
      </c>
      <c r="E166" t="str">
        <f t="shared" si="6"/>
        <v>Sparta annexes Kynouria, Thyrea and Kythera from Argos</v>
      </c>
      <c r="F166" t="str">
        <f t="shared" si="7"/>
        <v/>
      </c>
      <c r="H166" t="b">
        <f t="shared" si="8"/>
        <v>0</v>
      </c>
      <c r="J166" s="3" t="str">
        <v>546</v>
      </c>
      <c r="K166" s="4" t="str">
        <v>Sparta annexes Kynouria, Thyrea and Kythera from Argos</v>
      </c>
      <c r="P166" t="str">
        <v>550</v>
      </c>
      <c r="Q166" t="str">
        <v>--&gt; Lydia annexes Aeolis and Ionia</v>
      </c>
    </row>
    <row r="167" spans="1:17" x14ac:dyDescent="0.25">
      <c r="A167" t="s">
        <v>166</v>
      </c>
      <c r="B167" t="str" cm="1">
        <f t="array" ref="B167">INDEX(_xlfn.TEXTSPLIT(A167, " "), 1)</f>
        <v>546</v>
      </c>
      <c r="C167" t="str" cm="1">
        <f t="array" ref="C167">INDEX(_xlfn.TEXTSPLIT(B167, "-"), 1)</f>
        <v>546</v>
      </c>
      <c r="D167" t="str" cm="1">
        <f t="array" ref="D167">IFERROR(INDEX(_xlfn.TEXTSPLIT(B167, "-"), 2), "")</f>
        <v/>
      </c>
      <c r="E167" t="str">
        <f t="shared" si="6"/>
        <v>Croesus, rich king of Lydia, captured at Sardis by Persians.</v>
      </c>
      <c r="F167" t="str">
        <f t="shared" si="7"/>
        <v/>
      </c>
      <c r="H167" t="b">
        <f t="shared" si="8"/>
        <v>0</v>
      </c>
      <c r="J167" s="3" t="str">
        <v>546</v>
      </c>
      <c r="K167" s="4" t="str">
        <v>Croesus, rich king of Lydia, captured at Sardis by Persians.</v>
      </c>
      <c r="P167" t="str">
        <v>549</v>
      </c>
      <c r="Q167" t="str">
        <v>Peisistratos restored by help of Megacles.</v>
      </c>
    </row>
    <row r="168" spans="1:17" x14ac:dyDescent="0.25">
      <c r="A168" t="s">
        <v>167</v>
      </c>
      <c r="B168" t="str" cm="1">
        <f t="array" ref="B168">INDEX(_xlfn.TEXTSPLIT(A168, " "), 1)</f>
        <v>545</v>
      </c>
      <c r="C168" t="str" cm="1">
        <f t="array" ref="C168">INDEX(_xlfn.TEXTSPLIT(B168, "-"), 1)</f>
        <v>545</v>
      </c>
      <c r="D168" t="str" cm="1">
        <f t="array" ref="D168">IFERROR(INDEX(_xlfn.TEXTSPLIT(B168, "-"), 2), "")</f>
        <v/>
      </c>
      <c r="E168" t="str">
        <f t="shared" si="6"/>
        <v>Miletus is overthrown by Molpagoras</v>
      </c>
      <c r="F168" t="str">
        <f t="shared" si="7"/>
        <v/>
      </c>
      <c r="H168" t="b">
        <f t="shared" si="8"/>
        <v>0</v>
      </c>
      <c r="J168" s="3" t="str">
        <v>545</v>
      </c>
      <c r="K168" s="4" t="str">
        <v>Miletus is overthrown by Molpagoras</v>
      </c>
      <c r="P168" t="str">
        <v>549</v>
      </c>
      <c r="Q168" t="str">
        <v>Boeotian League is founded</v>
      </c>
    </row>
    <row r="169" spans="1:17" x14ac:dyDescent="0.25">
      <c r="A169" t="s">
        <v>168</v>
      </c>
      <c r="B169" t="str" cm="1">
        <f t="array" ref="B169">INDEX(_xlfn.TEXTSPLIT(A169, " "), 1)</f>
        <v>545</v>
      </c>
      <c r="C169" t="str" cm="1">
        <f t="array" ref="C169">INDEX(_xlfn.TEXTSPLIT(B169, "-"), 1)</f>
        <v>545</v>
      </c>
      <c r="D169" t="str" cm="1">
        <f t="array" ref="D169">IFERROR(INDEX(_xlfn.TEXTSPLIT(B169, "-"), 2), "")</f>
        <v/>
      </c>
      <c r="E169" t="str">
        <f t="shared" si="6"/>
        <v>Lygdamis becomes Tyrant of Naxos</v>
      </c>
      <c r="F169" t="str">
        <f t="shared" si="7"/>
        <v/>
      </c>
      <c r="H169" t="b">
        <f t="shared" si="8"/>
        <v>0</v>
      </c>
      <c r="J169" s="3" t="str">
        <v>545</v>
      </c>
      <c r="K169" s="4" t="str">
        <v>Lygdamis becomes Tyrant of Naxos</v>
      </c>
      <c r="P169" t="str">
        <v>548</v>
      </c>
      <c r="Q169" t="str">
        <v>Lesbos sieges Sigeion</v>
      </c>
    </row>
    <row r="170" spans="1:17" x14ac:dyDescent="0.25">
      <c r="A170" t="s">
        <v>169</v>
      </c>
      <c r="B170" t="str" cm="1">
        <f t="array" ref="B170">INDEX(_xlfn.TEXTSPLIT(A170, " "), 1)</f>
        <v>545</v>
      </c>
      <c r="C170" t="str" cm="1">
        <f t="array" ref="C170">INDEX(_xlfn.TEXTSPLIT(B170, "-"), 1)</f>
        <v>545</v>
      </c>
      <c r="D170" t="str" cm="1">
        <f t="array" ref="D170">IFERROR(INDEX(_xlfn.TEXTSPLIT(B170, "-"), 2), "")</f>
        <v/>
      </c>
      <c r="E170" t="str">
        <f t="shared" si="6"/>
        <v>The ancient Greek colony of Hermonassa (Krasnodar Krai, Russia) is founded by Ionians and Cretans.[4]</v>
      </c>
      <c r="F170" t="str">
        <f t="shared" si="7"/>
        <v/>
      </c>
      <c r="H170" t="b">
        <f t="shared" si="8"/>
        <v>0</v>
      </c>
      <c r="J170" s="3" t="str">
        <v>545</v>
      </c>
      <c r="K170" s="4" t="str">
        <v>The ancient Greek colony of Hermonassa (Krasnodar Krai, Russia) is founded by Ionians and Cretans.[4]</v>
      </c>
      <c r="P170" t="str">
        <v>547</v>
      </c>
      <c r="Q170" t="str">
        <v>Athens repulses the Lesbans and Sigeion (Now ruled by Hegesistratos) becomes an Athenian vassal</v>
      </c>
    </row>
    <row r="171" spans="1:17" x14ac:dyDescent="0.25">
      <c r="A171" t="s">
        <v>170</v>
      </c>
      <c r="B171" t="str" cm="1">
        <f t="array" ref="B171">INDEX(_xlfn.TEXTSPLIT(A171, " "), 1)</f>
        <v>544</v>
      </c>
      <c r="C171" t="str" cm="1">
        <f t="array" ref="C171">INDEX(_xlfn.TEXTSPLIT(B171, "-"), 1)</f>
        <v>544</v>
      </c>
      <c r="D171" t="str" cm="1">
        <f t="array" ref="D171">IFERROR(INDEX(_xlfn.TEXTSPLIT(B171, "-"), 2), "")</f>
        <v/>
      </c>
      <c r="E171" t="str">
        <f t="shared" si="6"/>
        <v>Abdera starts its Golden Age</v>
      </c>
      <c r="F171" t="str">
        <f t="shared" si="7"/>
        <v/>
      </c>
      <c r="H171" t="b">
        <f t="shared" si="8"/>
        <v>0</v>
      </c>
      <c r="J171" s="3" t="str">
        <v>544</v>
      </c>
      <c r="K171" s="4" t="str">
        <v>Abdera starts its Golden Age</v>
      </c>
      <c r="P171" t="str">
        <v>546</v>
      </c>
      <c r="Q171" t="str">
        <v>Sparta annexes Kynouria, Thyrea and Kythera from Argos</v>
      </c>
    </row>
    <row r="172" spans="1:17" x14ac:dyDescent="0.25">
      <c r="A172" t="s">
        <v>171</v>
      </c>
      <c r="B172" t="str" cm="1">
        <f t="array" ref="B172">INDEX(_xlfn.TEXTSPLIT(A172, " "), 1)</f>
        <v>543</v>
      </c>
      <c r="C172" t="str" cm="1">
        <f t="array" ref="C172">INDEX(_xlfn.TEXTSPLIT(B172, "-"), 1)</f>
        <v>543</v>
      </c>
      <c r="D172" t="str" cm="1">
        <f t="array" ref="D172">IFERROR(INDEX(_xlfn.TEXTSPLIT(B172, "-"), 2), "")</f>
        <v/>
      </c>
      <c r="E172" t="str">
        <f t="shared" si="6"/>
        <v>Phanagoria, (Krasnodar Krai, Russia), is founded by Teian colonists who had to flee Asia Minor in consequence of their conflict with Cyrus the Great.</v>
      </c>
      <c r="F172" t="str">
        <f t="shared" si="7"/>
        <v/>
      </c>
      <c r="H172" t="b">
        <f t="shared" si="8"/>
        <v>0</v>
      </c>
      <c r="J172" s="3" t="str">
        <v>543</v>
      </c>
      <c r="K172" s="4" t="str">
        <v>Phanagoria, (Krasnodar Krai, Russia), is founded by Teian colonists who had to flee Asia Minor in consequence of their conflict with Cyrus the Great.</v>
      </c>
      <c r="P172" t="str">
        <v>546</v>
      </c>
      <c r="Q172" t="str">
        <v>Croesus, rich king of Lydia, captured at Sardis by Persians.</v>
      </c>
    </row>
    <row r="173" spans="1:17" x14ac:dyDescent="0.25">
      <c r="A173" t="s">
        <v>172</v>
      </c>
      <c r="B173" t="str" cm="1">
        <f t="array" ref="B173">INDEX(_xlfn.TEXTSPLIT(A173, " "), 1)</f>
        <v>542</v>
      </c>
      <c r="C173" t="str" cm="1">
        <f t="array" ref="C173">INDEX(_xlfn.TEXTSPLIT(B173, "-"), 1)</f>
        <v>542</v>
      </c>
      <c r="D173" t="str" cm="1">
        <f t="array" ref="D173">IFERROR(INDEX(_xlfn.TEXTSPLIT(B173, "-"), 2), "")</f>
        <v/>
      </c>
      <c r="E173" t="str">
        <f t="shared" si="6"/>
        <v>Peisistratos expelled, makes fortune from Thracian mines.</v>
      </c>
      <c r="F173" t="str">
        <f t="shared" si="7"/>
        <v/>
      </c>
      <c r="H173" t="b">
        <f t="shared" si="8"/>
        <v>0</v>
      </c>
      <c r="J173" s="3" t="str">
        <v>542</v>
      </c>
      <c r="K173" s="4" t="str">
        <v>Peisistratos expelled, makes fortune from Thracian mines.</v>
      </c>
      <c r="P173" t="str">
        <v>545</v>
      </c>
      <c r="Q173" t="str">
        <v>Miletus is overthrown by Molpagoras</v>
      </c>
    </row>
    <row r="174" spans="1:17" x14ac:dyDescent="0.25">
      <c r="A174" t="s">
        <v>173</v>
      </c>
      <c r="B174" t="str" cm="1">
        <f t="array" ref="B174">INDEX(_xlfn.TEXTSPLIT(A174, " "), 1)</f>
        <v>542</v>
      </c>
      <c r="C174" t="str" cm="1">
        <f t="array" ref="C174">INDEX(_xlfn.TEXTSPLIT(B174, "-"), 1)</f>
        <v>542</v>
      </c>
      <c r="D174" t="str" cm="1">
        <f t="array" ref="D174">IFERROR(INDEX(_xlfn.TEXTSPLIT(B174, "-"), 2), "")</f>
        <v/>
      </c>
      <c r="E174" t="str">
        <f t="shared" si="6"/>
        <v>The colony of Gorgippia (Krasnodar Krai, Russia) was built by Pontic Greeks.</v>
      </c>
      <c r="F174" t="str">
        <f t="shared" si="7"/>
        <v/>
      </c>
      <c r="H174" t="b">
        <f t="shared" si="8"/>
        <v>0</v>
      </c>
      <c r="J174" s="3" t="str">
        <v>542</v>
      </c>
      <c r="K174" s="4" t="str">
        <v>The colony of Gorgippia (Krasnodar Krai, Russia) was built by Pontic Greeks.</v>
      </c>
      <c r="P174" t="str">
        <v>545</v>
      </c>
      <c r="Q174" t="str">
        <v>Lygdamis becomes Tyrant of Naxos</v>
      </c>
    </row>
    <row r="175" spans="1:17" x14ac:dyDescent="0.25">
      <c r="A175" t="s">
        <v>174</v>
      </c>
      <c r="B175" t="str" cm="1">
        <f t="array" ref="B175">INDEX(_xlfn.TEXTSPLIT(A175, " "), 1)</f>
        <v>541</v>
      </c>
      <c r="C175" t="str" cm="1">
        <f t="array" ref="C175">INDEX(_xlfn.TEXTSPLIT(B175, "-"), 1)</f>
        <v>541</v>
      </c>
      <c r="D175" t="str" cm="1">
        <f t="array" ref="D175">IFERROR(INDEX(_xlfn.TEXTSPLIT(B175, "-"), 2), "")</f>
        <v/>
      </c>
      <c r="E175" t="str">
        <f t="shared" si="6"/>
        <v>Telemachus is overthrown by Alcamenes</v>
      </c>
      <c r="F175" t="str">
        <f t="shared" si="7"/>
        <v/>
      </c>
      <c r="H175" t="b">
        <f t="shared" si="8"/>
        <v>0</v>
      </c>
      <c r="J175" s="3" t="str">
        <v>541</v>
      </c>
      <c r="K175" s="4" t="str">
        <v>Telemachus is overthrown by Alcamenes</v>
      </c>
      <c r="P175" t="str">
        <v>545</v>
      </c>
      <c r="Q175" t="str">
        <v>The ancient Greek colony of Hermonassa (Krasnodar Krai, Russia) is founded by Ionians and Cretans.[4]</v>
      </c>
    </row>
    <row r="176" spans="1:17" x14ac:dyDescent="0.25">
      <c r="A176" t="s">
        <v>175</v>
      </c>
      <c r="B176" t="str" cm="1">
        <f t="array" ref="B176">INDEX(_xlfn.TEXTSPLIT(A176, " "), 1)</f>
        <v>540</v>
      </c>
      <c r="C176" t="str" cm="1">
        <f t="array" ref="C176">INDEX(_xlfn.TEXTSPLIT(B176, "-"), 1)</f>
        <v>540</v>
      </c>
      <c r="D176" t="str" cm="1">
        <f t="array" ref="D176">IFERROR(INDEX(_xlfn.TEXTSPLIT(B176, "-"), 2), "")</f>
        <v/>
      </c>
      <c r="E176" t="str">
        <f t="shared" si="6"/>
        <v>Naxan vassalization of Paros</v>
      </c>
      <c r="F176" t="str">
        <f t="shared" si="7"/>
        <v/>
      </c>
      <c r="H176" t="b">
        <f t="shared" si="8"/>
        <v>0</v>
      </c>
      <c r="J176" s="3" t="str">
        <v>540</v>
      </c>
      <c r="K176" s="4" t="str">
        <v>Naxan vassalization of Paros</v>
      </c>
      <c r="P176" t="str">
        <v>544</v>
      </c>
      <c r="Q176" t="str">
        <v>Abdera starts its Golden Age</v>
      </c>
    </row>
    <row r="177" spans="1:17" x14ac:dyDescent="0.25">
      <c r="A177" t="s">
        <v>176</v>
      </c>
      <c r="B177" t="str" cm="1">
        <f t="array" ref="B177">INDEX(_xlfn.TEXTSPLIT(A177, " "), 1)</f>
        <v>540</v>
      </c>
      <c r="C177" t="str" cm="1">
        <f t="array" ref="C177">INDEX(_xlfn.TEXTSPLIT(B177, "-"), 1)</f>
        <v>540</v>
      </c>
      <c r="D177" t="str" cm="1">
        <f t="array" ref="D177">IFERROR(INDEX(_xlfn.TEXTSPLIT(B177, "-"), 2), "")</f>
        <v/>
      </c>
      <c r="E177" t="str">
        <f t="shared" si="6"/>
        <v>Selinus is overthrown by Theron</v>
      </c>
      <c r="F177" t="str">
        <f t="shared" si="7"/>
        <v/>
      </c>
      <c r="H177" t="b">
        <f t="shared" si="8"/>
        <v>0</v>
      </c>
      <c r="J177" s="3" t="str">
        <v>540</v>
      </c>
      <c r="K177" s="4" t="str">
        <v>Selinus is overthrown by Theron</v>
      </c>
      <c r="P177" t="str">
        <v>543</v>
      </c>
      <c r="Q177" t="str">
        <v>Phanagoria, (Krasnodar Krai, Russia), is founded by Teian colonists who had to flee Asia Minor in consequence of their conflict with Cyrus the Great.</v>
      </c>
    </row>
    <row r="178" spans="1:17" x14ac:dyDescent="0.25">
      <c r="A178" t="s">
        <v>177</v>
      </c>
      <c r="B178" t="str" cm="1">
        <f t="array" ref="B178">INDEX(_xlfn.TEXTSPLIT(A178, " "), 1)</f>
        <v>538</v>
      </c>
      <c r="C178" t="str" cm="1">
        <f t="array" ref="C178">INDEX(_xlfn.TEXTSPLIT(B178, "-"), 1)</f>
        <v>538</v>
      </c>
      <c r="D178" t="str" cm="1">
        <f t="array" ref="D178">IFERROR(INDEX(_xlfn.TEXTSPLIT(B178, "-"), 2), "")</f>
        <v/>
      </c>
      <c r="E178" t="str">
        <f t="shared" si="6"/>
        <v>Sybaris conquers Siris</v>
      </c>
      <c r="F178" t="str">
        <f t="shared" si="7"/>
        <v/>
      </c>
      <c r="H178" t="b">
        <f t="shared" si="8"/>
        <v>0</v>
      </c>
      <c r="J178" s="3" t="str">
        <v>538</v>
      </c>
      <c r="K178" s="4" t="str">
        <v>Sybaris conquers Siris</v>
      </c>
      <c r="P178" t="str">
        <v>542</v>
      </c>
      <c r="Q178" t="str">
        <v>Peisistratos expelled, makes fortune from Thracian mines.</v>
      </c>
    </row>
    <row r="179" spans="1:17" x14ac:dyDescent="0.25">
      <c r="A179" t="s">
        <v>178</v>
      </c>
      <c r="B179" t="str" cm="1">
        <f t="array" ref="B179">INDEX(_xlfn.TEXTSPLIT(A179, " "), 1)</f>
        <v>538</v>
      </c>
      <c r="C179" t="str" cm="1">
        <f t="array" ref="C179">INDEX(_xlfn.TEXTSPLIT(B179, "-"), 1)</f>
        <v>538</v>
      </c>
      <c r="D179" t="str" cm="1">
        <f t="array" ref="D179">IFERROR(INDEX(_xlfn.TEXTSPLIT(B179, "-"), 2), "")</f>
        <v/>
      </c>
      <c r="E179" t="str">
        <f t="shared" si="6"/>
        <v>Samos is overthrown by Polycrates</v>
      </c>
      <c r="F179" t="str">
        <f t="shared" si="7"/>
        <v/>
      </c>
      <c r="H179" t="b">
        <f t="shared" si="8"/>
        <v>0</v>
      </c>
      <c r="J179" s="3" t="str">
        <v>538</v>
      </c>
      <c r="K179" s="4" t="str">
        <v>Samos is overthrown by Polycrates</v>
      </c>
      <c r="P179" t="str">
        <v>542</v>
      </c>
      <c r="Q179" t="str">
        <v>The colony of Gorgippia (Krasnodar Krai, Russia) was built by Pontic Greeks.</v>
      </c>
    </row>
    <row r="180" spans="1:17" x14ac:dyDescent="0.25">
      <c r="A180" t="s">
        <v>179</v>
      </c>
      <c r="B180" t="str" cm="1">
        <f t="array" ref="B180">INDEX(_xlfn.TEXTSPLIT(A180, " "), 1)</f>
        <v>536</v>
      </c>
      <c r="C180" t="str" cm="1">
        <f t="array" ref="C180">INDEX(_xlfn.TEXTSPLIT(B180, "-"), 1)</f>
        <v>536</v>
      </c>
      <c r="D180" t="str" cm="1">
        <f t="array" ref="D180">IFERROR(INDEX(_xlfn.TEXTSPLIT(B180, "-"), 2), "")</f>
        <v/>
      </c>
      <c r="E180" t="str">
        <f t="shared" si="6"/>
        <v>Samos annexes South Mycale from Miletus</v>
      </c>
      <c r="F180" t="str">
        <f t="shared" si="7"/>
        <v/>
      </c>
      <c r="H180" t="b">
        <f t="shared" si="8"/>
        <v>0</v>
      </c>
      <c r="J180" s="3" t="str">
        <v>536</v>
      </c>
      <c r="K180" s="4" t="str">
        <v>Samos annexes South Mycale from Miletus</v>
      </c>
      <c r="P180" t="str">
        <v>541</v>
      </c>
      <c r="Q180" t="str">
        <v>Telemachus is overthrown by Alcamenes</v>
      </c>
    </row>
    <row r="181" spans="1:17" x14ac:dyDescent="0.25">
      <c r="A181" t="s">
        <v>180</v>
      </c>
      <c r="B181" t="str" cm="1">
        <f t="array" ref="B181">INDEX(_xlfn.TEXTSPLIT(A181, " "), 1)</f>
        <v>535</v>
      </c>
      <c r="C181" t="str" cm="1">
        <f t="array" ref="C181">INDEX(_xlfn.TEXTSPLIT(B181, "-"), 1)</f>
        <v>535</v>
      </c>
      <c r="D181" t="str" cm="1">
        <f t="array" ref="D181">IFERROR(INDEX(_xlfn.TEXTSPLIT(B181, "-"), 2), "")</f>
        <v/>
      </c>
      <c r="E181" t="str">
        <f t="shared" si="6"/>
        <v>Perilaus dies</v>
      </c>
      <c r="F181" t="str">
        <f t="shared" si="7"/>
        <v/>
      </c>
      <c r="H181" t="b">
        <f t="shared" si="8"/>
        <v>0</v>
      </c>
      <c r="J181" s="3" t="str">
        <v>535</v>
      </c>
      <c r="K181" s="4" t="str">
        <v>Perilaus dies</v>
      </c>
      <c r="P181" t="str">
        <v>540</v>
      </c>
      <c r="Q181" t="str">
        <v>Naxan vassalization of Paros</v>
      </c>
    </row>
    <row r="182" spans="1:17" x14ac:dyDescent="0.25">
      <c r="A182" t="s">
        <v>181</v>
      </c>
      <c r="B182" t="str" cm="1">
        <f t="array" ref="B182">INDEX(_xlfn.TEXTSPLIT(A182, " "), 1)</f>
        <v>534</v>
      </c>
      <c r="C182" t="str" cm="1">
        <f t="array" ref="C182">INDEX(_xlfn.TEXTSPLIT(B182, "-"), 1)</f>
        <v>534</v>
      </c>
      <c r="D182" t="str" cm="1">
        <f t="array" ref="D182">IFERROR(INDEX(_xlfn.TEXTSPLIT(B182, "-"), 2), "")</f>
        <v/>
      </c>
      <c r="E182" t="str">
        <f t="shared" si="6"/>
        <v>Athens starts extracting tribute from Ios</v>
      </c>
      <c r="F182" t="str">
        <f t="shared" si="7"/>
        <v/>
      </c>
      <c r="H182" t="b">
        <f t="shared" si="8"/>
        <v>0</v>
      </c>
      <c r="J182" s="3" t="str">
        <v>534</v>
      </c>
      <c r="K182" s="4" t="str">
        <v>Athens starts extracting tribute from Ios</v>
      </c>
      <c r="P182" t="str">
        <v>540</v>
      </c>
      <c r="Q182" t="str">
        <v>Selinus is overthrown by Theron</v>
      </c>
    </row>
    <row r="183" spans="1:17" x14ac:dyDescent="0.25">
      <c r="A183" t="s">
        <v>182</v>
      </c>
      <c r="B183" t="str" cm="1">
        <f t="array" ref="B183">INDEX(_xlfn.TEXTSPLIT(A183, " "), 1)</f>
        <v>532</v>
      </c>
      <c r="C183" t="str" cm="1">
        <f t="array" ref="C183">INDEX(_xlfn.TEXTSPLIT(B183, "-"), 1)</f>
        <v>532</v>
      </c>
      <c r="D183" t="str" cm="1">
        <f t="array" ref="D183">IFERROR(INDEX(_xlfn.TEXTSPLIT(B183, "-"), 2), "")</f>
        <v/>
      </c>
      <c r="E183" t="str">
        <f t="shared" si="6"/>
        <v>Croton is overthrown by Cylonius</v>
      </c>
      <c r="F183" t="str">
        <f t="shared" si="7"/>
        <v/>
      </c>
      <c r="H183" t="b">
        <f t="shared" si="8"/>
        <v>0</v>
      </c>
      <c r="J183" s="3" t="str">
        <v>532</v>
      </c>
      <c r="K183" s="4" t="str">
        <v>Croton is overthrown by Cylonius</v>
      </c>
      <c r="P183" t="str">
        <v>538</v>
      </c>
      <c r="Q183" t="str">
        <v>Sybaris conquers Siris</v>
      </c>
    </row>
    <row r="184" spans="1:17" x14ac:dyDescent="0.25">
      <c r="A184" t="s">
        <v>183</v>
      </c>
      <c r="B184" t="str" cm="1">
        <f t="array" ref="B184">INDEX(_xlfn.TEXTSPLIT(A184, " "), 1)</f>
        <v>532</v>
      </c>
      <c r="C184" t="str" cm="1">
        <f t="array" ref="C184">INDEX(_xlfn.TEXTSPLIT(B184, "-"), 1)</f>
        <v>532</v>
      </c>
      <c r="D184" t="str" cm="1">
        <f t="array" ref="D184">IFERROR(INDEX(_xlfn.TEXTSPLIT(B184, "-"), 2), "")</f>
        <v/>
      </c>
      <c r="E184" t="str">
        <f t="shared" si="6"/>
        <v>Peisistratos restored by Thessaly and Lygdamis of Naxos.</v>
      </c>
      <c r="F184" t="str">
        <f t="shared" si="7"/>
        <v/>
      </c>
      <c r="H184" t="b">
        <f t="shared" si="8"/>
        <v>0</v>
      </c>
      <c r="J184" s="3" t="str">
        <v>532</v>
      </c>
      <c r="K184" s="4" t="str">
        <v>Peisistratos restored by Thessaly and Lygdamis of Naxos.</v>
      </c>
      <c r="P184" t="str">
        <v>538</v>
      </c>
      <c r="Q184" t="str">
        <v>Samos is overthrown by Polycrates</v>
      </c>
    </row>
    <row r="185" spans="1:17" x14ac:dyDescent="0.25">
      <c r="A185" t="s">
        <v>184</v>
      </c>
      <c r="B185" t="str" cm="1">
        <f t="array" ref="B185">INDEX(_xlfn.TEXTSPLIT(A185, " "), 1)</f>
        <v>531</v>
      </c>
      <c r="C185" t="str" cm="1">
        <f t="array" ref="C185">INDEX(_xlfn.TEXTSPLIT(B185, "-"), 1)</f>
        <v>531</v>
      </c>
      <c r="D185" t="str" cm="1">
        <f t="array" ref="D185">IFERROR(INDEX(_xlfn.TEXTSPLIT(B185, "-"), 2), "")</f>
        <v/>
      </c>
      <c r="E185" t="str">
        <f t="shared" si="6"/>
        <v>Ikaria is annexed by Samos</v>
      </c>
      <c r="F185" t="str">
        <f t="shared" si="7"/>
        <v/>
      </c>
      <c r="H185" t="b">
        <f t="shared" si="8"/>
        <v>0</v>
      </c>
      <c r="J185" s="3" t="str">
        <v>531</v>
      </c>
      <c r="K185" s="4" t="str">
        <v>Ikaria is annexed by Samos</v>
      </c>
      <c r="P185" t="str">
        <v>536</v>
      </c>
      <c r="Q185" t="str">
        <v>Samos annexes South Mycale from Miletus</v>
      </c>
    </row>
    <row r="186" spans="1:17" x14ac:dyDescent="0.25">
      <c r="A186" t="s">
        <v>185</v>
      </c>
      <c r="B186" t="str" cm="1">
        <f t="array" ref="B186">INDEX(_xlfn.TEXTSPLIT(A186, " "), 1)</f>
        <v>530</v>
      </c>
      <c r="C186" t="str" cm="1">
        <f t="array" ref="C186">INDEX(_xlfn.TEXTSPLIT(B186, "-"), 1)</f>
        <v>530</v>
      </c>
      <c r="D186" t="str" cm="1">
        <f t="array" ref="D186">IFERROR(INDEX(_xlfn.TEXTSPLIT(B186, "-"), 2), "")</f>
        <v/>
      </c>
      <c r="E186" t="str">
        <f t="shared" si="6"/>
        <v>Emporion becomes a Carthaginian vassal</v>
      </c>
      <c r="F186" t="str">
        <f t="shared" si="7"/>
        <v/>
      </c>
      <c r="H186" t="b">
        <f t="shared" si="8"/>
        <v>0</v>
      </c>
      <c r="J186" s="3" t="str">
        <v>530</v>
      </c>
      <c r="K186" s="4" t="str">
        <v>Emporion becomes a Carthaginian vassal</v>
      </c>
      <c r="P186" t="str">
        <v>535</v>
      </c>
      <c r="Q186" t="str">
        <v>Perilaus dies</v>
      </c>
    </row>
    <row r="187" spans="1:17" x14ac:dyDescent="0.25">
      <c r="A187" t="s">
        <v>186</v>
      </c>
      <c r="B187" t="str" cm="1">
        <f t="array" ref="B187">INDEX(_xlfn.TEXTSPLIT(A187, " "), 1)</f>
        <v>530</v>
      </c>
      <c r="C187" t="str" cm="1">
        <f t="array" ref="C187">INDEX(_xlfn.TEXTSPLIT(B187, "-"), 1)</f>
        <v>530</v>
      </c>
      <c r="D187" t="str" cm="1">
        <f t="array" ref="D187">IFERROR(INDEX(_xlfn.TEXTSPLIT(B187, "-"), 2), "")</f>
        <v/>
      </c>
      <c r="E187" t="str">
        <f t="shared" si="6"/>
        <v>Maktorion is founded by exiled Gelans</v>
      </c>
      <c r="F187" t="str">
        <f t="shared" si="7"/>
        <v/>
      </c>
      <c r="H187" t="b">
        <f t="shared" si="8"/>
        <v>0</v>
      </c>
      <c r="J187" s="3" t="str">
        <v>530</v>
      </c>
      <c r="K187" s="4" t="str">
        <v>Maktorion is founded by exiled Gelans</v>
      </c>
      <c r="P187" t="str">
        <v>534</v>
      </c>
      <c r="Q187" t="str">
        <v>Athens starts extracting tribute from Ios</v>
      </c>
    </row>
    <row r="188" spans="1:17" x14ac:dyDescent="0.25">
      <c r="A188" t="s">
        <v>187</v>
      </c>
      <c r="B188" t="str" cm="1">
        <f t="array" ref="B188">INDEX(_xlfn.TEXTSPLIT(A188, " "), 1)</f>
        <v>530</v>
      </c>
      <c r="C188" t="str" cm="1">
        <f t="array" ref="C188">INDEX(_xlfn.TEXTSPLIT(B188, "-"), 1)</f>
        <v>530</v>
      </c>
      <c r="D188" t="str" cm="1">
        <f t="array" ref="D188">IFERROR(INDEX(_xlfn.TEXTSPLIT(B188, "-"), 2), "")</f>
        <v/>
      </c>
      <c r="E188" t="str">
        <f t="shared" si="6"/>
        <v>Tegea joins the Peloponnesian League</v>
      </c>
      <c r="F188" t="str">
        <f t="shared" si="7"/>
        <v/>
      </c>
      <c r="H188" t="b">
        <f t="shared" si="8"/>
        <v>0</v>
      </c>
      <c r="J188" s="3" t="str">
        <v>530</v>
      </c>
      <c r="K188" s="4" t="str">
        <v>Tegea joins the Peloponnesian League</v>
      </c>
      <c r="P188" t="str">
        <v>532</v>
      </c>
      <c r="Q188" t="str">
        <v>Croton is overthrown by Cylonius</v>
      </c>
    </row>
    <row r="189" spans="1:17" x14ac:dyDescent="0.25">
      <c r="A189" t="s">
        <v>188</v>
      </c>
      <c r="B189" t="str" cm="1">
        <f t="array" ref="B189">INDEX(_xlfn.TEXTSPLIT(A189, " "), 1)</f>
        <v>529</v>
      </c>
      <c r="C189" t="str" cm="1">
        <f t="array" ref="C189">INDEX(_xlfn.TEXTSPLIT(B189, "-"), 1)</f>
        <v>529</v>
      </c>
      <c r="D189" t="str" cm="1">
        <f t="array" ref="D189">IFERROR(INDEX(_xlfn.TEXTSPLIT(B189, "-"), 2), "")</f>
        <v/>
      </c>
      <c r="E189" t="str">
        <f t="shared" si="6"/>
        <v>Leo dies</v>
      </c>
      <c r="F189" t="str">
        <f t="shared" si="7"/>
        <v/>
      </c>
      <c r="H189" t="b">
        <f t="shared" si="8"/>
        <v>0</v>
      </c>
      <c r="J189" s="3" t="str">
        <v>529</v>
      </c>
      <c r="K189" s="4" t="str">
        <v>Leo dies</v>
      </c>
      <c r="P189" t="str">
        <v>532</v>
      </c>
      <c r="Q189" t="str">
        <v>Peisistratos restored by Thessaly and Lygdamis of Naxos.</v>
      </c>
    </row>
    <row r="190" spans="1:17" x14ac:dyDescent="0.25">
      <c r="A190" t="s">
        <v>189</v>
      </c>
      <c r="B190" t="str" cm="1">
        <f t="array" ref="B190">INDEX(_xlfn.TEXTSPLIT(A190, " "), 1)</f>
        <v>528</v>
      </c>
      <c r="C190" t="str" cm="1">
        <f t="array" ref="C190">INDEX(_xlfn.TEXTSPLIT(B190, "-"), 1)</f>
        <v>528</v>
      </c>
      <c r="D190" t="str" cm="1">
        <f t="array" ref="D190">IFERROR(INDEX(_xlfn.TEXTSPLIT(B190, "-"), 2), "")</f>
        <v/>
      </c>
      <c r="E190" t="str">
        <f t="shared" si="6"/>
        <v>Maktorion is abandoned and the settlers move to Gela</v>
      </c>
      <c r="F190" t="str">
        <f t="shared" si="7"/>
        <v/>
      </c>
      <c r="H190" t="b">
        <f t="shared" si="8"/>
        <v>0</v>
      </c>
      <c r="J190" s="3" t="str">
        <v>528</v>
      </c>
      <c r="K190" s="4" t="str">
        <v>Maktorion is abandoned and the settlers move to Gela</v>
      </c>
      <c r="P190" t="str">
        <v>531</v>
      </c>
      <c r="Q190" t="str">
        <v>Ikaria is annexed by Samos</v>
      </c>
    </row>
    <row r="191" spans="1:17" x14ac:dyDescent="0.25">
      <c r="A191" t="s">
        <v>190</v>
      </c>
      <c r="B191" t="str" cm="1">
        <f t="array" ref="B191">INDEX(_xlfn.TEXTSPLIT(A191, " "), 1)</f>
        <v>527</v>
      </c>
      <c r="C191" t="str" cm="1">
        <f t="array" ref="C191">INDEX(_xlfn.TEXTSPLIT(B191, "-"), 1)</f>
        <v>527</v>
      </c>
      <c r="D191" t="str" cm="1">
        <f t="array" ref="D191">IFERROR(INDEX(_xlfn.TEXTSPLIT(B191, "-"), 2), "")</f>
        <v/>
      </c>
      <c r="E191" t="str">
        <f t="shared" si="6"/>
        <v>Peisistratos dies, succeeded by sons Hippias and Hipparchus.</v>
      </c>
      <c r="F191" t="str">
        <f t="shared" si="7"/>
        <v/>
      </c>
      <c r="H191" t="b">
        <f t="shared" si="8"/>
        <v>0</v>
      </c>
      <c r="J191" s="3" t="str">
        <v>527</v>
      </c>
      <c r="K191" s="4" t="str">
        <v>Peisistratos dies, succeeded by sons Hippias and Hipparchus.</v>
      </c>
      <c r="P191" t="str">
        <v>530</v>
      </c>
      <c r="Q191" t="str">
        <v>Emporion becomes a Carthaginian vassal</v>
      </c>
    </row>
    <row r="192" spans="1:17" x14ac:dyDescent="0.25">
      <c r="A192" t="s">
        <v>191</v>
      </c>
      <c r="B192" t="str" cm="1">
        <f t="array" ref="B192">INDEX(_xlfn.TEXTSPLIT(A192, " "), 1)</f>
        <v>527</v>
      </c>
      <c r="C192" t="str" cm="1">
        <f t="array" ref="C192">INDEX(_xlfn.TEXTSPLIT(B192, "-"), 1)</f>
        <v>527</v>
      </c>
      <c r="D192" t="str" cm="1">
        <f t="array" ref="D192">IFERROR(INDEX(_xlfn.TEXTSPLIT(B192, "-"), 2), "")</f>
        <v/>
      </c>
      <c r="E192" t="str">
        <f t="shared" si="6"/>
        <v>Rineia and Delos are annexed by Samos</v>
      </c>
      <c r="F192" t="str">
        <f t="shared" si="7"/>
        <v/>
      </c>
      <c r="H192" t="b">
        <f t="shared" si="8"/>
        <v>0</v>
      </c>
      <c r="J192" s="3" t="str">
        <v>527</v>
      </c>
      <c r="K192" s="4" t="str">
        <v>Rineia and Delos are annexed by Samos</v>
      </c>
      <c r="P192" t="str">
        <v>530</v>
      </c>
      <c r="Q192" t="str">
        <v>Maktorion is founded by exiled Gelans</v>
      </c>
    </row>
    <row r="193" spans="1:17" x14ac:dyDescent="0.25">
      <c r="A193" t="s">
        <v>192</v>
      </c>
      <c r="B193" t="str" cm="1">
        <f t="array" ref="B193">INDEX(_xlfn.TEXTSPLIT(A193, " "), 1)</f>
        <v>526</v>
      </c>
      <c r="C193" t="str" cm="1">
        <f t="array" ref="C193">INDEX(_xlfn.TEXTSPLIT(B193, "-"), 1)</f>
        <v>526</v>
      </c>
      <c r="D193" t="str" cm="1">
        <f t="array" ref="D193">IFERROR(INDEX(_xlfn.TEXTSPLIT(B193, "-"), 2), "")</f>
        <v/>
      </c>
      <c r="E193" t="str">
        <f t="shared" si="6"/>
        <v>Cylonius is overthrown by Kroton</v>
      </c>
      <c r="F193" t="str">
        <f t="shared" si="7"/>
        <v/>
      </c>
      <c r="H193" t="b">
        <f t="shared" si="8"/>
        <v>0</v>
      </c>
      <c r="J193" s="3" t="str">
        <v>526</v>
      </c>
      <c r="K193" s="4" t="str">
        <v>Cylonius is overthrown by Kroton</v>
      </c>
      <c r="P193" t="str">
        <v>530</v>
      </c>
      <c r="Q193" t="str">
        <v>Tegea joins the Peloponnesian League</v>
      </c>
    </row>
    <row r="194" spans="1:17" x14ac:dyDescent="0.25">
      <c r="A194" t="s">
        <v>193</v>
      </c>
      <c r="B194" t="str" cm="1">
        <f t="array" ref="B194">INDEX(_xlfn.TEXTSPLIT(A194, " "), 1)</f>
        <v>525</v>
      </c>
      <c r="C194" t="str" cm="1">
        <f t="array" ref="C194">INDEX(_xlfn.TEXTSPLIT(B194, "-"), 1)</f>
        <v>525</v>
      </c>
      <c r="D194" t="str" cm="1">
        <f t="array" ref="D194">IFERROR(INDEX(_xlfn.TEXTSPLIT(B194, "-"), 2), "")</f>
        <v/>
      </c>
      <c r="E194" t="str">
        <f t="shared" si="6"/>
        <v>Netum is annexed by Syracuse</v>
      </c>
      <c r="F194" t="str">
        <f t="shared" si="7"/>
        <v/>
      </c>
      <c r="H194" t="b">
        <f t="shared" si="8"/>
        <v>0</v>
      </c>
      <c r="J194" s="3" t="str">
        <v>525</v>
      </c>
      <c r="K194" s="4" t="str">
        <v>Netum is annexed by Syracuse</v>
      </c>
      <c r="P194" t="str">
        <v>529</v>
      </c>
      <c r="Q194" t="str">
        <v>Leo dies</v>
      </c>
    </row>
    <row r="195" spans="1:17" x14ac:dyDescent="0.25">
      <c r="A195" t="s">
        <v>194</v>
      </c>
      <c r="B195" t="str" cm="1">
        <f t="array" ref="B195">INDEX(_xlfn.TEXTSPLIT(A195, " "), 1)</f>
        <v>525</v>
      </c>
      <c r="C195" t="str" cm="1">
        <f t="array" ref="C195">INDEX(_xlfn.TEXTSPLIT(B195, "-"), 1)</f>
        <v>525</v>
      </c>
      <c r="D195" t="str" cm="1">
        <f t="array" ref="D195">IFERROR(INDEX(_xlfn.TEXTSPLIT(B195, "-"), 2), "")</f>
        <v/>
      </c>
      <c r="E195" t="str">
        <f t="shared" ref="E195:E258" si="9">_xlfn.LET(
  _xlpm.szoveg,
  MID(A195, SEARCH(" ", A195) + 1, LEN(A195)),
  IF(ISNUMBER(SEARCH("-",B195)), _xlpm.szoveg &amp; " --&gt;", _xlpm.szoveg)
)</f>
        <v>The ancient Greek city of Euesperides, (modern day Benghazi) is founded by people from Cyrene</v>
      </c>
      <c r="F195" t="str">
        <f t="shared" ref="F195:F258" si="10">_xlfn.LET(
  _xlpm.szoveg,
  MID(A195, SEARCH(" ", A195) + 1, LEN(A195)),
  IF(ISNUMBER(SEARCH("-",B195)), "--&gt; " &amp; _xlpm.szoveg, "")
)</f>
        <v/>
      </c>
      <c r="H195" t="b">
        <f t="shared" ref="H195:H258" si="11">ISNUMBER(SEARCH("-", B195))</f>
        <v>0</v>
      </c>
      <c r="J195" s="3" t="str">
        <v>525</v>
      </c>
      <c r="K195" s="4" t="str">
        <v>The ancient Greek city of Euesperides, (modern day Benghazi) is founded by people from Cyrene</v>
      </c>
      <c r="P195" t="str">
        <v>528</v>
      </c>
      <c r="Q195" t="str">
        <v>Maktorion is abandoned and the settlers move to Gela</v>
      </c>
    </row>
    <row r="196" spans="1:17" x14ac:dyDescent="0.25">
      <c r="A196" t="s">
        <v>195</v>
      </c>
      <c r="B196" t="str" cm="1">
        <f t="array" ref="B196">INDEX(_xlfn.TEXTSPLIT(A196, " "), 1)</f>
        <v>525</v>
      </c>
      <c r="C196" t="str" cm="1">
        <f t="array" ref="C196">INDEX(_xlfn.TEXTSPLIT(B196, "-"), 1)</f>
        <v>525</v>
      </c>
      <c r="D196" t="str" cm="1">
        <f t="array" ref="D196">IFERROR(INDEX(_xlfn.TEXTSPLIT(B196, "-"), 2), "")</f>
        <v/>
      </c>
      <c r="E196" t="str">
        <f t="shared" si="9"/>
        <v>Persian Cambyses II, son of Cyrus the Great takes Egypt.</v>
      </c>
      <c r="F196" t="str">
        <f t="shared" si="10"/>
        <v/>
      </c>
      <c r="H196" t="b">
        <f t="shared" si="11"/>
        <v>0</v>
      </c>
      <c r="J196" s="3" t="str">
        <v>525</v>
      </c>
      <c r="K196" s="4" t="str">
        <v>Persian Cambyses II, son of Cyrus the Great takes Egypt.</v>
      </c>
      <c r="P196" t="str">
        <v>527</v>
      </c>
      <c r="Q196" t="str">
        <v>Peisistratos dies, succeeded by sons Hippias and Hipparchus.</v>
      </c>
    </row>
    <row r="197" spans="1:17" x14ac:dyDescent="0.25">
      <c r="A197" t="s">
        <v>196</v>
      </c>
      <c r="B197" t="str" cm="1">
        <f t="array" ref="B197">INDEX(_xlfn.TEXTSPLIT(A197, " "), 1)</f>
        <v>524</v>
      </c>
      <c r="C197" t="str" cm="1">
        <f t="array" ref="C197">INDEX(_xlfn.TEXTSPLIT(B197, "-"), 1)</f>
        <v>524</v>
      </c>
      <c r="D197" t="str" cm="1">
        <f t="array" ref="D197">IFERROR(INDEX(_xlfn.TEXTSPLIT(B197, "-"), 2), "")</f>
        <v/>
      </c>
      <c r="E197" t="str">
        <f t="shared" si="9"/>
        <v>Samos annexes Donousa</v>
      </c>
      <c r="F197" t="str">
        <f t="shared" si="10"/>
        <v/>
      </c>
      <c r="H197" t="b">
        <f t="shared" si="11"/>
        <v>0</v>
      </c>
      <c r="J197" s="3" t="str">
        <v>524</v>
      </c>
      <c r="K197" s="4" t="str">
        <v>Samos annexes Donousa</v>
      </c>
      <c r="P197" t="str">
        <v>527</v>
      </c>
      <c r="Q197" t="str">
        <v>Rineia and Delos are annexed by Samos</v>
      </c>
    </row>
    <row r="198" spans="1:17" x14ac:dyDescent="0.25">
      <c r="A198" t="s">
        <v>197</v>
      </c>
      <c r="B198" t="str" cm="1">
        <f t="array" ref="B198">INDEX(_xlfn.TEXTSPLIT(A198, " "), 1)</f>
        <v>524</v>
      </c>
      <c r="C198" t="str" cm="1">
        <f t="array" ref="C198">INDEX(_xlfn.TEXTSPLIT(B198, "-"), 1)</f>
        <v>524</v>
      </c>
      <c r="D198" t="str" cm="1">
        <f t="array" ref="D198">IFERROR(INDEX(_xlfn.TEXTSPLIT(B198, "-"), 2), "")</f>
        <v/>
      </c>
      <c r="E198" t="str">
        <f t="shared" si="9"/>
        <v>Lgydamis of Naxos is overthrown</v>
      </c>
      <c r="F198" t="str">
        <f t="shared" si="10"/>
        <v/>
      </c>
      <c r="H198" t="b">
        <f t="shared" si="11"/>
        <v>0</v>
      </c>
      <c r="J198" s="3" t="str">
        <v>524</v>
      </c>
      <c r="K198" s="4" t="str">
        <v>Lgydamis of Naxos is overthrown</v>
      </c>
      <c r="P198" t="str">
        <v>526</v>
      </c>
      <c r="Q198" t="str">
        <v>Cylonius is overthrown by Kroton</v>
      </c>
    </row>
    <row r="199" spans="1:17" x14ac:dyDescent="0.25">
      <c r="A199" t="s">
        <v>198</v>
      </c>
      <c r="B199" t="str" cm="1">
        <f t="array" ref="B199">INDEX(_xlfn.TEXTSPLIT(A199, " "), 1)</f>
        <v>523</v>
      </c>
      <c r="C199" t="str" cm="1">
        <f t="array" ref="C199">INDEX(_xlfn.TEXTSPLIT(B199, "-"), 1)</f>
        <v>523</v>
      </c>
      <c r="D199" t="str" cm="1">
        <f t="array" ref="D199">IFERROR(INDEX(_xlfn.TEXTSPLIT(B199, "-"), 2), "")</f>
        <v/>
      </c>
      <c r="E199" t="str">
        <f t="shared" si="9"/>
        <v>Chalcedon is annexed by Persian Empire</v>
      </c>
      <c r="F199" t="str">
        <f t="shared" si="10"/>
        <v/>
      </c>
      <c r="H199" t="b">
        <f t="shared" si="11"/>
        <v>0</v>
      </c>
      <c r="J199" s="3" t="str">
        <v>523</v>
      </c>
      <c r="K199" s="4" t="str">
        <v>Chalcedon is annexed by Persian Empire</v>
      </c>
      <c r="P199" t="str">
        <v>525</v>
      </c>
      <c r="Q199" t="str">
        <v>Netum is annexed by Syracuse</v>
      </c>
    </row>
    <row r="200" spans="1:17" x14ac:dyDescent="0.25">
      <c r="A200" t="s">
        <v>199</v>
      </c>
      <c r="B200" t="str" cm="1">
        <f t="array" ref="B200">INDEX(_xlfn.TEXTSPLIT(A200, " "), 1)</f>
        <v>522</v>
      </c>
      <c r="C200" t="str" cm="1">
        <f t="array" ref="C200">INDEX(_xlfn.TEXTSPLIT(B200, "-"), 1)</f>
        <v>522</v>
      </c>
      <c r="D200" t="str" cm="1">
        <f t="array" ref="D200">IFERROR(INDEX(_xlfn.TEXTSPLIT(B200, "-"), 2), "")</f>
        <v/>
      </c>
      <c r="E200" t="str">
        <f t="shared" si="9"/>
        <v>Death of Polycrates of Samos and succession of Maiandrios</v>
      </c>
      <c r="F200" t="str">
        <f t="shared" si="10"/>
        <v/>
      </c>
      <c r="H200" t="b">
        <f t="shared" si="11"/>
        <v>0</v>
      </c>
      <c r="J200" s="3" t="str">
        <v>522</v>
      </c>
      <c r="K200" s="4" t="str">
        <v>Death of Polycrates of Samos and succession of Maiandrios</v>
      </c>
      <c r="P200" t="str">
        <v>525</v>
      </c>
      <c r="Q200" t="str">
        <v>The ancient Greek city of Euesperides, (modern day Benghazi) is founded by people from Cyrene</v>
      </c>
    </row>
    <row r="201" spans="1:17" x14ac:dyDescent="0.25">
      <c r="A201" t="s">
        <v>200</v>
      </c>
      <c r="B201" t="str" cm="1">
        <f t="array" ref="B201">INDEX(_xlfn.TEXTSPLIT(A201, " "), 1)</f>
        <v>521</v>
      </c>
      <c r="C201" t="str" cm="1">
        <f t="array" ref="C201">INDEX(_xlfn.TEXTSPLIT(B201, "-"), 1)</f>
        <v>521</v>
      </c>
      <c r="D201" t="str" cm="1">
        <f t="array" ref="D201">IFERROR(INDEX(_xlfn.TEXTSPLIT(B201, "-"), 2), "")</f>
        <v/>
      </c>
      <c r="E201" t="str">
        <f t="shared" si="9"/>
        <v>Overthrow of Maiandros by Persian backed Syloson</v>
      </c>
      <c r="F201" t="str">
        <f t="shared" si="10"/>
        <v/>
      </c>
      <c r="H201" t="b">
        <f t="shared" si="11"/>
        <v>0</v>
      </c>
      <c r="J201" s="3" t="str">
        <v>521</v>
      </c>
      <c r="K201" s="4" t="str">
        <v>Overthrow of Maiandros by Persian backed Syloson</v>
      </c>
      <c r="P201" t="str">
        <v>525</v>
      </c>
      <c r="Q201" t="str">
        <v>Persian Cambyses II, son of Cyrus the Great takes Egypt.</v>
      </c>
    </row>
    <row r="202" spans="1:17" x14ac:dyDescent="0.25">
      <c r="A202" t="s">
        <v>201</v>
      </c>
      <c r="B202" t="str" cm="1">
        <f t="array" ref="B202">INDEX(_xlfn.TEXTSPLIT(A202, " "), 1)</f>
        <v>520</v>
      </c>
      <c r="C202" t="str" cm="1">
        <f t="array" ref="C202">INDEX(_xlfn.TEXTSPLIT(B202, "-"), 1)</f>
        <v>520</v>
      </c>
      <c r="D202" t="str" cm="1">
        <f t="array" ref="D202">IFERROR(INDEX(_xlfn.TEXTSPLIT(B202, "-"), 2), "")</f>
        <v/>
      </c>
      <c r="E202" t="str">
        <f t="shared" si="9"/>
        <v>Peithagoras overthrows Theron</v>
      </c>
      <c r="F202" t="str">
        <f t="shared" si="10"/>
        <v/>
      </c>
      <c r="H202" t="b">
        <f t="shared" si="11"/>
        <v>0</v>
      </c>
      <c r="J202" s="3" t="str">
        <v>520</v>
      </c>
      <c r="K202" s="4" t="str">
        <v>Peithagoras overthrows Theron</v>
      </c>
      <c r="P202" t="str">
        <v>524</v>
      </c>
      <c r="Q202" t="str">
        <v>Samos annexes Donousa</v>
      </c>
    </row>
    <row r="203" spans="1:17" x14ac:dyDescent="0.25">
      <c r="A203" t="s">
        <v>202</v>
      </c>
      <c r="B203" t="str" cm="1">
        <f t="array" ref="B203">INDEX(_xlfn.TEXTSPLIT(A203, " "), 1)</f>
        <v>519</v>
      </c>
      <c r="C203" t="str" cm="1">
        <f t="array" ref="C203">INDEX(_xlfn.TEXTSPLIT(B203, "-"), 1)</f>
        <v>519</v>
      </c>
      <c r="D203" t="str" cm="1">
        <f t="array" ref="D203">IFERROR(INDEX(_xlfn.TEXTSPLIT(B203, "-"), 2), "")</f>
        <v/>
      </c>
      <c r="E203" t="str">
        <f t="shared" si="9"/>
        <v>Plataea leaves the Boeotian League and is sieged by the latter</v>
      </c>
      <c r="F203" t="str">
        <f t="shared" si="10"/>
        <v/>
      </c>
      <c r="H203" t="b">
        <f t="shared" si="11"/>
        <v>0</v>
      </c>
      <c r="J203" s="3" t="str">
        <v>519</v>
      </c>
      <c r="K203" s="4" t="str">
        <v>Plataea leaves the Boeotian League and is sieged by the latter</v>
      </c>
      <c r="P203" t="str">
        <v>524</v>
      </c>
      <c r="Q203" t="str">
        <v>Lgydamis of Naxos is overthrown</v>
      </c>
    </row>
    <row r="204" spans="1:17" x14ac:dyDescent="0.25">
      <c r="A204" t="s">
        <v>203</v>
      </c>
      <c r="B204" t="str" cm="1">
        <f t="array" ref="B204">INDEX(_xlfn.TEXTSPLIT(A204, " "), 1)</f>
        <v>519</v>
      </c>
      <c r="C204" t="str" cm="1">
        <f t="array" ref="C204">INDEX(_xlfn.TEXTSPLIT(B204, "-"), 1)</f>
        <v>519</v>
      </c>
      <c r="D204" t="str" cm="1">
        <f t="array" ref="D204">IFERROR(INDEX(_xlfn.TEXTSPLIT(B204, "-"), 2), "")</f>
        <v/>
      </c>
      <c r="E204" t="str">
        <f t="shared" si="9"/>
        <v>Miltiades is overthrown by Stesagoras</v>
      </c>
      <c r="F204" t="str">
        <f t="shared" si="10"/>
        <v/>
      </c>
      <c r="H204" t="b">
        <f t="shared" si="11"/>
        <v>0</v>
      </c>
      <c r="J204" s="3" t="str">
        <v>519</v>
      </c>
      <c r="K204" s="4" t="str">
        <v>Miltiades is overthrown by Stesagoras</v>
      </c>
      <c r="P204" t="str">
        <v>523</v>
      </c>
      <c r="Q204" t="str">
        <v>Chalcedon is annexed by Persian Empire</v>
      </c>
    </row>
    <row r="205" spans="1:17" x14ac:dyDescent="0.25">
      <c r="A205" t="s">
        <v>204</v>
      </c>
      <c r="B205" t="str" cm="1">
        <f t="array" ref="B205">INDEX(_xlfn.TEXTSPLIT(A205, " "), 1)</f>
        <v>519</v>
      </c>
      <c r="C205" t="str" cm="1">
        <f t="array" ref="C205">INDEX(_xlfn.TEXTSPLIT(B205, "-"), 1)</f>
        <v>519</v>
      </c>
      <c r="D205" t="str" cm="1">
        <f t="array" ref="D205">IFERROR(INDEX(_xlfn.TEXTSPLIT(B205, "-"), 2), "")</f>
        <v/>
      </c>
      <c r="E205" t="str">
        <f t="shared" si="9"/>
        <v>Abydos declares independence from Stesagoras and is led by the Persian Tyrant Daphnis</v>
      </c>
      <c r="F205" t="str">
        <f t="shared" si="10"/>
        <v/>
      </c>
      <c r="H205" t="b">
        <f t="shared" si="11"/>
        <v>0</v>
      </c>
      <c r="J205" s="3" t="str">
        <v>519</v>
      </c>
      <c r="K205" s="4" t="str">
        <v>Abydos declares independence from Stesagoras and is led by the Persian Tyrant Daphnis</v>
      </c>
      <c r="P205" t="str">
        <v>522</v>
      </c>
      <c r="Q205" t="str">
        <v>Death of Polycrates of Samos and succession of Maiandrios</v>
      </c>
    </row>
    <row r="206" spans="1:17" x14ac:dyDescent="0.25">
      <c r="A206" t="s">
        <v>205</v>
      </c>
      <c r="B206" t="str" cm="1">
        <f t="array" ref="B206">INDEX(_xlfn.TEXTSPLIT(A206, " "), 1)</f>
        <v>518</v>
      </c>
      <c r="C206" t="str" cm="1">
        <f t="array" ref="C206">INDEX(_xlfn.TEXTSPLIT(B206, "-"), 1)</f>
        <v>518</v>
      </c>
      <c r="D206" t="str" cm="1">
        <f t="array" ref="D206">IFERROR(INDEX(_xlfn.TEXTSPLIT(B206, "-"), 2), "")</f>
        <v/>
      </c>
      <c r="E206" t="str">
        <f t="shared" si="9"/>
        <v>Athens repulses the Boeotians from Plataea</v>
      </c>
      <c r="F206" t="str">
        <f t="shared" si="10"/>
        <v/>
      </c>
      <c r="H206" t="b">
        <f t="shared" si="11"/>
        <v>0</v>
      </c>
      <c r="J206" s="3" t="str">
        <v>518</v>
      </c>
      <c r="K206" s="4" t="str">
        <v>Athens repulses the Boeotians from Plataea</v>
      </c>
      <c r="P206" t="str">
        <v>521</v>
      </c>
      <c r="Q206" t="str">
        <v>Overthrow of Maiandros by Persian backed Syloson</v>
      </c>
    </row>
    <row r="207" spans="1:17" x14ac:dyDescent="0.25">
      <c r="A207" t="s">
        <v>206</v>
      </c>
      <c r="B207" t="str" cm="1">
        <f t="array" ref="B207">INDEX(_xlfn.TEXTSPLIT(A207, " "), 1)</f>
        <v>517</v>
      </c>
      <c r="C207" t="str" cm="1">
        <f t="array" ref="C207">INDEX(_xlfn.TEXTSPLIT(B207, "-"), 1)</f>
        <v>517</v>
      </c>
      <c r="D207" t="str" cm="1">
        <f t="array" ref="D207">IFERROR(INDEX(_xlfn.TEXTSPLIT(B207, "-"), 2), "")</f>
        <v/>
      </c>
      <c r="E207" t="str">
        <f t="shared" si="9"/>
        <v>Sybaris is overthrown by Telys</v>
      </c>
      <c r="F207" t="str">
        <f t="shared" si="10"/>
        <v/>
      </c>
      <c r="H207" t="b">
        <f t="shared" si="11"/>
        <v>0</v>
      </c>
      <c r="J207" s="3" t="str">
        <v>517</v>
      </c>
      <c r="K207" s="4" t="str">
        <v>Sybaris is overthrown by Telys</v>
      </c>
      <c r="P207" t="str">
        <v>520</v>
      </c>
      <c r="Q207" t="str">
        <v>Peithagoras overthrows Theron</v>
      </c>
    </row>
    <row r="208" spans="1:17" x14ac:dyDescent="0.25">
      <c r="A208" t="s">
        <v>207</v>
      </c>
      <c r="B208" t="str" cm="1">
        <f t="array" ref="B208">INDEX(_xlfn.TEXTSPLIT(A208, " "), 1)</f>
        <v>516</v>
      </c>
      <c r="C208" t="str" cm="1">
        <f t="array" ref="C208">INDEX(_xlfn.TEXTSPLIT(B208, "-"), 1)</f>
        <v>516</v>
      </c>
      <c r="D208" t="str" cm="1">
        <f t="array" ref="D208">IFERROR(INDEX(_xlfn.TEXTSPLIT(B208, "-"), 2), "")</f>
        <v/>
      </c>
      <c r="E208" t="str">
        <f t="shared" si="9"/>
        <v>Miltiades II an Athenian Tyrant succeeds Stesagoras and reincorporates Abydos</v>
      </c>
      <c r="F208" t="str">
        <f t="shared" si="10"/>
        <v/>
      </c>
      <c r="H208" t="b">
        <f t="shared" si="11"/>
        <v>0</v>
      </c>
      <c r="J208" s="3" t="str">
        <v>516</v>
      </c>
      <c r="K208" s="4" t="str">
        <v>Miltiades II an Athenian Tyrant succeeds Stesagoras and reincorporates Abydos</v>
      </c>
      <c r="P208" t="str">
        <v>519</v>
      </c>
      <c r="Q208" t="str">
        <v>Plataea leaves the Boeotian League and is sieged by the latter</v>
      </c>
    </row>
    <row r="209" spans="1:17" x14ac:dyDescent="0.25">
      <c r="A209" t="s">
        <v>208</v>
      </c>
      <c r="B209" t="str" cm="1">
        <f t="array" ref="B209">INDEX(_xlfn.TEXTSPLIT(A209, " "), 1)</f>
        <v>516</v>
      </c>
      <c r="C209" t="str" cm="1">
        <f t="array" ref="C209">INDEX(_xlfn.TEXTSPLIT(B209, "-"), 1)</f>
        <v>516</v>
      </c>
      <c r="D209" t="str" cm="1">
        <f t="array" ref="D209">IFERROR(INDEX(_xlfn.TEXTSPLIT(B209, "-"), 2), "")</f>
        <v/>
      </c>
      <c r="E209" t="str">
        <f t="shared" si="9"/>
        <v>Cassaibile is annexed by Syracuse</v>
      </c>
      <c r="F209" t="str">
        <f t="shared" si="10"/>
        <v/>
      </c>
      <c r="H209" t="b">
        <f t="shared" si="11"/>
        <v>0</v>
      </c>
      <c r="J209" s="3" t="str">
        <v>516</v>
      </c>
      <c r="K209" s="4" t="str">
        <v>Cassaibile is annexed by Syracuse</v>
      </c>
      <c r="P209" t="str">
        <v>519</v>
      </c>
      <c r="Q209" t="str">
        <v>Miltiades is overthrown by Stesagoras</v>
      </c>
    </row>
    <row r="210" spans="1:17" x14ac:dyDescent="0.25">
      <c r="A210" t="s">
        <v>209</v>
      </c>
      <c r="B210" t="str" cm="1">
        <f t="array" ref="B210">INDEX(_xlfn.TEXTSPLIT(A210, " "), 1)</f>
        <v>515</v>
      </c>
      <c r="C210" t="str" cm="1">
        <f t="array" ref="C210">INDEX(_xlfn.TEXTSPLIT(B210, "-"), 1)</f>
        <v>515</v>
      </c>
      <c r="D210" t="str" cm="1">
        <f t="array" ref="D210">IFERROR(INDEX(_xlfn.TEXTSPLIT(B210, "-"), 2), "")</f>
        <v/>
      </c>
      <c r="E210" t="str">
        <f t="shared" si="9"/>
        <v>Molpagoras is succeeded by Histiaeos</v>
      </c>
      <c r="F210" t="str">
        <f t="shared" si="10"/>
        <v/>
      </c>
      <c r="H210" t="b">
        <f t="shared" si="11"/>
        <v>0</v>
      </c>
      <c r="J210" s="3" t="str">
        <v>515</v>
      </c>
      <c r="K210" s="4" t="str">
        <v>Molpagoras is succeeded by Histiaeos</v>
      </c>
      <c r="P210" t="str">
        <v>519</v>
      </c>
      <c r="Q210" t="str">
        <v>Abydos declares independence from Stesagoras and is led by the Persian Tyrant Daphnis</v>
      </c>
    </row>
    <row r="211" spans="1:17" x14ac:dyDescent="0.25">
      <c r="A211" t="s">
        <v>210</v>
      </c>
      <c r="B211" t="str" cm="1">
        <f t="array" ref="B211">INDEX(_xlfn.TEXTSPLIT(A211, " "), 1)</f>
        <v>515</v>
      </c>
      <c r="C211" t="str" cm="1">
        <f t="array" ref="C211">INDEX(_xlfn.TEXTSPLIT(B211, "-"), 1)</f>
        <v>515</v>
      </c>
      <c r="D211" t="str" cm="1">
        <f t="array" ref="D211">IFERROR(INDEX(_xlfn.TEXTSPLIT(B211, "-"), 2), "")</f>
        <v/>
      </c>
      <c r="E211" t="str">
        <f t="shared" si="9"/>
        <v>Hippias becomes sole ruler after the death of Hipparchus.</v>
      </c>
      <c r="F211" t="str">
        <f t="shared" si="10"/>
        <v/>
      </c>
      <c r="H211" t="b">
        <f t="shared" si="11"/>
        <v>0</v>
      </c>
      <c r="J211" s="3" t="str">
        <v>515</v>
      </c>
      <c r="K211" s="4" t="str">
        <v>Hippias becomes sole ruler after the death of Hipparchus.</v>
      </c>
      <c r="P211" t="str">
        <v>518</v>
      </c>
      <c r="Q211" t="str">
        <v>Athens repulses the Boeotians from Plataea</v>
      </c>
    </row>
    <row r="212" spans="1:17" x14ac:dyDescent="0.25">
      <c r="A212" t="s">
        <v>211</v>
      </c>
      <c r="B212" t="str" cm="1">
        <f t="array" ref="B212">INDEX(_xlfn.TEXTSPLIT(A212, " "), 1)</f>
        <v>514</v>
      </c>
      <c r="C212" t="str" cm="1">
        <f t="array" ref="C212">INDEX(_xlfn.TEXTSPLIT(B212, "-"), 1)</f>
        <v>514</v>
      </c>
      <c r="D212" t="str" cm="1">
        <f t="array" ref="D212">IFERROR(INDEX(_xlfn.TEXTSPLIT(B212, "-"), 2), "")</f>
        <v/>
      </c>
      <c r="E212" t="str">
        <f t="shared" si="9"/>
        <v>Tenedos, Lesbos and Abydos is annexed by Persian Empire</v>
      </c>
      <c r="F212" t="str">
        <f t="shared" si="10"/>
        <v/>
      </c>
      <c r="H212" t="b">
        <f t="shared" si="11"/>
        <v>0</v>
      </c>
      <c r="J212" s="3" t="str">
        <v>514</v>
      </c>
      <c r="K212" s="4" t="str">
        <v>Tenedos, Lesbos and Abydos is annexed by Persian Empire</v>
      </c>
      <c r="P212" t="str">
        <v>517</v>
      </c>
      <c r="Q212" t="str">
        <v>Sybaris is overthrown by Telys</v>
      </c>
    </row>
    <row r="213" spans="1:17" x14ac:dyDescent="0.25">
      <c r="A213" t="s">
        <v>212</v>
      </c>
      <c r="B213" t="str" cm="1">
        <f t="array" ref="B213">INDEX(_xlfn.TEXTSPLIT(A213, " "), 1)</f>
        <v>513</v>
      </c>
      <c r="C213" t="str" cm="1">
        <f t="array" ref="C213">INDEX(_xlfn.TEXTSPLIT(B213, "-"), 1)</f>
        <v>513</v>
      </c>
      <c r="D213" t="str" cm="1">
        <f t="array" ref="D213">IFERROR(INDEX(_xlfn.TEXTSPLIT(B213, "-"), 2), "")</f>
        <v/>
      </c>
      <c r="E213" t="str">
        <f t="shared" si="9"/>
        <v>Miltiades II defects from Athens to Persia</v>
      </c>
      <c r="F213" t="str">
        <f t="shared" si="10"/>
        <v/>
      </c>
      <c r="H213" t="b">
        <f t="shared" si="11"/>
        <v>0</v>
      </c>
      <c r="J213" s="3" t="str">
        <v>513</v>
      </c>
      <c r="K213" s="4" t="str">
        <v>Miltiades II defects from Athens to Persia</v>
      </c>
      <c r="P213" t="str">
        <v>516</v>
      </c>
      <c r="Q213" t="str">
        <v>Miltiades II an Athenian Tyrant succeeds Stesagoras and reincorporates Abydos</v>
      </c>
    </row>
    <row r="214" spans="1:17" x14ac:dyDescent="0.25">
      <c r="A214" t="s">
        <v>213</v>
      </c>
      <c r="B214" t="str" cm="1">
        <f t="array" ref="B214">INDEX(_xlfn.TEXTSPLIT(A214, " "), 1)</f>
        <v>513</v>
      </c>
      <c r="C214" t="str" cm="1">
        <f t="array" ref="C214">INDEX(_xlfn.TEXTSPLIT(B214, "-"), 1)</f>
        <v>513</v>
      </c>
      <c r="D214" t="str" cm="1">
        <f t="array" ref="D214">IFERROR(INDEX(_xlfn.TEXTSPLIT(B214, "-"), 2), "")</f>
        <v/>
      </c>
      <c r="E214" t="str">
        <f t="shared" si="9"/>
        <v>Myrcinos is founded by Ionians</v>
      </c>
      <c r="F214" t="str">
        <f t="shared" si="10"/>
        <v/>
      </c>
      <c r="H214" t="b">
        <f t="shared" si="11"/>
        <v>0</v>
      </c>
      <c r="J214" s="3" t="str">
        <v>513</v>
      </c>
      <c r="K214" s="4" t="str">
        <v>Myrcinos is founded by Ionians</v>
      </c>
      <c r="P214" t="str">
        <v>516</v>
      </c>
      <c r="Q214" t="str">
        <v>Cassaibile is annexed by Syracuse</v>
      </c>
    </row>
    <row r="215" spans="1:17" x14ac:dyDescent="0.25">
      <c r="A215" t="s">
        <v>214</v>
      </c>
      <c r="B215" t="str" cm="1">
        <f t="array" ref="B215">INDEX(_xlfn.TEXTSPLIT(A215, " "), 1)</f>
        <v>513</v>
      </c>
      <c r="C215" t="str" cm="1">
        <f t="array" ref="C215">INDEX(_xlfn.TEXTSPLIT(B215, "-"), 1)</f>
        <v>513</v>
      </c>
      <c r="D215" t="str" cm="1">
        <f t="array" ref="D215">IFERROR(INDEX(_xlfn.TEXTSPLIT(B215, "-"), 2), "")</f>
        <v/>
      </c>
      <c r="E215" t="str">
        <f t="shared" si="9"/>
        <v>Persia annexes Thrace (Region)</v>
      </c>
      <c r="F215" t="str">
        <f t="shared" si="10"/>
        <v/>
      </c>
      <c r="H215" t="b">
        <f t="shared" si="11"/>
        <v>0</v>
      </c>
      <c r="J215" s="3" t="str">
        <v>513</v>
      </c>
      <c r="K215" s="4" t="str">
        <v>Persia annexes Thrace (Region)</v>
      </c>
      <c r="P215" t="str">
        <v>515</v>
      </c>
      <c r="Q215" t="str">
        <v>Molpagoras is succeeded by Histiaeos</v>
      </c>
    </row>
    <row r="216" spans="1:17" x14ac:dyDescent="0.25">
      <c r="A216" t="s">
        <v>215</v>
      </c>
      <c r="B216" t="str" cm="1">
        <f t="array" ref="B216">INDEX(_xlfn.TEXTSPLIT(A216, " "), 1)</f>
        <v>513</v>
      </c>
      <c r="C216" t="str" cm="1">
        <f t="array" ref="C216">INDEX(_xlfn.TEXTSPLIT(B216, "-"), 1)</f>
        <v>513</v>
      </c>
      <c r="D216" t="str" cm="1">
        <f t="array" ref="D216">IFERROR(INDEX(_xlfn.TEXTSPLIT(B216, "-"), 2), "")</f>
        <v/>
      </c>
      <c r="E216" t="str">
        <f t="shared" si="9"/>
        <v>Cinyps, Libya, a failed Greek attempt to build a city under the leadership of Dorieus.[5]</v>
      </c>
      <c r="F216" t="str">
        <f t="shared" si="10"/>
        <v/>
      </c>
      <c r="H216" t="b">
        <f t="shared" si="11"/>
        <v>0</v>
      </c>
      <c r="J216" s="3" t="str">
        <v>513</v>
      </c>
      <c r="K216" s="4" t="str">
        <v>Cinyps, Libya, a failed Greek attempt to build a city under the leadership of Dorieus.[5]</v>
      </c>
      <c r="P216" t="str">
        <v>515</v>
      </c>
      <c r="Q216" t="str">
        <v>Hippias becomes sole ruler after the death of Hipparchus.</v>
      </c>
    </row>
    <row r="217" spans="1:17" x14ac:dyDescent="0.25">
      <c r="A217" t="s">
        <v>216</v>
      </c>
      <c r="B217" t="str" cm="1">
        <f t="array" ref="B217">INDEX(_xlfn.TEXTSPLIT(A217, " "), 1)</f>
        <v>512</v>
      </c>
      <c r="C217" t="str" cm="1">
        <f t="array" ref="C217">INDEX(_xlfn.TEXTSPLIT(B217, "-"), 1)</f>
        <v>512</v>
      </c>
      <c r="D217" t="str" cm="1">
        <f t="array" ref="D217">IFERROR(INDEX(_xlfn.TEXTSPLIT(B217, "-"), 2), "")</f>
        <v/>
      </c>
      <c r="E217" t="str">
        <f t="shared" si="9"/>
        <v>Antandrus is annexed by Persian Empire</v>
      </c>
      <c r="F217" t="str">
        <f t="shared" si="10"/>
        <v/>
      </c>
      <c r="H217" t="b">
        <f t="shared" si="11"/>
        <v>0</v>
      </c>
      <c r="J217" s="3" t="str">
        <v>512</v>
      </c>
      <c r="K217" s="4" t="str">
        <v>Antandrus is annexed by Persian Empire</v>
      </c>
      <c r="P217" t="str">
        <v>514</v>
      </c>
      <c r="Q217" t="str">
        <v>Tenedos, Lesbos and Abydos is annexed by Persian Empire</v>
      </c>
    </row>
    <row r="218" spans="1:17" x14ac:dyDescent="0.25">
      <c r="A218" t="s">
        <v>217</v>
      </c>
      <c r="B218" t="str" cm="1">
        <f t="array" ref="B218">INDEX(_xlfn.TEXTSPLIT(A218, " "), 1)</f>
        <v>512</v>
      </c>
      <c r="C218" t="str" cm="1">
        <f t="array" ref="C218">INDEX(_xlfn.TEXTSPLIT(B218, "-"), 1)</f>
        <v>512</v>
      </c>
      <c r="D218" t="str" cm="1">
        <f t="array" ref="D218">IFERROR(INDEX(_xlfn.TEXTSPLIT(B218, "-"), 2), "")</f>
        <v/>
      </c>
      <c r="E218" t="str">
        <f t="shared" si="9"/>
        <v>Persian vassalization of Naxos</v>
      </c>
      <c r="F218" t="str">
        <f t="shared" si="10"/>
        <v/>
      </c>
      <c r="H218" t="b">
        <f t="shared" si="11"/>
        <v>0</v>
      </c>
      <c r="J218" s="3" t="str">
        <v>512</v>
      </c>
      <c r="K218" s="4" t="str">
        <v>Persian vassalization of Naxos</v>
      </c>
      <c r="P218" t="str">
        <v>513</v>
      </c>
      <c r="Q218" t="str">
        <v>Miltiades II defects from Athens to Persia</v>
      </c>
    </row>
    <row r="219" spans="1:17" x14ac:dyDescent="0.25">
      <c r="A219" t="s">
        <v>218</v>
      </c>
      <c r="B219" t="str" cm="1">
        <f t="array" ref="B219">INDEX(_xlfn.TEXTSPLIT(A219, " "), 1)</f>
        <v>511</v>
      </c>
      <c r="C219" t="str" cm="1">
        <f t="array" ref="C219">INDEX(_xlfn.TEXTSPLIT(B219, "-"), 1)</f>
        <v>511</v>
      </c>
      <c r="D219" t="str" cm="1">
        <f t="array" ref="D219">IFERROR(INDEX(_xlfn.TEXTSPLIT(B219, "-"), 2), "")</f>
        <v/>
      </c>
      <c r="E219" t="str">
        <f t="shared" si="9"/>
        <v>Piraeus is founded and annexed by Athens</v>
      </c>
      <c r="F219" t="str">
        <f t="shared" si="10"/>
        <v/>
      </c>
      <c r="H219" t="b">
        <f t="shared" si="11"/>
        <v>0</v>
      </c>
      <c r="J219" s="3" t="str">
        <v>511</v>
      </c>
      <c r="K219" s="4" t="str">
        <v>Piraeus is founded and annexed by Athens</v>
      </c>
      <c r="P219" t="str">
        <v>513</v>
      </c>
      <c r="Q219" t="str">
        <v>Myrcinos is founded by Ionians</v>
      </c>
    </row>
    <row r="220" spans="1:17" x14ac:dyDescent="0.25">
      <c r="A220" t="s">
        <v>219</v>
      </c>
      <c r="B220" t="str" cm="1">
        <f t="array" ref="B220">INDEX(_xlfn.TEXTSPLIT(A220, " "), 1)</f>
        <v>511</v>
      </c>
      <c r="C220" t="str" cm="1">
        <f t="array" ref="C220">INDEX(_xlfn.TEXTSPLIT(B220, "-"), 1)</f>
        <v>511</v>
      </c>
      <c r="D220" t="str" cm="1">
        <f t="array" ref="D220">IFERROR(INDEX(_xlfn.TEXTSPLIT(B220, "-"), 2), "")</f>
        <v/>
      </c>
      <c r="E220" t="str">
        <f t="shared" si="9"/>
        <v>Thracian Chernessos is annexed by Persian Empire</v>
      </c>
      <c r="F220" t="str">
        <f t="shared" si="10"/>
        <v/>
      </c>
      <c r="H220" t="b">
        <f t="shared" si="11"/>
        <v>0</v>
      </c>
      <c r="J220" s="3" t="str">
        <v>511</v>
      </c>
      <c r="K220" s="4" t="str">
        <v>Thracian Chernessos is annexed by Persian Empire</v>
      </c>
      <c r="P220" t="str">
        <v>513</v>
      </c>
      <c r="Q220" t="str">
        <v>Persia annexes Thrace (Region)</v>
      </c>
    </row>
    <row r="221" spans="1:17" x14ac:dyDescent="0.25">
      <c r="A221" t="s">
        <v>220</v>
      </c>
      <c r="B221" t="str" cm="1">
        <f t="array" ref="B221">INDEX(_xlfn.TEXTSPLIT(A221, " "), 1)</f>
        <v>510</v>
      </c>
      <c r="C221" t="str" cm="1">
        <f t="array" ref="C221">INDEX(_xlfn.TEXTSPLIT(B221, "-"), 1)</f>
        <v>510</v>
      </c>
      <c r="D221" t="str" cm="1">
        <f t="array" ref="D221">IFERROR(INDEX(_xlfn.TEXTSPLIT(B221, "-"), 2), "")</f>
        <v/>
      </c>
      <c r="E221" t="str">
        <f t="shared" si="9"/>
        <v>Kroton annexes Sybaris and overthrows Telys</v>
      </c>
      <c r="F221" t="str">
        <f t="shared" si="10"/>
        <v/>
      </c>
      <c r="H221" t="b">
        <f t="shared" si="11"/>
        <v>0</v>
      </c>
      <c r="J221" s="3" t="str">
        <v>510</v>
      </c>
      <c r="K221" s="4" t="str">
        <v>Kroton annexes Sybaris and overthrows Telys</v>
      </c>
      <c r="P221" t="str">
        <v>513</v>
      </c>
      <c r="Q221" t="str">
        <v>Cinyps, Libya, a failed Greek attempt to build a city under the leadership of Dorieus.[5]</v>
      </c>
    </row>
    <row r="222" spans="1:17" x14ac:dyDescent="0.25">
      <c r="A222" t="s">
        <v>221</v>
      </c>
      <c r="B222" t="str" cm="1">
        <f t="array" ref="B222">INDEX(_xlfn.TEXTSPLIT(A222, " "), 1)</f>
        <v>510</v>
      </c>
      <c r="C222" t="str" cm="1">
        <f t="array" ref="C222">INDEX(_xlfn.TEXTSPLIT(B222, "-"), 1)</f>
        <v>510</v>
      </c>
      <c r="D222" t="str" cm="1">
        <f t="array" ref="D222">IFERROR(INDEX(_xlfn.TEXTSPLIT(B222, "-"), 2), "")</f>
        <v/>
      </c>
      <c r="E222" t="str">
        <f t="shared" si="9"/>
        <v>Pythagoras establishes his own school.</v>
      </c>
      <c r="F222" t="str">
        <f t="shared" si="10"/>
        <v/>
      </c>
      <c r="H222" t="b">
        <f t="shared" si="11"/>
        <v>0</v>
      </c>
      <c r="J222" s="3" t="str">
        <v>510</v>
      </c>
      <c r="K222" s="4" t="str">
        <v>Pythagoras establishes his own school.</v>
      </c>
      <c r="P222" t="str">
        <v>512</v>
      </c>
      <c r="Q222" t="str">
        <v>Antandrus is annexed by Persian Empire</v>
      </c>
    </row>
    <row r="223" spans="1:17" x14ac:dyDescent="0.25">
      <c r="A223" t="s">
        <v>222</v>
      </c>
      <c r="B223" t="str" cm="1">
        <f t="array" ref="B223">INDEX(_xlfn.TEXTSPLIT(A223, " "), 1)</f>
        <v>510</v>
      </c>
      <c r="C223" t="str" cm="1">
        <f t="array" ref="C223">INDEX(_xlfn.TEXTSPLIT(B223, "-"), 1)</f>
        <v>510</v>
      </c>
      <c r="D223" t="str" cm="1">
        <f t="array" ref="D223">IFERROR(INDEX(_xlfn.TEXTSPLIT(B223, "-"), 2), "")</f>
        <v/>
      </c>
      <c r="E223" t="str">
        <f t="shared" si="9"/>
        <v>Peithagoras is overthrown by Euryleon</v>
      </c>
      <c r="F223" t="str">
        <f t="shared" si="10"/>
        <v/>
      </c>
      <c r="H223" t="b">
        <f t="shared" si="11"/>
        <v>0</v>
      </c>
      <c r="J223" s="3" t="str">
        <v>510</v>
      </c>
      <c r="K223" s="4" t="str">
        <v>Peithagoras is overthrown by Euryleon</v>
      </c>
      <c r="P223" t="str">
        <v>512</v>
      </c>
      <c r="Q223" t="str">
        <v>Persian vassalization of Naxos</v>
      </c>
    </row>
    <row r="224" spans="1:17" x14ac:dyDescent="0.25">
      <c r="A224" t="s">
        <v>223</v>
      </c>
      <c r="B224" t="str" cm="1">
        <f t="array" ref="B224">INDEX(_xlfn.TEXTSPLIT(A224, " "), 1)</f>
        <v>510</v>
      </c>
      <c r="C224" t="str" cm="1">
        <f t="array" ref="C224">INDEX(_xlfn.TEXTSPLIT(B224, "-"), 1)</f>
        <v>510</v>
      </c>
      <c r="D224" t="str" cm="1">
        <f t="array" ref="D224">IFERROR(INDEX(_xlfn.TEXTSPLIT(B224, "-"), 2), "")</f>
        <v/>
      </c>
      <c r="E224" t="str">
        <f t="shared" si="9"/>
        <v>Minoa is renamed Heraclea Minoa</v>
      </c>
      <c r="F224" t="str">
        <f t="shared" si="10"/>
        <v/>
      </c>
      <c r="H224" t="b">
        <f t="shared" si="11"/>
        <v>0</v>
      </c>
      <c r="J224" s="3" t="str">
        <v>510</v>
      </c>
      <c r="K224" s="4" t="str">
        <v>Minoa is renamed Heraclea Minoa</v>
      </c>
      <c r="P224" t="str">
        <v>511</v>
      </c>
      <c r="Q224" t="str">
        <v>Piraeus is founded and annexed by Athens</v>
      </c>
    </row>
    <row r="225" spans="1:17" x14ac:dyDescent="0.25">
      <c r="A225" t="s">
        <v>224</v>
      </c>
      <c r="B225" t="str" cm="1">
        <f t="array" ref="B225">INDEX(_xlfn.TEXTSPLIT(A225, " "), 1)</f>
        <v>510</v>
      </c>
      <c r="C225" t="str" cm="1">
        <f t="array" ref="C225">INDEX(_xlfn.TEXTSPLIT(B225, "-"), 1)</f>
        <v>510</v>
      </c>
      <c r="D225" t="str" cm="1">
        <f t="array" ref="D225">IFERROR(INDEX(_xlfn.TEXTSPLIT(B225, "-"), 2), "")</f>
        <v/>
      </c>
      <c r="E225" t="str">
        <f t="shared" si="9"/>
        <v>Cinyps is annexed by Carthage</v>
      </c>
      <c r="F225" t="str">
        <f t="shared" si="10"/>
        <v/>
      </c>
      <c r="H225" t="b">
        <f t="shared" si="11"/>
        <v>0</v>
      </c>
      <c r="J225" s="3" t="str">
        <v>510</v>
      </c>
      <c r="K225" s="4" t="str">
        <v>Cinyps is annexed by Carthage</v>
      </c>
      <c r="P225" t="str">
        <v>511</v>
      </c>
      <c r="Q225" t="str">
        <v>Thracian Chernessos is annexed by Persian Empire</v>
      </c>
    </row>
    <row r="226" spans="1:17" x14ac:dyDescent="0.25">
      <c r="A226" t="s">
        <v>225</v>
      </c>
      <c r="B226" t="str" cm="1">
        <f t="array" ref="B226">INDEX(_xlfn.TEXTSPLIT(A226, " "), 1)</f>
        <v>508</v>
      </c>
      <c r="C226" t="str" cm="1">
        <f t="array" ref="C226">INDEX(_xlfn.TEXTSPLIT(B226, "-"), 1)</f>
        <v>508</v>
      </c>
      <c r="D226" t="str" cm="1">
        <f t="array" ref="D226">IFERROR(INDEX(_xlfn.TEXTSPLIT(B226, "-"), 2), "")</f>
        <v/>
      </c>
      <c r="E226" t="str">
        <f t="shared" si="9"/>
        <v>Andros and Naxos are annexed by Persian Empire</v>
      </c>
      <c r="F226" t="str">
        <f t="shared" si="10"/>
        <v/>
      </c>
      <c r="H226" t="b">
        <f t="shared" si="11"/>
        <v>0</v>
      </c>
      <c r="J226" s="3" t="str">
        <v>508</v>
      </c>
      <c r="K226" s="4" t="str">
        <v>Andros and Naxos are annexed by Persian Empire</v>
      </c>
      <c r="P226" t="str">
        <v>510</v>
      </c>
      <c r="Q226" t="str">
        <v>Kroton annexes Sybaris and overthrows Telys</v>
      </c>
    </row>
    <row r="227" spans="1:17" x14ac:dyDescent="0.25">
      <c r="A227" t="s">
        <v>226</v>
      </c>
      <c r="B227" t="str" cm="1">
        <f t="array" ref="B227">INDEX(_xlfn.TEXTSPLIT(A227, " "), 1)</f>
        <v>508</v>
      </c>
      <c r="C227" t="str" cm="1">
        <f t="array" ref="C227">INDEX(_xlfn.TEXTSPLIT(B227, "-"), 1)</f>
        <v>508</v>
      </c>
      <c r="D227" t="str" cm="1">
        <f t="array" ref="D227">IFERROR(INDEX(_xlfn.TEXTSPLIT(B227, "-"), 2), "")</f>
        <v/>
      </c>
      <c r="E227" t="str">
        <f t="shared" si="9"/>
        <v>Hippias is forced to leave Athens.</v>
      </c>
      <c r="F227" t="str">
        <f t="shared" si="10"/>
        <v/>
      </c>
      <c r="H227" t="b">
        <f t="shared" si="11"/>
        <v>0</v>
      </c>
      <c r="J227" s="3" t="str">
        <v>508</v>
      </c>
      <c r="K227" s="4" t="str">
        <v>Hippias is forced to leave Athens.</v>
      </c>
      <c r="P227" t="str">
        <v>510</v>
      </c>
      <c r="Q227" t="str">
        <v>Pythagoras establishes his own school.</v>
      </c>
    </row>
    <row r="228" spans="1:17" x14ac:dyDescent="0.25">
      <c r="A228" t="s">
        <v>227</v>
      </c>
      <c r="B228" t="str" cm="1">
        <f t="array" ref="B228">INDEX(_xlfn.TEXTSPLIT(A228, " "), 1)</f>
        <v>507</v>
      </c>
      <c r="C228" t="str" cm="1">
        <f t="array" ref="C228">INDEX(_xlfn.TEXTSPLIT(B228, "-"), 1)</f>
        <v>507</v>
      </c>
      <c r="D228" t="str" cm="1">
        <f t="array" ref="D228">IFERROR(INDEX(_xlfn.TEXTSPLIT(B228, "-"), 2), "")</f>
        <v/>
      </c>
      <c r="E228" t="str">
        <f t="shared" si="9"/>
        <v>Plataea is sieged by Boeotian League</v>
      </c>
      <c r="F228" t="str">
        <f t="shared" si="10"/>
        <v/>
      </c>
      <c r="H228" t="b">
        <f t="shared" si="11"/>
        <v>0</v>
      </c>
      <c r="J228" s="3" t="str">
        <v>507</v>
      </c>
      <c r="K228" s="4" t="str">
        <v>Plataea is sieged by Boeotian League</v>
      </c>
      <c r="P228" t="str">
        <v>510</v>
      </c>
      <c r="Q228" t="str">
        <v>Peithagoras is overthrown by Euryleon</v>
      </c>
    </row>
    <row r="229" spans="1:17" x14ac:dyDescent="0.25">
      <c r="A229" t="s">
        <v>228</v>
      </c>
      <c r="B229" t="str" cm="1">
        <f t="array" ref="B229">INDEX(_xlfn.TEXTSPLIT(A229, " "), 1)</f>
        <v>507</v>
      </c>
      <c r="C229" t="str" cm="1">
        <f t="array" ref="C229">INDEX(_xlfn.TEXTSPLIT(B229, "-"), 1)</f>
        <v>507</v>
      </c>
      <c r="D229" t="str" cm="1">
        <f t="array" ref="D229">IFERROR(INDEX(_xlfn.TEXTSPLIT(B229, "-"), 2), "")</f>
        <v/>
      </c>
      <c r="E229" t="str">
        <f t="shared" si="9"/>
        <v>Cleisthenes, Greek reformer, takes power, increases democracy.</v>
      </c>
      <c r="F229" t="str">
        <f t="shared" si="10"/>
        <v/>
      </c>
      <c r="H229" t="b">
        <f t="shared" si="11"/>
        <v>0</v>
      </c>
      <c r="J229" s="3" t="str">
        <v>507</v>
      </c>
      <c r="K229" s="4" t="str">
        <v>Cleisthenes, Greek reformer, takes power, increases democracy.</v>
      </c>
      <c r="P229" t="str">
        <v>510</v>
      </c>
      <c r="Q229" t="str">
        <v>Minoa is renamed Heraclea Minoa</v>
      </c>
    </row>
    <row r="230" spans="1:17" x14ac:dyDescent="0.25">
      <c r="A230" t="s">
        <v>229</v>
      </c>
      <c r="B230" t="str" cm="1">
        <f t="array" ref="B230">INDEX(_xlfn.TEXTSPLIT(A230, " "), 1)</f>
        <v>506</v>
      </c>
      <c r="C230" t="str" cm="1">
        <f t="array" ref="C230">INDEX(_xlfn.TEXTSPLIT(B230, "-"), 1)</f>
        <v>506</v>
      </c>
      <c r="D230" t="str" cm="1">
        <f t="array" ref="D230">IFERROR(INDEX(_xlfn.TEXTSPLIT(B230, "-"), 2), "")</f>
        <v/>
      </c>
      <c r="E230" t="str">
        <f t="shared" si="9"/>
        <v>Boeotian League is repulsed from Plataea by Athens</v>
      </c>
      <c r="F230" t="str">
        <f t="shared" si="10"/>
        <v/>
      </c>
      <c r="H230" t="b">
        <f t="shared" si="11"/>
        <v>0</v>
      </c>
      <c r="J230" s="3" t="str">
        <v>506</v>
      </c>
      <c r="K230" s="4" t="str">
        <v>Boeotian League is repulsed from Plataea by Athens</v>
      </c>
      <c r="P230" t="str">
        <v>510</v>
      </c>
      <c r="Q230" t="str">
        <v>Cinyps is annexed by Carthage</v>
      </c>
    </row>
    <row r="231" spans="1:17" x14ac:dyDescent="0.25">
      <c r="A231" t="s">
        <v>230</v>
      </c>
      <c r="B231" t="str" cm="1">
        <f t="array" ref="B231">INDEX(_xlfn.TEXTSPLIT(A231, " "), 1)</f>
        <v>506</v>
      </c>
      <c r="C231" t="str" cm="1">
        <f t="array" ref="C231">INDEX(_xlfn.TEXTSPLIT(B231, "-"), 1)</f>
        <v>506</v>
      </c>
      <c r="D231" t="str" cm="1">
        <f t="array" ref="D231">IFERROR(INDEX(_xlfn.TEXTSPLIT(B231, "-"), 2), "")</f>
        <v/>
      </c>
      <c r="E231" t="str">
        <f t="shared" si="9"/>
        <v>Cumae is overthrown by Aristodemus</v>
      </c>
      <c r="F231" t="str">
        <f t="shared" si="10"/>
        <v/>
      </c>
      <c r="H231" t="b">
        <f t="shared" si="11"/>
        <v>0</v>
      </c>
      <c r="J231" s="3" t="str">
        <v>506</v>
      </c>
      <c r="K231" s="4" t="str">
        <v>Cumae is overthrown by Aristodemus</v>
      </c>
      <c r="P231" t="str">
        <v>508</v>
      </c>
      <c r="Q231" t="str">
        <v>Andros and Naxos are annexed by Persian Empire</v>
      </c>
    </row>
    <row r="232" spans="1:17" x14ac:dyDescent="0.25">
      <c r="A232" t="s">
        <v>231</v>
      </c>
      <c r="B232" t="str" cm="1">
        <f t="array" ref="B232">INDEX(_xlfn.TEXTSPLIT(A232, " "), 1)</f>
        <v>506</v>
      </c>
      <c r="C232" t="str" cm="1">
        <f t="array" ref="C232">INDEX(_xlfn.TEXTSPLIT(B232, "-"), 1)</f>
        <v>506</v>
      </c>
      <c r="D232" t="str" cm="1">
        <f t="array" ref="D232">IFERROR(INDEX(_xlfn.TEXTSPLIT(B232, "-"), 2), "")</f>
        <v/>
      </c>
      <c r="E232" t="str">
        <f t="shared" si="9"/>
        <v>Alcamenes is overthrown by Alcandros</v>
      </c>
      <c r="F232" t="str">
        <f t="shared" si="10"/>
        <v/>
      </c>
      <c r="H232" t="b">
        <f t="shared" si="11"/>
        <v>0</v>
      </c>
      <c r="J232" s="3" t="str">
        <v>506</v>
      </c>
      <c r="K232" s="4" t="str">
        <v>Alcamenes is overthrown by Alcandros</v>
      </c>
      <c r="P232" t="str">
        <v>508</v>
      </c>
      <c r="Q232" t="str">
        <v>Hippias is forced to leave Athens.</v>
      </c>
    </row>
    <row r="233" spans="1:17" x14ac:dyDescent="0.25">
      <c r="A233" t="s">
        <v>232</v>
      </c>
      <c r="B233" t="str" cm="1">
        <f t="array" ref="B233">INDEX(_xlfn.TEXTSPLIT(A233, " "), 1)</f>
        <v>506</v>
      </c>
      <c r="C233" t="str" cm="1">
        <f t="array" ref="C233">INDEX(_xlfn.TEXTSPLIT(B233, "-"), 1)</f>
        <v>506</v>
      </c>
      <c r="D233" t="str" cm="1">
        <f t="array" ref="D233">IFERROR(INDEX(_xlfn.TEXTSPLIT(B233, "-"), 2), "")</f>
        <v/>
      </c>
      <c r="E233" t="str">
        <f t="shared" si="9"/>
        <v>The Levantine Plain is conquered by Athens and becomes a Cleurchy</v>
      </c>
      <c r="F233" t="str">
        <f t="shared" si="10"/>
        <v/>
      </c>
      <c r="H233" t="b">
        <f t="shared" si="11"/>
        <v>0</v>
      </c>
      <c r="J233" s="3" t="str">
        <v>506</v>
      </c>
      <c r="K233" s="4" t="str">
        <v>The Levantine Plain is conquered by Athens and becomes a Cleurchy</v>
      </c>
      <c r="P233" t="str">
        <v>507</v>
      </c>
      <c r="Q233" t="str">
        <v>Plataea is sieged by Boeotian League</v>
      </c>
    </row>
    <row r="234" spans="1:17" x14ac:dyDescent="0.25">
      <c r="A234" t="s">
        <v>233</v>
      </c>
      <c r="B234" t="str" cm="1">
        <f t="array" ref="B234">INDEX(_xlfn.TEXTSPLIT(A234, " "), 1)</f>
        <v>505</v>
      </c>
      <c r="C234" t="str" cm="1">
        <f t="array" ref="C234">INDEX(_xlfn.TEXTSPLIT(B234, "-"), 1)</f>
        <v>505</v>
      </c>
      <c r="D234" t="str" cm="1">
        <f t="array" ref="D234">IFERROR(INDEX(_xlfn.TEXTSPLIT(B234, "-"), 2), "")</f>
        <v/>
      </c>
      <c r="E234" t="str">
        <f t="shared" si="9"/>
        <v>Hegesistratos of Sigeion dies</v>
      </c>
      <c r="F234" t="str">
        <f t="shared" si="10"/>
        <v/>
      </c>
      <c r="H234" t="b">
        <f t="shared" si="11"/>
        <v>0</v>
      </c>
      <c r="J234" s="3" t="str">
        <v>505</v>
      </c>
      <c r="K234" s="4" t="str">
        <v>Hegesistratos of Sigeion dies</v>
      </c>
      <c r="P234" t="str">
        <v>507</v>
      </c>
      <c r="Q234" t="str">
        <v>Cleisthenes, Greek reformer, takes power, increases democracy.</v>
      </c>
    </row>
    <row r="235" spans="1:17" x14ac:dyDescent="0.25">
      <c r="A235" t="s">
        <v>234</v>
      </c>
      <c r="B235" t="str" cm="1">
        <f t="array" ref="B235">INDEX(_xlfn.TEXTSPLIT(A235, " "), 1)</f>
        <v>505</v>
      </c>
      <c r="C235" t="str" cm="1">
        <f t="array" ref="C235">INDEX(_xlfn.TEXTSPLIT(B235, "-"), 1)</f>
        <v>505</v>
      </c>
      <c r="D235" t="str" cm="1">
        <f t="array" ref="D235">IFERROR(INDEX(_xlfn.TEXTSPLIT(B235, "-"), 2), "")</f>
        <v/>
      </c>
      <c r="E235" t="str">
        <f t="shared" si="9"/>
        <v>Cleander overthrows Gela</v>
      </c>
      <c r="F235" t="str">
        <f t="shared" si="10"/>
        <v/>
      </c>
      <c r="H235" t="b">
        <f t="shared" si="11"/>
        <v>0</v>
      </c>
      <c r="J235" s="3" t="str">
        <v>505</v>
      </c>
      <c r="K235" s="4" t="str">
        <v>Cleander overthrows Gela</v>
      </c>
      <c r="P235" t="str">
        <v>506</v>
      </c>
      <c r="Q235" t="str">
        <v>Boeotian League is repulsed from Plataea by Athens</v>
      </c>
    </row>
    <row r="236" spans="1:17" x14ac:dyDescent="0.25">
      <c r="A236" t="s">
        <v>235</v>
      </c>
      <c r="B236" t="str" cm="1">
        <f t="array" ref="B236">INDEX(_xlfn.TEXTSPLIT(A236, " "), 1)</f>
        <v>504</v>
      </c>
      <c r="C236" t="str" cm="1">
        <f t="array" ref="C236">INDEX(_xlfn.TEXTSPLIT(B236, "-"), 1)</f>
        <v>504</v>
      </c>
      <c r="D236" t="str" cm="1">
        <f t="array" ref="D236">IFERROR(INDEX(_xlfn.TEXTSPLIT(B236, "-"), 2), "")</f>
        <v/>
      </c>
      <c r="E236" t="str">
        <f t="shared" si="9"/>
        <v>Cleinias overthrows Croton</v>
      </c>
      <c r="F236" t="str">
        <f t="shared" si="10"/>
        <v/>
      </c>
      <c r="H236" t="b">
        <f t="shared" si="11"/>
        <v>0</v>
      </c>
      <c r="J236" s="3" t="str">
        <v>504</v>
      </c>
      <c r="K236" s="4" t="str">
        <v>Cleinias overthrows Croton</v>
      </c>
      <c r="P236" t="str">
        <v>506</v>
      </c>
      <c r="Q236" t="str">
        <v>Cumae is overthrown by Aristodemus</v>
      </c>
    </row>
    <row r="237" spans="1:17" x14ac:dyDescent="0.25">
      <c r="A237" t="s">
        <v>236</v>
      </c>
      <c r="B237" t="str" cm="1">
        <f t="array" ref="B237">INDEX(_xlfn.TEXTSPLIT(A237, " "), 1)</f>
        <v>504</v>
      </c>
      <c r="C237" t="str" cm="1">
        <f t="array" ref="C237">INDEX(_xlfn.TEXTSPLIT(B237, "-"), 1)</f>
        <v>504</v>
      </c>
      <c r="D237" t="str" cm="1">
        <f t="array" ref="D237">IFERROR(INDEX(_xlfn.TEXTSPLIT(B237, "-"), 2), "")</f>
        <v/>
      </c>
      <c r="E237" t="str">
        <f t="shared" si="9"/>
        <v>Taras defeats the Iapygians</v>
      </c>
      <c r="F237" t="str">
        <f t="shared" si="10"/>
        <v/>
      </c>
      <c r="H237" t="b">
        <f t="shared" si="11"/>
        <v>0</v>
      </c>
      <c r="J237" s="3" t="str">
        <v>504</v>
      </c>
      <c r="K237" s="4" t="str">
        <v>Taras defeats the Iapygians</v>
      </c>
      <c r="P237" t="str">
        <v>506</v>
      </c>
      <c r="Q237" t="str">
        <v>Alcamenes is overthrown by Alcandros</v>
      </c>
    </row>
    <row r="238" spans="1:17" x14ac:dyDescent="0.25">
      <c r="A238" t="s">
        <v>237</v>
      </c>
      <c r="B238" t="str" cm="1">
        <f t="array" ref="B238">INDEX(_xlfn.TEXTSPLIT(A238, " "), 1)</f>
        <v>503</v>
      </c>
      <c r="C238" t="str" cm="1">
        <f t="array" ref="C238">INDEX(_xlfn.TEXTSPLIT(B238, "-"), 1)</f>
        <v>503</v>
      </c>
      <c r="D238" t="str" cm="1">
        <f t="array" ref="D238">IFERROR(INDEX(_xlfn.TEXTSPLIT(B238, "-"), 2), "")</f>
        <v/>
      </c>
      <c r="E238" t="str">
        <f t="shared" si="9"/>
        <v>Naxos declares independence from the Persian Empire</v>
      </c>
      <c r="F238" t="str">
        <f t="shared" si="10"/>
        <v/>
      </c>
      <c r="H238" t="b">
        <f t="shared" si="11"/>
        <v>0</v>
      </c>
      <c r="J238" s="3" t="str">
        <v>503</v>
      </c>
      <c r="K238" s="4" t="str">
        <v>Naxos declares independence from the Persian Empire</v>
      </c>
      <c r="P238" t="str">
        <v>506</v>
      </c>
      <c r="Q238" t="str">
        <v>The Levantine Plain is conquered by Athens and becomes a Cleurchy</v>
      </c>
    </row>
    <row r="239" spans="1:17" x14ac:dyDescent="0.25">
      <c r="A239" t="s">
        <v>238</v>
      </c>
      <c r="B239" t="str" cm="1">
        <f t="array" ref="B239">INDEX(_xlfn.TEXTSPLIT(A239, " "), 1)</f>
        <v>502</v>
      </c>
      <c r="C239" t="str" cm="1">
        <f t="array" ref="C239">INDEX(_xlfn.TEXTSPLIT(B239, "-"), 1)</f>
        <v>502</v>
      </c>
      <c r="D239" t="str" cm="1">
        <f t="array" ref="D239">IFERROR(INDEX(_xlfn.TEXTSPLIT(B239, "-"), 2), "")</f>
        <v/>
      </c>
      <c r="E239" t="str">
        <f t="shared" si="9"/>
        <v>Euryleon is overthrown by Selinus</v>
      </c>
      <c r="F239" t="str">
        <f t="shared" si="10"/>
        <v/>
      </c>
      <c r="H239" t="b">
        <f t="shared" si="11"/>
        <v>0</v>
      </c>
      <c r="J239" s="3" t="str">
        <v>502</v>
      </c>
      <c r="K239" s="4" t="str">
        <v>Euryleon is overthrown by Selinus</v>
      </c>
      <c r="P239" t="str">
        <v>505</v>
      </c>
      <c r="Q239" t="str">
        <v>Hegesistratos of Sigeion dies</v>
      </c>
    </row>
    <row r="240" spans="1:17" x14ac:dyDescent="0.25">
      <c r="A240" t="s">
        <v>239</v>
      </c>
      <c r="B240" t="str" cm="1">
        <f t="array" ref="B240">INDEX(_xlfn.TEXTSPLIT(A240, " "), 1)</f>
        <v>500</v>
      </c>
      <c r="C240" t="str" cm="1">
        <f t="array" ref="C240">INDEX(_xlfn.TEXTSPLIT(B240, "-"), 1)</f>
        <v>500</v>
      </c>
      <c r="D240" t="str" cm="1">
        <f t="array" ref="D240">IFERROR(INDEX(_xlfn.TEXTSPLIT(B240, "-"), 2), "")</f>
        <v/>
      </c>
      <c r="E240" t="str">
        <f t="shared" si="9"/>
        <v>Pythagoras dies in Croton, Italy</v>
      </c>
      <c r="F240" t="str">
        <f t="shared" si="10"/>
        <v/>
      </c>
      <c r="H240" t="b">
        <f t="shared" si="11"/>
        <v>0</v>
      </c>
      <c r="J240" s="3" t="str">
        <v>500</v>
      </c>
      <c r="K240" s="4" t="str">
        <v>Pythagoras dies in Croton, Italy</v>
      </c>
      <c r="P240" t="str">
        <v>505</v>
      </c>
      <c r="Q240" t="str">
        <v>Cleander overthrows Gela</v>
      </c>
    </row>
    <row r="241" spans="1:17" x14ac:dyDescent="0.25">
      <c r="A241" t="s">
        <v>240</v>
      </c>
      <c r="B241" t="str" cm="1">
        <f t="array" ref="B241">INDEX(_xlfn.TEXTSPLIT(A241, " "), 1)</f>
        <v>500</v>
      </c>
      <c r="C241" t="str" cm="1">
        <f t="array" ref="C241">INDEX(_xlfn.TEXTSPLIT(B241, "-"), 1)</f>
        <v>500</v>
      </c>
      <c r="D241" t="str" cm="1">
        <f t="array" ref="D241">IFERROR(INDEX(_xlfn.TEXTSPLIT(B241, "-"), 2), "")</f>
        <v/>
      </c>
      <c r="E241" t="str">
        <f t="shared" si="9"/>
        <v>Heraclea Minoa is sacked by Carthage</v>
      </c>
      <c r="F241" t="str">
        <f t="shared" si="10"/>
        <v/>
      </c>
      <c r="H241" t="b">
        <f t="shared" si="11"/>
        <v>0</v>
      </c>
      <c r="J241" s="3" t="str">
        <v>500</v>
      </c>
      <c r="K241" s="4" t="str">
        <v>Heraclea Minoa is sacked by Carthage</v>
      </c>
      <c r="P241" t="str">
        <v>504</v>
      </c>
      <c r="Q241" t="str">
        <v>Cleinias overthrows Croton</v>
      </c>
    </row>
    <row r="242" spans="1:17" x14ac:dyDescent="0.25">
      <c r="A242" t="s">
        <v>241</v>
      </c>
      <c r="B242" t="str" cm="1">
        <f t="array" ref="B242">INDEX(_xlfn.TEXTSPLIT(A242, " "), 1)</f>
        <v>500</v>
      </c>
      <c r="C242" t="str" cm="1">
        <f t="array" ref="C242">INDEX(_xlfn.TEXTSPLIT(B242, "-"), 1)</f>
        <v>500</v>
      </c>
      <c r="D242" t="str" cm="1">
        <f t="array" ref="D242">IFERROR(INDEX(_xlfn.TEXTSPLIT(B242, "-"), 2), "")</f>
        <v/>
      </c>
      <c r="E242" t="str">
        <f t="shared" si="9"/>
        <v>Morgantina and Centuripe are hellenized and Licodia is founded by Leontini</v>
      </c>
      <c r="F242" t="str">
        <f t="shared" si="10"/>
        <v/>
      </c>
      <c r="H242" t="b">
        <f t="shared" si="11"/>
        <v>0</v>
      </c>
      <c r="J242" s="3" t="str">
        <v>500</v>
      </c>
      <c r="K242" s="4" t="str">
        <v>Morgantina and Centuripe are hellenized and Licodia is founded by Leontini</v>
      </c>
      <c r="P242" t="str">
        <v>504</v>
      </c>
      <c r="Q242" t="str">
        <v>Taras defeats the Iapygians</v>
      </c>
    </row>
    <row r="243" spans="1:17" x14ac:dyDescent="0.25">
      <c r="A243" t="s">
        <v>242</v>
      </c>
      <c r="B243" t="str" cm="1">
        <f t="array" ref="B243">INDEX(_xlfn.TEXTSPLIT(A243, " "), 1)</f>
        <v>499</v>
      </c>
      <c r="C243" t="str" cm="1">
        <f t="array" ref="C243">INDEX(_xlfn.TEXTSPLIT(B243, "-"), 1)</f>
        <v>499</v>
      </c>
      <c r="D243" t="str" cm="1">
        <f t="array" ref="D243">IFERROR(INDEX(_xlfn.TEXTSPLIT(B243, "-"), 2), "")</f>
        <v/>
      </c>
      <c r="E243" t="str">
        <f t="shared" si="9"/>
        <v>Miletus Siege of Naxos (Naxan Victory)</v>
      </c>
      <c r="F243" t="str">
        <f t="shared" si="10"/>
        <v/>
      </c>
      <c r="H243" t="b">
        <f t="shared" si="11"/>
        <v>0</v>
      </c>
      <c r="J243" s="3" t="str">
        <v>499</v>
      </c>
      <c r="K243" s="4" t="str">
        <v>Miletus Siege of Naxos (Naxan Victory)</v>
      </c>
      <c r="P243" t="str">
        <v>503</v>
      </c>
      <c r="Q243" t="str">
        <v>Naxos declares independence from the Persian Empire</v>
      </c>
    </row>
    <row r="244" spans="1:17" x14ac:dyDescent="0.25">
      <c r="A244" t="s">
        <v>243</v>
      </c>
      <c r="B244" t="str" cm="1">
        <f t="array" ref="B244">INDEX(_xlfn.TEXTSPLIT(A244, " "), 1)</f>
        <v>499</v>
      </c>
      <c r="C244" t="str" cm="1">
        <f t="array" ref="C244">INDEX(_xlfn.TEXTSPLIT(B244, "-"), 1)</f>
        <v>499</v>
      </c>
      <c r="D244" t="str" cm="1">
        <f t="array" ref="D244">IFERROR(INDEX(_xlfn.TEXTSPLIT(B244, "-"), 2), "")</f>
        <v/>
      </c>
      <c r="E244" t="str">
        <f t="shared" si="9"/>
        <v>Independence of Paros</v>
      </c>
      <c r="F244" t="str">
        <f t="shared" si="10"/>
        <v/>
      </c>
      <c r="H244" t="b">
        <f t="shared" si="11"/>
        <v>0</v>
      </c>
      <c r="J244" s="3" t="str">
        <v>499</v>
      </c>
      <c r="K244" s="4" t="str">
        <v>Independence of Paros</v>
      </c>
      <c r="P244" t="str">
        <v>502</v>
      </c>
      <c r="Q244" t="str">
        <v>Euryleon is overthrown by Selinus</v>
      </c>
    </row>
    <row r="245" spans="1:17" x14ac:dyDescent="0.25">
      <c r="A245" t="s">
        <v>244</v>
      </c>
      <c r="B245" t="str" cm="1">
        <f t="array" ref="B245">INDEX(_xlfn.TEXTSPLIT(A245, " "), 1)</f>
        <v>499</v>
      </c>
      <c r="C245" t="str" cm="1">
        <f t="array" ref="C245">INDEX(_xlfn.TEXTSPLIT(B245, "-"), 1)</f>
        <v>499</v>
      </c>
      <c r="D245" t="str" cm="1">
        <f t="array" ref="D245">IFERROR(INDEX(_xlfn.TEXTSPLIT(B245, "-"), 2), "")</f>
        <v/>
      </c>
      <c r="E245" t="str">
        <f t="shared" si="9"/>
        <v>Alcandros is overthrown by Akragas</v>
      </c>
      <c r="F245" t="str">
        <f t="shared" si="10"/>
        <v/>
      </c>
      <c r="H245" t="b">
        <f t="shared" si="11"/>
        <v>0</v>
      </c>
      <c r="J245" s="3" t="str">
        <v>499</v>
      </c>
      <c r="K245" s="4" t="str">
        <v>Alcandros is overthrown by Akragas</v>
      </c>
      <c r="P245" t="str">
        <v>500</v>
      </c>
      <c r="Q245" t="str">
        <v>Pythagoras dies in Croton, Italy</v>
      </c>
    </row>
    <row r="246" spans="1:17" x14ac:dyDescent="0.25">
      <c r="A246" t="s">
        <v>245</v>
      </c>
      <c r="B246" t="str" cm="1">
        <f t="array" ref="B246">INDEX(_xlfn.TEXTSPLIT(A246, " "), 1)</f>
        <v>499</v>
      </c>
      <c r="C246" t="str" cm="1">
        <f t="array" ref="C246">INDEX(_xlfn.TEXTSPLIT(B246, "-"), 1)</f>
        <v>499</v>
      </c>
      <c r="D246" t="str" cm="1">
        <f t="array" ref="D246">IFERROR(INDEX(_xlfn.TEXTSPLIT(B246, "-"), 2), "")</f>
        <v/>
      </c>
      <c r="E246" t="str">
        <f t="shared" si="9"/>
        <v>Ionian Revolt starts</v>
      </c>
      <c r="F246" t="str">
        <f t="shared" si="10"/>
        <v/>
      </c>
      <c r="H246" t="b">
        <f t="shared" si="11"/>
        <v>0</v>
      </c>
      <c r="J246" s="3" t="str">
        <v>499</v>
      </c>
      <c r="K246" s="4" t="str">
        <v>Ionian Revolt starts</v>
      </c>
      <c r="P246" t="str">
        <v>500</v>
      </c>
      <c r="Q246" t="str">
        <v>Heraclea Minoa is sacked by Carthage</v>
      </c>
    </row>
    <row r="247" spans="1:17" x14ac:dyDescent="0.25">
      <c r="A247" t="s">
        <v>246</v>
      </c>
      <c r="B247" t="str" cm="1">
        <f t="array" ref="B247">INDEX(_xlfn.TEXTSPLIT(A247, " "), 1)</f>
        <v>499</v>
      </c>
      <c r="C247" t="str" cm="1">
        <f t="array" ref="C247">INDEX(_xlfn.TEXTSPLIT(B247, "-"), 1)</f>
        <v>499</v>
      </c>
      <c r="D247" t="str" cm="1">
        <f t="array" ref="D247">IFERROR(INDEX(_xlfn.TEXTSPLIT(B247, "-"), 2), "")</f>
        <v/>
      </c>
      <c r="E247" t="str">
        <f t="shared" si="9"/>
        <v>Éphesos, Klazomenai, Mílētos, Samos, Myus, Chios, Samos, Mytilene, Mylasa, Termera, Kyme and Priene declare independence from Persian Empire</v>
      </c>
      <c r="F247" t="str">
        <f t="shared" si="10"/>
        <v/>
      </c>
      <c r="H247" t="b">
        <f t="shared" si="11"/>
        <v>0</v>
      </c>
      <c r="J247" s="3" t="str">
        <v>499</v>
      </c>
      <c r="K247" s="4" t="str">
        <v>Éphesos, Klazomenai, Mílētos, Samos, Myus, Chios, Samos, Mytilene, Mylasa, Termera, Kyme and Priene declare independence from Persian Empire</v>
      </c>
      <c r="P247" t="str">
        <v>500</v>
      </c>
      <c r="Q247" t="str">
        <v>Morgantina and Centuripe are hellenized and Licodia is founded by Leontini</v>
      </c>
    </row>
    <row r="248" spans="1:17" x14ac:dyDescent="0.25">
      <c r="A248" t="s">
        <v>247</v>
      </c>
      <c r="B248" t="str" cm="1">
        <f t="array" ref="B248">INDEX(_xlfn.TEXTSPLIT(A248, " "), 1)</f>
        <v>498</v>
      </c>
      <c r="C248" t="str" cm="1">
        <f t="array" ref="C248">INDEX(_xlfn.TEXTSPLIT(B248, "-"), 1)</f>
        <v>498</v>
      </c>
      <c r="D248" t="str" cm="1">
        <f t="array" ref="D248">IFERROR(INDEX(_xlfn.TEXTSPLIT(B248, "-"), 2), "")</f>
        <v/>
      </c>
      <c r="E248" t="str">
        <f t="shared" si="9"/>
        <v>Cyprus (Except Amathos), Caria, Paesos, Abydos, Cios, Percote, Lampsakos, Myrcinos, Tenedos, Dardanos, and Byzantium declare independence from Persian Empire</v>
      </c>
      <c r="F248" t="str">
        <f t="shared" si="10"/>
        <v/>
      </c>
      <c r="H248" t="b">
        <f t="shared" si="11"/>
        <v>0</v>
      </c>
      <c r="J248" s="3" t="str">
        <v>498</v>
      </c>
      <c r="K248" s="4" t="str">
        <v>Cyprus (Except Amathos), Caria, Paesos, Abydos, Cios, Percote, Lampsakos, Myrcinos, Tenedos, Dardanos, and Byzantium declare independence from Persian Empire</v>
      </c>
      <c r="P248" t="str">
        <v>499</v>
      </c>
      <c r="Q248" t="str">
        <v>Miletus Siege of Naxos (Naxan Victory)</v>
      </c>
    </row>
    <row r="249" spans="1:17" x14ac:dyDescent="0.25">
      <c r="A249" t="s">
        <v>248</v>
      </c>
      <c r="B249" t="str" cm="1">
        <f t="array" ref="B249">INDEX(_xlfn.TEXTSPLIT(A249, " "), 1)</f>
        <v>498</v>
      </c>
      <c r="C249" t="str" cm="1">
        <f t="array" ref="C249">INDEX(_xlfn.TEXTSPLIT(B249, "-"), 1)</f>
        <v>498</v>
      </c>
      <c r="D249" t="str" cm="1">
        <f t="array" ref="D249">IFERROR(INDEX(_xlfn.TEXTSPLIT(B249, "-"), 2), "")</f>
        <v/>
      </c>
      <c r="E249" t="str">
        <f t="shared" si="9"/>
        <v>Amathos is sieged by Cyprus</v>
      </c>
      <c r="F249" t="str">
        <f t="shared" si="10"/>
        <v/>
      </c>
      <c r="H249" t="b">
        <f t="shared" si="11"/>
        <v>0</v>
      </c>
      <c r="J249" s="3" t="str">
        <v>498</v>
      </c>
      <c r="K249" s="4" t="str">
        <v>Amathos is sieged by Cyprus</v>
      </c>
      <c r="P249" t="str">
        <v>499</v>
      </c>
      <c r="Q249" t="str">
        <v>Independence of Paros</v>
      </c>
    </row>
    <row r="250" spans="1:17" x14ac:dyDescent="0.25">
      <c r="A250" t="s">
        <v>249</v>
      </c>
      <c r="B250" t="str" cm="1">
        <f t="array" ref="B250">INDEX(_xlfn.TEXTSPLIT(A250, " "), 1)</f>
        <v>498</v>
      </c>
      <c r="C250" t="str" cm="1">
        <f t="array" ref="C250">INDEX(_xlfn.TEXTSPLIT(B250, "-"), 1)</f>
        <v>498</v>
      </c>
      <c r="D250" t="str" cm="1">
        <f t="array" ref="D250">IFERROR(INDEX(_xlfn.TEXTSPLIT(B250, "-"), 2), "")</f>
        <v/>
      </c>
      <c r="E250" t="str">
        <f t="shared" si="9"/>
        <v>Cleander is overthrown by Hippocrates</v>
      </c>
      <c r="F250" t="str">
        <f t="shared" si="10"/>
        <v/>
      </c>
      <c r="H250" t="b">
        <f t="shared" si="11"/>
        <v>0</v>
      </c>
      <c r="J250" s="3" t="str">
        <v>498</v>
      </c>
      <c r="K250" s="4" t="str">
        <v>Cleander is overthrown by Hippocrates</v>
      </c>
      <c r="P250" t="str">
        <v>499</v>
      </c>
      <c r="Q250" t="str">
        <v>Alcandros is overthrown by Akragas</v>
      </c>
    </row>
    <row r="251" spans="1:17" x14ac:dyDescent="0.25">
      <c r="A251" t="s">
        <v>250</v>
      </c>
      <c r="B251" t="str" cm="1">
        <f t="array" ref="B251">INDEX(_xlfn.TEXTSPLIT(A251, " "), 1)</f>
        <v>498</v>
      </c>
      <c r="C251" t="str" cm="1">
        <f t="array" ref="C251">INDEX(_xlfn.TEXTSPLIT(B251, "-"), 1)</f>
        <v>498</v>
      </c>
      <c r="D251" t="str" cm="1">
        <f t="array" ref="D251">IFERROR(INDEX(_xlfn.TEXTSPLIT(B251, "-"), 2), "")</f>
        <v/>
      </c>
      <c r="E251" t="str">
        <f t="shared" si="9"/>
        <v>Hippocrates vassalized Leontini and puts Aenesidemus as tyrant</v>
      </c>
      <c r="F251" t="str">
        <f t="shared" si="10"/>
        <v/>
      </c>
      <c r="H251" t="b">
        <f t="shared" si="11"/>
        <v>0</v>
      </c>
      <c r="J251" s="3" t="str">
        <v>498</v>
      </c>
      <c r="K251" s="4" t="str">
        <v>Hippocrates vassalized Leontini and puts Aenesidemus as tyrant</v>
      </c>
      <c r="P251" t="str">
        <v>499</v>
      </c>
      <c r="Q251" t="str">
        <v>Ionian Revolt starts</v>
      </c>
    </row>
    <row r="252" spans="1:17" x14ac:dyDescent="0.25">
      <c r="A252" t="s">
        <v>251</v>
      </c>
      <c r="B252" t="str" cm="1">
        <f t="array" ref="B252">INDEX(_xlfn.TEXTSPLIT(A252, " "), 1)</f>
        <v>498</v>
      </c>
      <c r="C252" t="str" cm="1">
        <f t="array" ref="C252">INDEX(_xlfn.TEXTSPLIT(B252, "-"), 1)</f>
        <v>498</v>
      </c>
      <c r="D252" t="str" cm="1">
        <f t="array" ref="D252">IFERROR(INDEX(_xlfn.TEXTSPLIT(B252, "-"), 2), "")</f>
        <v/>
      </c>
      <c r="E252" t="str">
        <f t="shared" si="9"/>
        <v>Licodia is annexed by Syracuse</v>
      </c>
      <c r="F252" t="str">
        <f t="shared" si="10"/>
        <v/>
      </c>
      <c r="H252" t="b">
        <f t="shared" si="11"/>
        <v>0</v>
      </c>
      <c r="J252" s="3" t="str">
        <v>498</v>
      </c>
      <c r="K252" s="4" t="str">
        <v>Licodia is annexed by Syracuse</v>
      </c>
      <c r="P252" t="str">
        <v>499</v>
      </c>
      <c r="Q252" t="str">
        <v>Éphesos, Klazomenai, Mílētos, Samos, Myus, Chios, Samos, Mytilene, Mylasa, Termera, Kyme and Priene declare independence from Persian Empire</v>
      </c>
    </row>
    <row r="253" spans="1:17" x14ac:dyDescent="0.25">
      <c r="A253" t="s">
        <v>252</v>
      </c>
      <c r="B253" t="str" cm="1">
        <f t="array" ref="B253">INDEX(_xlfn.TEXTSPLIT(A253, " "), 1)</f>
        <v>497</v>
      </c>
      <c r="C253" t="str" cm="1">
        <f t="array" ref="C253">INDEX(_xlfn.TEXTSPLIT(B253, "-"), 1)</f>
        <v>497</v>
      </c>
      <c r="D253" t="str" cm="1">
        <f t="array" ref="D253">IFERROR(INDEX(_xlfn.TEXTSPLIT(B253, "-"), 2), "")</f>
        <v/>
      </c>
      <c r="E253" t="str">
        <f t="shared" si="9"/>
        <v>Eion is sieged by Athens</v>
      </c>
      <c r="F253" t="str">
        <f t="shared" si="10"/>
        <v/>
      </c>
      <c r="H253" t="b">
        <f t="shared" si="11"/>
        <v>0</v>
      </c>
      <c r="J253" s="3" t="str">
        <v>497</v>
      </c>
      <c r="K253" s="4" t="str">
        <v>Eion is sieged by Athens</v>
      </c>
      <c r="P253" t="str">
        <v>498</v>
      </c>
      <c r="Q253" t="str">
        <v>Cyprus (Except Amathos), Caria, Paesos, Abydos, Cios, Percote, Lampsakos, Myrcinos, Tenedos, Dardanos, and Byzantium declare independence from Persian Empire</v>
      </c>
    </row>
    <row r="254" spans="1:17" x14ac:dyDescent="0.25">
      <c r="A254" t="s">
        <v>253</v>
      </c>
      <c r="B254" t="str" cm="1">
        <f t="array" ref="B254">INDEX(_xlfn.TEXTSPLIT(A254, " "), 1)</f>
        <v>497</v>
      </c>
      <c r="C254" t="str" cm="1">
        <f t="array" ref="C254">INDEX(_xlfn.TEXTSPLIT(B254, "-"), 1)</f>
        <v>497</v>
      </c>
      <c r="D254" t="str" cm="1">
        <f t="array" ref="D254">IFERROR(INDEX(_xlfn.TEXTSPLIT(B254, "-"), 2), "")</f>
        <v/>
      </c>
      <c r="E254" t="str">
        <f t="shared" si="9"/>
        <v>Dardanos, Myrcinos, Abydos, Kyme, Klazomenai, Percote, Lampsakos, Cyprus, Cios and Paesos are reannexed by Persian Empire</v>
      </c>
      <c r="F254" t="str">
        <f t="shared" si="10"/>
        <v/>
      </c>
      <c r="H254" t="b">
        <f t="shared" si="11"/>
        <v>0</v>
      </c>
      <c r="J254" s="3" t="str">
        <v>497</v>
      </c>
      <c r="K254" s="4" t="str">
        <v>Dardanos, Myrcinos, Abydos, Kyme, Klazomenai, Percote, Lampsakos, Cyprus, Cios and Paesos are reannexed by Persian Empire</v>
      </c>
      <c r="P254" t="str">
        <v>498</v>
      </c>
      <c r="Q254" t="str">
        <v>Amathos is sieged by Cyprus</v>
      </c>
    </row>
    <row r="255" spans="1:17" x14ac:dyDescent="0.25">
      <c r="A255" t="s">
        <v>254</v>
      </c>
      <c r="B255" t="str" cm="1">
        <f t="array" ref="B255">INDEX(_xlfn.TEXTSPLIT(A255, " "), 1)</f>
        <v>497</v>
      </c>
      <c r="C255" t="str" cm="1">
        <f t="array" ref="C255">INDEX(_xlfn.TEXTSPLIT(B255, "-"), 1)</f>
        <v>497</v>
      </c>
      <c r="D255" t="str" cm="1">
        <f t="array" ref="D255">IFERROR(INDEX(_xlfn.TEXTSPLIT(B255, "-"), 2), "")</f>
        <v/>
      </c>
      <c r="E255" t="str">
        <f t="shared" si="9"/>
        <v>Catania is vassalized by Hippocrates and Deinmenes is put in charge as tyrant</v>
      </c>
      <c r="F255" t="str">
        <f t="shared" si="10"/>
        <v/>
      </c>
      <c r="H255" t="b">
        <f t="shared" si="11"/>
        <v>0</v>
      </c>
      <c r="J255" s="3" t="str">
        <v>497</v>
      </c>
      <c r="K255" s="4" t="str">
        <v>Catania is vassalized by Hippocrates and Deinmenes is put in charge as tyrant</v>
      </c>
      <c r="P255" t="str">
        <v>498</v>
      </c>
      <c r="Q255" t="str">
        <v>Cleander is overthrown by Hippocrates</v>
      </c>
    </row>
    <row r="256" spans="1:17" x14ac:dyDescent="0.25">
      <c r="A256" t="s">
        <v>255</v>
      </c>
      <c r="B256" t="str" cm="1">
        <f t="array" ref="B256">INDEX(_xlfn.TEXTSPLIT(A256, " "), 1)</f>
        <v>497</v>
      </c>
      <c r="C256" t="str" cm="1">
        <f t="array" ref="C256">INDEX(_xlfn.TEXTSPLIT(B256, "-"), 1)</f>
        <v>497</v>
      </c>
      <c r="D256" t="str" cm="1">
        <f t="array" ref="D256">IFERROR(INDEX(_xlfn.TEXTSPLIT(B256, "-"), 2), "")</f>
        <v/>
      </c>
      <c r="E256" t="str">
        <f t="shared" si="9"/>
        <v>Persian Empire occupies all Carian land north of Pedasos (Carian)</v>
      </c>
      <c r="F256" t="str">
        <f t="shared" si="10"/>
        <v/>
      </c>
      <c r="H256" t="b">
        <f t="shared" si="11"/>
        <v>0</v>
      </c>
      <c r="J256" s="3" t="str">
        <v>497</v>
      </c>
      <c r="K256" s="4" t="str">
        <v>Persian Empire occupies all Carian land north of Pedasos (Carian)</v>
      </c>
      <c r="P256" t="str">
        <v>498</v>
      </c>
      <c r="Q256" t="str">
        <v>Hippocrates vassalized Leontini and puts Aenesidemus as tyrant</v>
      </c>
    </row>
    <row r="257" spans="1:17" x14ac:dyDescent="0.25">
      <c r="A257" t="s">
        <v>256</v>
      </c>
      <c r="B257" t="str" cm="1">
        <f t="array" ref="B257">INDEX(_xlfn.TEXTSPLIT(A257, " "), 1)</f>
        <v>496</v>
      </c>
      <c r="C257" t="str" cm="1">
        <f t="array" ref="C257">INDEX(_xlfn.TEXTSPLIT(B257, "-"), 1)</f>
        <v>496</v>
      </c>
      <c r="D257" t="str" cm="1">
        <f t="array" ref="D257">IFERROR(INDEX(_xlfn.TEXTSPLIT(B257, "-"), 2), "")</f>
        <v/>
      </c>
      <c r="E257" t="str">
        <f t="shared" si="9"/>
        <v>Byzantium is overthrown by Histiaeos</v>
      </c>
      <c r="F257" t="str">
        <f t="shared" si="10"/>
        <v/>
      </c>
      <c r="H257" t="b">
        <f t="shared" si="11"/>
        <v>0</v>
      </c>
      <c r="J257" s="3" t="str">
        <v>496</v>
      </c>
      <c r="K257" s="4" t="str">
        <v>Byzantium is overthrown by Histiaeos</v>
      </c>
      <c r="P257" t="str">
        <v>498</v>
      </c>
      <c r="Q257" t="str">
        <v>Licodia is annexed by Syracuse</v>
      </c>
    </row>
    <row r="258" spans="1:17" x14ac:dyDescent="0.25">
      <c r="A258" t="s">
        <v>257</v>
      </c>
      <c r="B258" t="str" cm="1">
        <f t="array" ref="B258">INDEX(_xlfn.TEXTSPLIT(A258, " "), 1)</f>
        <v>496</v>
      </c>
      <c r="C258" t="str" cm="1">
        <f t="array" ref="C258">INDEX(_xlfn.TEXTSPLIT(B258, "-"), 1)</f>
        <v>496</v>
      </c>
      <c r="D258" t="str" cm="1">
        <f t="array" ref="D258">IFERROR(INDEX(_xlfn.TEXTSPLIT(B258, "-"), 2), "")</f>
        <v/>
      </c>
      <c r="E258" t="str">
        <f t="shared" si="9"/>
        <v>Myrcinos is reannexed by the Persian Empire</v>
      </c>
      <c r="F258" t="str">
        <f t="shared" si="10"/>
        <v/>
      </c>
      <c r="H258" t="b">
        <f t="shared" si="11"/>
        <v>0</v>
      </c>
      <c r="J258" s="3" t="str">
        <v>496</v>
      </c>
      <c r="K258" s="4" t="str">
        <v>Myrcinos is reannexed by the Persian Empire</v>
      </c>
      <c r="P258" t="str">
        <v>497</v>
      </c>
      <c r="Q258" t="str">
        <v>Eion is sieged by Athens</v>
      </c>
    </row>
    <row r="259" spans="1:17" x14ac:dyDescent="0.25">
      <c r="A259" t="s">
        <v>258</v>
      </c>
      <c r="B259" t="str" cm="1">
        <f t="array" ref="B259">INDEX(_xlfn.TEXTSPLIT(A259, " "), 1)</f>
        <v>496</v>
      </c>
      <c r="C259" t="str" cm="1">
        <f t="array" ref="C259">INDEX(_xlfn.TEXTSPLIT(B259, "-"), 1)</f>
        <v>496</v>
      </c>
      <c r="D259" t="str" cm="1">
        <f t="array" ref="D259">IFERROR(INDEX(_xlfn.TEXTSPLIT(B259, "-"), 2), "")</f>
        <v/>
      </c>
      <c r="E259" t="str">
        <f t="shared" ref="E259:E322" si="12">_xlfn.LET(
  _xlpm.szoveg,
  MID(A259, SEARCH(" ", A259) + 1, LEN(A259)),
  IF(ISNUMBER(SEARCH("-",B259)), _xlpm.szoveg &amp; " --&gt;", _xlpm.szoveg)
)</f>
        <v>Athenian Tyrant Miltiades II annexes Thracian Chernessos</v>
      </c>
      <c r="F259" t="str">
        <f t="shared" ref="F259:F322" si="13">_xlfn.LET(
  _xlpm.szoveg,
  MID(A259, SEARCH(" ", A259) + 1, LEN(A259)),
  IF(ISNUMBER(SEARCH("-",B259)), "--&gt; " &amp; _xlpm.szoveg, "")
)</f>
        <v/>
      </c>
      <c r="H259" t="b">
        <f t="shared" ref="H259:H322" si="14">ISNUMBER(SEARCH("-", B259))</f>
        <v>0</v>
      </c>
      <c r="J259" s="3" t="str">
        <v>496</v>
      </c>
      <c r="K259" s="4" t="str">
        <v>Athenian Tyrant Miltiades II annexes Thracian Chernessos</v>
      </c>
      <c r="P259" t="str">
        <v>497</v>
      </c>
      <c r="Q259" t="str">
        <v>Dardanos, Myrcinos, Abydos, Kyme, Klazomenai, Percote, Lampsakos, Cyprus, Cios and Paesos are reannexed by Persian Empire</v>
      </c>
    </row>
    <row r="260" spans="1:17" x14ac:dyDescent="0.25">
      <c r="A260" t="s">
        <v>259</v>
      </c>
      <c r="B260" t="str" cm="1">
        <f t="array" ref="B260">INDEX(_xlfn.TEXTSPLIT(A260, " "), 1)</f>
        <v>496</v>
      </c>
      <c r="C260" t="str" cm="1">
        <f t="array" ref="C260">INDEX(_xlfn.TEXTSPLIT(B260, "-"), 1)</f>
        <v>496</v>
      </c>
      <c r="D260" t="str" cm="1">
        <f t="array" ref="D260">IFERROR(INDEX(_xlfn.TEXTSPLIT(B260, "-"), 2), "")</f>
        <v/>
      </c>
      <c r="E260" t="str">
        <f t="shared" si="12"/>
        <v>Naxos is vassalized by Hippocrates</v>
      </c>
      <c r="F260" t="str">
        <f t="shared" si="13"/>
        <v/>
      </c>
      <c r="H260" t="b">
        <f t="shared" si="14"/>
        <v>0</v>
      </c>
      <c r="J260" s="3" t="str">
        <v>496</v>
      </c>
      <c r="K260" s="4" t="str">
        <v>Naxos is vassalized by Hippocrates</v>
      </c>
      <c r="P260" t="str">
        <v>497</v>
      </c>
      <c r="Q260" t="str">
        <v>Catania is vassalized by Hippocrates and Deinmenes is put in charge as tyrant</v>
      </c>
    </row>
    <row r="261" spans="1:17" x14ac:dyDescent="0.25">
      <c r="A261" t="s">
        <v>260</v>
      </c>
      <c r="B261" t="str" cm="1">
        <f t="array" ref="B261">INDEX(_xlfn.TEXTSPLIT(A261, " "), 1)</f>
        <v>495</v>
      </c>
      <c r="C261" t="str" cm="1">
        <f t="array" ref="C261">INDEX(_xlfn.TEXTSPLIT(B261, "-"), 1)</f>
        <v>495</v>
      </c>
      <c r="D261" t="str" cm="1">
        <f t="array" ref="D261">IFERROR(INDEX(_xlfn.TEXTSPLIT(B261, "-"), 2), "")</f>
        <v/>
      </c>
      <c r="E261" t="str">
        <f t="shared" si="12"/>
        <v>Cleinias dies</v>
      </c>
      <c r="F261" t="str">
        <f t="shared" si="13"/>
        <v/>
      </c>
      <c r="H261" t="b">
        <f t="shared" si="14"/>
        <v>0</v>
      </c>
      <c r="J261" s="3" t="str">
        <v>495</v>
      </c>
      <c r="K261" s="4" t="str">
        <v>Cleinias dies</v>
      </c>
      <c r="P261" t="str">
        <v>497</v>
      </c>
      <c r="Q261" t="str">
        <v>Persian Empire occupies all Carian land north of Pedasos (Carian)</v>
      </c>
    </row>
    <row r="262" spans="1:17" x14ac:dyDescent="0.25">
      <c r="A262" t="s">
        <v>261</v>
      </c>
      <c r="B262" t="str" cm="1">
        <f t="array" ref="B262">INDEX(_xlfn.TEXTSPLIT(A262, " "), 1)</f>
        <v>494</v>
      </c>
      <c r="C262" t="str" cm="1">
        <f t="array" ref="C262">INDEX(_xlfn.TEXTSPLIT(B262, "-"), 1)</f>
        <v>494</v>
      </c>
      <c r="D262" t="str" cm="1">
        <f t="array" ref="D262">IFERROR(INDEX(_xlfn.TEXTSPLIT(B262, "-"), 2), "")</f>
        <v/>
      </c>
      <c r="E262" t="str">
        <f t="shared" si="12"/>
        <v>Rhegium is overthrown by Anaxilas</v>
      </c>
      <c r="F262" t="str">
        <f t="shared" si="13"/>
        <v/>
      </c>
      <c r="H262" t="b">
        <f t="shared" si="14"/>
        <v>0</v>
      </c>
      <c r="J262" s="3" t="str">
        <v>494</v>
      </c>
      <c r="K262" s="4" t="str">
        <v>Rhegium is overthrown by Anaxilas</v>
      </c>
      <c r="P262" t="str">
        <v>496</v>
      </c>
      <c r="Q262" t="str">
        <v>Byzantium is overthrown by Histiaeos</v>
      </c>
    </row>
    <row r="263" spans="1:17" x14ac:dyDescent="0.25">
      <c r="A263" t="s">
        <v>262</v>
      </c>
      <c r="B263" t="str" cm="1">
        <f t="array" ref="B263">INDEX(_xlfn.TEXTSPLIT(A263, " "), 1)</f>
        <v>494</v>
      </c>
      <c r="C263" t="str" cm="1">
        <f t="array" ref="C263">INDEX(_xlfn.TEXTSPLIT(B263, "-"), 1)</f>
        <v>494</v>
      </c>
      <c r="D263" t="str" cm="1">
        <f t="array" ref="D263">IFERROR(INDEX(_xlfn.TEXTSPLIT(B263, "-"), 2), "")</f>
        <v/>
      </c>
      <c r="E263" t="str">
        <f t="shared" si="12"/>
        <v>Zancle is vassalized by Hippocrates and Scythes put in charge</v>
      </c>
      <c r="F263" t="str">
        <f t="shared" si="13"/>
        <v/>
      </c>
      <c r="H263" t="b">
        <f t="shared" si="14"/>
        <v>0</v>
      </c>
      <c r="J263" s="3" t="str">
        <v>494</v>
      </c>
      <c r="K263" s="4" t="str">
        <v>Zancle is vassalized by Hippocrates and Scythes put in charge</v>
      </c>
      <c r="P263" t="str">
        <v>496</v>
      </c>
      <c r="Q263" t="str">
        <v>Myrcinos is reannexed by the Persian Empire</v>
      </c>
    </row>
    <row r="264" spans="1:17" x14ac:dyDescent="0.25">
      <c r="A264" t="s">
        <v>263</v>
      </c>
      <c r="B264" t="str" cm="1">
        <f t="array" ref="B264">INDEX(_xlfn.TEXTSPLIT(A264, " "), 1)</f>
        <v>494</v>
      </c>
      <c r="C264" t="str" cm="1">
        <f t="array" ref="C264">INDEX(_xlfn.TEXTSPLIT(B264, "-"), 1)</f>
        <v>494</v>
      </c>
      <c r="D264" t="str" cm="1">
        <f t="array" ref="D264">IFERROR(INDEX(_xlfn.TEXTSPLIT(B264, "-"), 2), "")</f>
        <v/>
      </c>
      <c r="E264" t="str">
        <f t="shared" si="12"/>
        <v>Priene, Samos and Miletus are annexed by Persian Empire</v>
      </c>
      <c r="F264" t="str">
        <f t="shared" si="13"/>
        <v/>
      </c>
      <c r="H264" t="b">
        <f t="shared" si="14"/>
        <v>0</v>
      </c>
      <c r="J264" s="3" t="str">
        <v>494</v>
      </c>
      <c r="K264" s="4" t="str">
        <v>Priene, Samos and Miletus are annexed by Persian Empire</v>
      </c>
      <c r="P264" t="str">
        <v>496</v>
      </c>
      <c r="Q264" t="str">
        <v>Athenian Tyrant Miltiades II annexes Thracian Chernessos</v>
      </c>
    </row>
    <row r="265" spans="1:17" x14ac:dyDescent="0.25">
      <c r="A265" t="s">
        <v>264</v>
      </c>
      <c r="B265" t="str" cm="1">
        <f t="array" ref="B265">INDEX(_xlfn.TEXTSPLIT(A265, " "), 1)</f>
        <v>493</v>
      </c>
      <c r="C265" t="str" cm="1">
        <f t="array" ref="C265">INDEX(_xlfn.TEXTSPLIT(B265, "-"), 1)</f>
        <v>493</v>
      </c>
      <c r="D265" t="str" cm="1">
        <f t="array" ref="D265">IFERROR(INDEX(_xlfn.TEXTSPLIT(B265, "-"), 2), "")</f>
        <v/>
      </c>
      <c r="E265" t="str">
        <f t="shared" si="12"/>
        <v>Byzantium sieges Thasus</v>
      </c>
      <c r="F265" t="str">
        <f t="shared" si="13"/>
        <v/>
      </c>
      <c r="H265" t="b">
        <f t="shared" si="14"/>
        <v>0</v>
      </c>
      <c r="J265" s="3" t="str">
        <v>493</v>
      </c>
      <c r="K265" s="4" t="str">
        <v>Byzantium sieges Thasus</v>
      </c>
      <c r="P265" t="str">
        <v>496</v>
      </c>
      <c r="Q265" t="str">
        <v>Naxos is vassalized by Hippocrates</v>
      </c>
    </row>
    <row r="266" spans="1:17" x14ac:dyDescent="0.25">
      <c r="A266" t="s">
        <v>265</v>
      </c>
      <c r="B266" t="str" cm="1">
        <f t="array" ref="B266">INDEX(_xlfn.TEXTSPLIT(A266, " "), 1)</f>
        <v>493</v>
      </c>
      <c r="C266" t="str" cm="1">
        <f t="array" ref="C266">INDEX(_xlfn.TEXTSPLIT(B266, "-"), 1)</f>
        <v>493</v>
      </c>
      <c r="D266" t="str" cm="1">
        <f t="array" ref="D266">IFERROR(INDEX(_xlfn.TEXTSPLIT(B266, "-"), 2), "")</f>
        <v/>
      </c>
      <c r="E266" t="str">
        <f t="shared" si="12"/>
        <v>Ionian revolt crushed</v>
      </c>
      <c r="F266" t="str">
        <f t="shared" si="13"/>
        <v/>
      </c>
      <c r="H266" t="b">
        <f t="shared" si="14"/>
        <v>0</v>
      </c>
      <c r="J266" s="3" t="str">
        <v>493</v>
      </c>
      <c r="K266" s="4" t="str">
        <v>Ionian revolt crushed</v>
      </c>
      <c r="P266" t="str">
        <v>495</v>
      </c>
      <c r="Q266" t="str">
        <v>Cleinias dies</v>
      </c>
    </row>
    <row r="267" spans="1:17" x14ac:dyDescent="0.25">
      <c r="A267" t="s">
        <v>266</v>
      </c>
      <c r="B267" t="str" cm="1">
        <f t="array" ref="B267">INDEX(_xlfn.TEXTSPLIT(A267, " "), 1)</f>
        <v>493</v>
      </c>
      <c r="C267" t="str" cm="1">
        <f t="array" ref="C267">INDEX(_xlfn.TEXTSPLIT(B267, "-"), 1)</f>
        <v>493</v>
      </c>
      <c r="D267" t="str" cm="1">
        <f t="array" ref="D267">IFERROR(INDEX(_xlfn.TEXTSPLIT(B267, "-"), 2), "")</f>
        <v/>
      </c>
      <c r="E267" t="str">
        <f t="shared" si="12"/>
        <v>Zancle is settled by Samian refugees and renamed Messene</v>
      </c>
      <c r="F267" t="str">
        <f t="shared" si="13"/>
        <v/>
      </c>
      <c r="H267" t="b">
        <f t="shared" si="14"/>
        <v>0</v>
      </c>
      <c r="J267" s="3" t="str">
        <v>493</v>
      </c>
      <c r="K267" s="4" t="str">
        <v>Zancle is settled by Samian refugees and renamed Messene</v>
      </c>
      <c r="P267" t="str">
        <v>494</v>
      </c>
      <c r="Q267" t="str">
        <v>Rhegium is overthrown by Anaxilas</v>
      </c>
    </row>
    <row r="268" spans="1:17" x14ac:dyDescent="0.25">
      <c r="A268" t="s">
        <v>267</v>
      </c>
      <c r="B268" t="str" cm="1">
        <f t="array" ref="B268">INDEX(_xlfn.TEXTSPLIT(A268, " "), 1)</f>
        <v>493</v>
      </c>
      <c r="C268" t="str" cm="1">
        <f t="array" ref="C268">INDEX(_xlfn.TEXTSPLIT(B268, "-"), 1)</f>
        <v>493</v>
      </c>
      <c r="D268" t="str" cm="1">
        <f t="array" ref="D268">IFERROR(INDEX(_xlfn.TEXTSPLIT(B268, "-"), 2), "")</f>
        <v/>
      </c>
      <c r="E268" t="str">
        <f t="shared" si="12"/>
        <v>Zancle is conquered by Rhegion</v>
      </c>
      <c r="F268" t="str">
        <f t="shared" si="13"/>
        <v/>
      </c>
      <c r="H268" t="b">
        <f t="shared" si="14"/>
        <v>0</v>
      </c>
      <c r="J268" s="3" t="str">
        <v>493</v>
      </c>
      <c r="K268" s="4" t="str">
        <v>Zancle is conquered by Rhegion</v>
      </c>
      <c r="P268" t="str">
        <v>494</v>
      </c>
      <c r="Q268" t="str">
        <v>Zancle is vassalized by Hippocrates and Scythes put in charge</v>
      </c>
    </row>
    <row r="269" spans="1:17" x14ac:dyDescent="0.25">
      <c r="A269" t="s">
        <v>268</v>
      </c>
      <c r="B269" t="str" cm="1">
        <f t="array" ref="B269">INDEX(_xlfn.TEXTSPLIT(A269, " "), 1)</f>
        <v>492</v>
      </c>
      <c r="C269" t="str" cm="1">
        <f t="array" ref="C269">INDEX(_xlfn.TEXTSPLIT(B269, "-"), 1)</f>
        <v>492</v>
      </c>
      <c r="D269" t="str" cm="1">
        <f t="array" ref="D269">IFERROR(INDEX(_xlfn.TEXTSPLIT(B269, "-"), 2), "")</f>
        <v/>
      </c>
      <c r="E269" t="str">
        <f t="shared" si="12"/>
        <v>Kamarina (now rebuilt) and Ergezio [it] are vassalized by Hippocrates</v>
      </c>
      <c r="F269" t="str">
        <f t="shared" si="13"/>
        <v/>
      </c>
      <c r="H269" t="b">
        <f t="shared" si="14"/>
        <v>0</v>
      </c>
      <c r="J269" s="3" t="str">
        <v>492</v>
      </c>
      <c r="K269" s="4" t="str">
        <v>Kamarina (now rebuilt) and Ergezio [it] are vassalized by Hippocrates</v>
      </c>
      <c r="P269" t="str">
        <v>494</v>
      </c>
      <c r="Q269" t="str">
        <v>Priene, Samos and Miletus are annexed by Persian Empire</v>
      </c>
    </row>
    <row r="270" spans="1:17" x14ac:dyDescent="0.25">
      <c r="A270" t="s">
        <v>269</v>
      </c>
      <c r="B270" t="str" cm="1">
        <f t="array" ref="B270">INDEX(_xlfn.TEXTSPLIT(A270, " "), 1)</f>
        <v>492</v>
      </c>
      <c r="C270" t="str" cm="1">
        <f t="array" ref="C270">INDEX(_xlfn.TEXTSPLIT(B270, "-"), 1)</f>
        <v>492</v>
      </c>
      <c r="D270" t="str" cm="1">
        <f t="array" ref="D270">IFERROR(INDEX(_xlfn.TEXTSPLIT(B270, "-"), 2), "")</f>
        <v/>
      </c>
      <c r="E270" t="str">
        <f t="shared" si="12"/>
        <v>Abdera and Thracian Chernessos are annexed by the Persian Empire</v>
      </c>
      <c r="F270" t="str">
        <f t="shared" si="13"/>
        <v/>
      </c>
      <c r="H270" t="b">
        <f t="shared" si="14"/>
        <v>0</v>
      </c>
      <c r="J270" s="3" t="str">
        <v>492</v>
      </c>
      <c r="K270" s="4" t="str">
        <v>Abdera and Thracian Chernessos are annexed by the Persian Empire</v>
      </c>
      <c r="P270" t="str">
        <v>493</v>
      </c>
      <c r="Q270" t="str">
        <v>Byzantium sieges Thasus</v>
      </c>
    </row>
    <row r="271" spans="1:17" x14ac:dyDescent="0.25">
      <c r="A271" t="s">
        <v>270</v>
      </c>
      <c r="B271" t="str" cm="1">
        <f t="array" ref="B271">INDEX(_xlfn.TEXTSPLIT(A271, " "), 1)</f>
        <v>491</v>
      </c>
      <c r="C271" t="str" cm="1">
        <f t="array" ref="C271">INDEX(_xlfn.TEXTSPLIT(B271, "-"), 1)</f>
        <v>491</v>
      </c>
      <c r="D271" t="str" cm="1">
        <f t="array" ref="D271">IFERROR(INDEX(_xlfn.TEXTSPLIT(B271, "-"), 2), "")</f>
        <v/>
      </c>
      <c r="E271" t="str">
        <f t="shared" si="12"/>
        <v>Hippocrates is overthrown by Gelon</v>
      </c>
      <c r="F271" t="str">
        <f t="shared" si="13"/>
        <v/>
      </c>
      <c r="H271" t="b">
        <f t="shared" si="14"/>
        <v>0</v>
      </c>
      <c r="J271" s="3" t="str">
        <v>491</v>
      </c>
      <c r="K271" s="4" t="str">
        <v>Hippocrates is overthrown by Gelon</v>
      </c>
      <c r="P271" t="str">
        <v>493</v>
      </c>
      <c r="Q271" t="str">
        <v>Ionian revolt crushed</v>
      </c>
    </row>
    <row r="272" spans="1:17" x14ac:dyDescent="0.25">
      <c r="A272" t="s">
        <v>271</v>
      </c>
      <c r="B272" t="str" cm="1">
        <f t="array" ref="B272">INDEX(_xlfn.TEXTSPLIT(A272, " "), 1)</f>
        <v>491</v>
      </c>
      <c r="C272" t="str" cm="1">
        <f t="array" ref="C272">INDEX(_xlfn.TEXTSPLIT(B272, "-"), 1)</f>
        <v>491</v>
      </c>
      <c r="D272" t="str" cm="1">
        <f t="array" ref="D272">IFERROR(INDEX(_xlfn.TEXTSPLIT(B272, "-"), 2), "")</f>
        <v/>
      </c>
      <c r="E272" t="str">
        <f t="shared" si="12"/>
        <v>Fort Scyllaeum is founded by Rhegion</v>
      </c>
      <c r="F272" t="str">
        <f t="shared" si="13"/>
        <v/>
      </c>
      <c r="H272" t="b">
        <f t="shared" si="14"/>
        <v>0</v>
      </c>
      <c r="J272" s="3" t="str">
        <v>491</v>
      </c>
      <c r="K272" s="4" t="str">
        <v>Fort Scyllaeum is founded by Rhegion</v>
      </c>
      <c r="P272" t="str">
        <v>493</v>
      </c>
      <c r="Q272" t="str">
        <v>Zancle is settled by Samian refugees and renamed Messene</v>
      </c>
    </row>
    <row r="273" spans="1:17" x14ac:dyDescent="0.25">
      <c r="A273" t="s">
        <v>272</v>
      </c>
      <c r="B273" t="str" cm="1">
        <f t="array" ref="B273">INDEX(_xlfn.TEXTSPLIT(A273, " "), 1)</f>
        <v>490</v>
      </c>
      <c r="C273" t="str" cm="1">
        <f t="array" ref="C273">INDEX(_xlfn.TEXTSPLIT(B273, "-"), 1)</f>
        <v>490</v>
      </c>
      <c r="D273" t="str" cm="1">
        <f t="array" ref="D273">IFERROR(INDEX(_xlfn.TEXTSPLIT(B273, "-"), 2), "")</f>
        <v/>
      </c>
      <c r="E273" t="str">
        <f t="shared" si="12"/>
        <v>Aristodemus dies</v>
      </c>
      <c r="F273" t="str">
        <f t="shared" si="13"/>
        <v/>
      </c>
      <c r="H273" t="b">
        <f t="shared" si="14"/>
        <v>0</v>
      </c>
      <c r="J273" s="3" t="str">
        <v>490</v>
      </c>
      <c r="K273" s="4" t="str">
        <v>Aristodemus dies</v>
      </c>
      <c r="P273" t="str">
        <v>493</v>
      </c>
      <c r="Q273" t="str">
        <v>Zancle is conquered by Rhegion</v>
      </c>
    </row>
    <row r="274" spans="1:17" x14ac:dyDescent="0.25">
      <c r="A274" t="s">
        <v>273</v>
      </c>
      <c r="B274" t="str" cm="1">
        <f t="array" ref="B274">INDEX(_xlfn.TEXTSPLIT(A274, " "), 1)</f>
        <v>490</v>
      </c>
      <c r="C274" t="str" cm="1">
        <f t="array" ref="C274">INDEX(_xlfn.TEXTSPLIT(B274, "-"), 1)</f>
        <v>490</v>
      </c>
      <c r="D274" t="str" cm="1">
        <f t="array" ref="D274">IFERROR(INDEX(_xlfn.TEXTSPLIT(B274, "-"), 2), "")</f>
        <v/>
      </c>
      <c r="E274" t="str">
        <f t="shared" si="12"/>
        <v>Persian conquest of Rhodes</v>
      </c>
      <c r="F274" t="str">
        <f t="shared" si="13"/>
        <v/>
      </c>
      <c r="H274" t="b">
        <f t="shared" si="14"/>
        <v>0</v>
      </c>
      <c r="J274" s="3" t="str">
        <v>490</v>
      </c>
      <c r="K274" s="4" t="str">
        <v>Persian conquest of Rhodes</v>
      </c>
      <c r="P274" t="str">
        <v>492</v>
      </c>
      <c r="Q274" t="str">
        <v>Kamarina (now rebuilt) and Ergezio [it] are vassalized by Hippocrates</v>
      </c>
    </row>
    <row r="275" spans="1:17" x14ac:dyDescent="0.25">
      <c r="A275" t="s">
        <v>274</v>
      </c>
      <c r="B275" t="str" cm="1">
        <f t="array" ref="B275">INDEX(_xlfn.TEXTSPLIT(A275, " "), 1)</f>
        <v>490</v>
      </c>
      <c r="C275" t="str" cm="1">
        <f t="array" ref="C275">INDEX(_xlfn.TEXTSPLIT(B275, "-"), 1)</f>
        <v>490</v>
      </c>
      <c r="D275" t="str" cm="1">
        <f t="array" ref="D275">IFERROR(INDEX(_xlfn.TEXTSPLIT(B275, "-"), 2), "")</f>
        <v/>
      </c>
      <c r="E275" t="str">
        <f t="shared" si="12"/>
        <v>Persian Siege of Naxos (Naxan Victory)</v>
      </c>
      <c r="F275" t="str">
        <f t="shared" si="13"/>
        <v/>
      </c>
      <c r="H275" t="b">
        <f t="shared" si="14"/>
        <v>0</v>
      </c>
      <c r="J275" s="3" t="str">
        <v>490</v>
      </c>
      <c r="K275" s="4" t="str">
        <v>Persian Siege of Naxos (Naxan Victory)</v>
      </c>
      <c r="P275" t="str">
        <v>492</v>
      </c>
      <c r="Q275" t="str">
        <v>Abdera and Thracian Chernessos are annexed by the Persian Empire</v>
      </c>
    </row>
    <row r="276" spans="1:17" x14ac:dyDescent="0.25">
      <c r="A276" t="s">
        <v>275</v>
      </c>
      <c r="B276" t="str" cm="1">
        <f t="array" ref="B276">INDEX(_xlfn.TEXTSPLIT(A276, " "), 1)</f>
        <v>490</v>
      </c>
      <c r="C276" t="str" cm="1">
        <f t="array" ref="C276">INDEX(_xlfn.TEXTSPLIT(B276, "-"), 1)</f>
        <v>490</v>
      </c>
      <c r="D276" t="str" cm="1">
        <f t="array" ref="D276">IFERROR(INDEX(_xlfn.TEXTSPLIT(B276, "-"), 2), "")</f>
        <v/>
      </c>
      <c r="E276" t="str">
        <f t="shared" si="12"/>
        <v>Persian conquest of Paros</v>
      </c>
      <c r="F276" t="str">
        <f t="shared" si="13"/>
        <v/>
      </c>
      <c r="H276" t="b">
        <f t="shared" si="14"/>
        <v>0</v>
      </c>
      <c r="J276" s="3" t="str">
        <v>490</v>
      </c>
      <c r="K276" s="4" t="str">
        <v>Persian conquest of Paros</v>
      </c>
      <c r="P276" t="str">
        <v>491</v>
      </c>
      <c r="Q276" t="str">
        <v>Hippocrates is overthrown by Gelon</v>
      </c>
    </row>
    <row r="277" spans="1:17" x14ac:dyDescent="0.25">
      <c r="A277" t="s">
        <v>276</v>
      </c>
      <c r="B277" t="str" cm="1">
        <f t="array" ref="B277">INDEX(_xlfn.TEXTSPLIT(A277, " "), 1)</f>
        <v>490</v>
      </c>
      <c r="C277" t="str" cm="1">
        <f t="array" ref="C277">INDEX(_xlfn.TEXTSPLIT(B277, "-"), 1)</f>
        <v>490</v>
      </c>
      <c r="D277" t="str" cm="1">
        <f t="array" ref="D277">IFERROR(INDEX(_xlfn.TEXTSPLIT(B277, "-"), 2), "")</f>
        <v/>
      </c>
      <c r="E277" t="str">
        <f t="shared" si="12"/>
        <v>Persian sacking of Eretria</v>
      </c>
      <c r="F277" t="str">
        <f t="shared" si="13"/>
        <v/>
      </c>
      <c r="H277" t="b">
        <f t="shared" si="14"/>
        <v>0</v>
      </c>
      <c r="J277" s="3" t="str">
        <v>490</v>
      </c>
      <c r="K277" s="4" t="str">
        <v>Persian sacking of Eretria</v>
      </c>
      <c r="P277" t="str">
        <v>491</v>
      </c>
      <c r="Q277" t="str">
        <v>Fort Scyllaeum is founded by Rhegion</v>
      </c>
    </row>
    <row r="278" spans="1:17" x14ac:dyDescent="0.25">
      <c r="A278" t="s">
        <v>277</v>
      </c>
      <c r="B278" t="str" cm="1">
        <f t="array" ref="B278">INDEX(_xlfn.TEXTSPLIT(A278, " "), 1)</f>
        <v>490</v>
      </c>
      <c r="C278" t="str" cm="1">
        <f t="array" ref="C278">INDEX(_xlfn.TEXTSPLIT(B278, "-"), 1)</f>
        <v>490</v>
      </c>
      <c r="D278" t="str" cm="1">
        <f t="array" ref="D278">IFERROR(INDEX(_xlfn.TEXTSPLIT(B278, "-"), 2), "")</f>
        <v/>
      </c>
      <c r="E278" t="str">
        <f t="shared" si="12"/>
        <v>Themistocles and Miltiades, Athenians, defeat Darius at Marathon, Phidippides runs with news.</v>
      </c>
      <c r="F278" t="str">
        <f t="shared" si="13"/>
        <v/>
      </c>
      <c r="H278" t="b">
        <f t="shared" si="14"/>
        <v>0</v>
      </c>
      <c r="J278" s="3" t="str">
        <v>490</v>
      </c>
      <c r="K278" s="4" t="str">
        <v>Themistocles and Miltiades, Athenians, defeat Darius at Marathon, Phidippides runs with news.</v>
      </c>
      <c r="P278" t="str">
        <v>490</v>
      </c>
      <c r="Q278" t="str">
        <v>Aristodemus dies</v>
      </c>
    </row>
    <row r="279" spans="1:17" x14ac:dyDescent="0.25">
      <c r="A279" t="s">
        <v>278</v>
      </c>
      <c r="B279" t="str" cm="1">
        <f t="array" ref="B279">INDEX(_xlfn.TEXTSPLIT(A279, " "), 1)</f>
        <v>490</v>
      </c>
      <c r="C279" t="str" cm="1">
        <f t="array" ref="C279">INDEX(_xlfn.TEXTSPLIT(B279, "-"), 1)</f>
        <v>490</v>
      </c>
      <c r="D279" t="str" cm="1">
        <f t="array" ref="D279">IFERROR(INDEX(_xlfn.TEXTSPLIT(B279, "-"), 2), "")</f>
        <v/>
      </c>
      <c r="E279" t="str">
        <f t="shared" si="12"/>
        <v>Taras defeats the Iapygians in battle</v>
      </c>
      <c r="F279" t="str">
        <f t="shared" si="13"/>
        <v/>
      </c>
      <c r="H279" t="b">
        <f t="shared" si="14"/>
        <v>0</v>
      </c>
      <c r="J279" s="3" t="str">
        <v>490</v>
      </c>
      <c r="K279" s="4" t="str">
        <v>Taras defeats the Iapygians in battle</v>
      </c>
      <c r="P279" t="str">
        <v>490</v>
      </c>
      <c r="Q279" t="str">
        <v>Persian conquest of Rhodes</v>
      </c>
    </row>
    <row r="280" spans="1:17" x14ac:dyDescent="0.25">
      <c r="A280" t="s">
        <v>279</v>
      </c>
      <c r="B280" t="str" cm="1">
        <f t="array" ref="B280">INDEX(_xlfn.TEXTSPLIT(A280, " "), 1)</f>
        <v>488</v>
      </c>
      <c r="C280" t="str" cm="1">
        <f t="array" ref="C280">INDEX(_xlfn.TEXTSPLIT(B280, "-"), 1)</f>
        <v>488</v>
      </c>
      <c r="D280" t="str" cm="1">
        <f t="array" ref="D280">IFERROR(INDEX(_xlfn.TEXTSPLIT(B280, "-"), 2), "")</f>
        <v/>
      </c>
      <c r="E280" t="str">
        <f t="shared" si="12"/>
        <v>Akragas is overthrown by Theron</v>
      </c>
      <c r="F280" t="str">
        <f t="shared" si="13"/>
        <v/>
      </c>
      <c r="H280" t="b">
        <f t="shared" si="14"/>
        <v>0</v>
      </c>
      <c r="J280" s="3" t="str">
        <v>488</v>
      </c>
      <c r="K280" s="4" t="str">
        <v>Akragas is overthrown by Theron</v>
      </c>
      <c r="P280" t="str">
        <v>490</v>
      </c>
      <c r="Q280" t="str">
        <v>Persian Siege of Naxos (Naxan Victory)</v>
      </c>
    </row>
    <row r="281" spans="1:17" x14ac:dyDescent="0.25">
      <c r="A281" t="s">
        <v>280</v>
      </c>
      <c r="B281" t="str" cm="1">
        <f t="array" ref="B281">INDEX(_xlfn.TEXTSPLIT(A281, " "), 1)</f>
        <v>486</v>
      </c>
      <c r="C281" t="str" cm="1">
        <f t="array" ref="C281">INDEX(_xlfn.TEXTSPLIT(B281, "-"), 1)</f>
        <v>486</v>
      </c>
      <c r="D281" t="str" cm="1">
        <f t="array" ref="D281">IFERROR(INDEX(_xlfn.TEXTSPLIT(B281, "-"), 2), "")</f>
        <v/>
      </c>
      <c r="E281" t="str">
        <f t="shared" si="12"/>
        <v>Himera is overthrown by Terillus</v>
      </c>
      <c r="F281" t="str">
        <f t="shared" si="13"/>
        <v/>
      </c>
      <c r="H281" t="b">
        <f t="shared" si="14"/>
        <v>0</v>
      </c>
      <c r="J281" s="3" t="str">
        <v>486</v>
      </c>
      <c r="K281" s="4" t="str">
        <v>Himera is overthrown by Terillus</v>
      </c>
      <c r="P281" t="str">
        <v>490</v>
      </c>
      <c r="Q281" t="str">
        <v>Persian conquest of Paros</v>
      </c>
    </row>
    <row r="282" spans="1:17" x14ac:dyDescent="0.25">
      <c r="A282" t="s">
        <v>281</v>
      </c>
      <c r="B282" t="str" cm="1">
        <f t="array" ref="B282">INDEX(_xlfn.TEXTSPLIT(A282, " "), 1)</f>
        <v>485</v>
      </c>
      <c r="C282" t="str" cm="1">
        <f t="array" ref="C282">INDEX(_xlfn.TEXTSPLIT(B282, "-"), 1)</f>
        <v>485</v>
      </c>
      <c r="D282" t="str" cm="1">
        <f t="array" ref="D282">IFERROR(INDEX(_xlfn.TEXTSPLIT(B282, "-"), 2), "")</f>
        <v/>
      </c>
      <c r="E282" t="str">
        <f t="shared" si="12"/>
        <v>Gelon annexes Syracuse (Except Kamarina and Licodia), Gela is given to Hieron</v>
      </c>
      <c r="F282" t="str">
        <f t="shared" si="13"/>
        <v/>
      </c>
      <c r="H282" t="b">
        <f t="shared" si="14"/>
        <v>0</v>
      </c>
      <c r="J282" s="3" t="str">
        <v>485</v>
      </c>
      <c r="K282" s="4" t="str">
        <v>Gelon annexes Syracuse (Except Kamarina and Licodia), Gela is given to Hieron</v>
      </c>
      <c r="P282" t="str">
        <v>490</v>
      </c>
      <c r="Q282" t="str">
        <v>Persian sacking of Eretria</v>
      </c>
    </row>
    <row r="283" spans="1:17" x14ac:dyDescent="0.25">
      <c r="A283" t="s">
        <v>282</v>
      </c>
      <c r="B283" t="str" cm="1">
        <f t="array" ref="B283">INDEX(_xlfn.TEXTSPLIT(A283, " "), 1)</f>
        <v>484</v>
      </c>
      <c r="C283" t="str" cm="1">
        <f t="array" ref="C283">INDEX(_xlfn.TEXTSPLIT(B283, "-"), 1)</f>
        <v>484</v>
      </c>
      <c r="D283" t="str" cm="1">
        <f t="array" ref="D283">IFERROR(INDEX(_xlfn.TEXTSPLIT(B283, "-"), 2), "")</f>
        <v/>
      </c>
      <c r="E283" t="str">
        <f t="shared" si="12"/>
        <v>Kamarina is destroyed by Gelon</v>
      </c>
      <c r="F283" t="str">
        <f t="shared" si="13"/>
        <v/>
      </c>
      <c r="H283" t="b">
        <f t="shared" si="14"/>
        <v>0</v>
      </c>
      <c r="J283" s="3" t="str">
        <v>484</v>
      </c>
      <c r="K283" s="4" t="str">
        <v>Kamarina is destroyed by Gelon</v>
      </c>
      <c r="P283" t="str">
        <v>490</v>
      </c>
      <c r="Q283" t="str">
        <v>Themistocles and Miltiades, Athenians, defeat Darius at Marathon, Phidippides runs with news.</v>
      </c>
    </row>
    <row r="284" spans="1:17" x14ac:dyDescent="0.25">
      <c r="A284" t="s">
        <v>283</v>
      </c>
      <c r="B284" t="str" cm="1">
        <f t="array" ref="B284">INDEX(_xlfn.TEXTSPLIT(A284, " "), 1)</f>
        <v>484</v>
      </c>
      <c r="C284" t="str" cm="1">
        <f t="array" ref="C284">INDEX(_xlfn.TEXTSPLIT(B284, "-"), 1)</f>
        <v>484</v>
      </c>
      <c r="D284" t="str" cm="1">
        <f t="array" ref="D284">IFERROR(INDEX(_xlfn.TEXTSPLIT(B284, "-"), 2), "")</f>
        <v/>
      </c>
      <c r="E284" t="str">
        <f t="shared" si="12"/>
        <v>Aeschylus, Athenian playwright wins his first victory at the City Dionysia.</v>
      </c>
      <c r="F284" t="str">
        <f t="shared" si="13"/>
        <v/>
      </c>
      <c r="H284" t="b">
        <f t="shared" si="14"/>
        <v>0</v>
      </c>
      <c r="J284" s="3" t="str">
        <v>484</v>
      </c>
      <c r="K284" s="4" t="str">
        <v>Aeschylus, Athenian playwright wins his first victory at the City Dionysia.</v>
      </c>
      <c r="P284" t="str">
        <v>490</v>
      </c>
      <c r="Q284" t="str">
        <v>Taras defeats the Iapygians in battle</v>
      </c>
    </row>
    <row r="285" spans="1:17" x14ac:dyDescent="0.25">
      <c r="A285" t="s">
        <v>284</v>
      </c>
      <c r="B285" t="str" cm="1">
        <f t="array" ref="B285">INDEX(_xlfn.TEXTSPLIT(A285, " "), 1)</f>
        <v>483</v>
      </c>
      <c r="C285" t="str" cm="1">
        <f t="array" ref="C285">INDEX(_xlfn.TEXTSPLIT(B285, "-"), 1)</f>
        <v>483</v>
      </c>
      <c r="D285" t="str" cm="1">
        <f t="array" ref="D285">IFERROR(INDEX(_xlfn.TEXTSPLIT(B285, "-"), 2), "")</f>
        <v/>
      </c>
      <c r="E285" t="str">
        <f t="shared" si="12"/>
        <v>Megara Hyblaea and Licodia are destroyed by Gelon</v>
      </c>
      <c r="F285" t="str">
        <f t="shared" si="13"/>
        <v/>
      </c>
      <c r="H285" t="b">
        <f t="shared" si="14"/>
        <v>0</v>
      </c>
      <c r="J285" s="3" t="str">
        <v>483</v>
      </c>
      <c r="K285" s="4" t="str">
        <v>Megara Hyblaea and Licodia are destroyed by Gelon</v>
      </c>
      <c r="P285" t="str">
        <v>488</v>
      </c>
      <c r="Q285" t="str">
        <v>Akragas is overthrown by Theron</v>
      </c>
    </row>
    <row r="286" spans="1:17" x14ac:dyDescent="0.25">
      <c r="A286" t="s">
        <v>285</v>
      </c>
      <c r="B286" t="str" cm="1">
        <f t="array" ref="B286">INDEX(_xlfn.TEXTSPLIT(A286, " "), 1)</f>
        <v>483</v>
      </c>
      <c r="C286" t="str" cm="1">
        <f t="array" ref="C286">INDEX(_xlfn.TEXTSPLIT(B286, "-"), 1)</f>
        <v>483</v>
      </c>
      <c r="D286" t="str" cm="1">
        <f t="array" ref="D286">IFERROR(INDEX(_xlfn.TEXTSPLIT(B286, "-"), 2), "")</f>
        <v/>
      </c>
      <c r="E286" t="str">
        <f t="shared" si="12"/>
        <v>Theron puts his son Thrasydaeus in charge of Himera as his vassal</v>
      </c>
      <c r="F286" t="str">
        <f t="shared" si="13"/>
        <v/>
      </c>
      <c r="H286" t="b">
        <f t="shared" si="14"/>
        <v>0</v>
      </c>
      <c r="J286" s="3" t="str">
        <v>483</v>
      </c>
      <c r="K286" s="4" t="str">
        <v>Theron puts his son Thrasydaeus in charge of Himera as his vassal</v>
      </c>
      <c r="P286" t="str">
        <v>486</v>
      </c>
      <c r="Q286" t="str">
        <v>Himera is overthrown by Terillus</v>
      </c>
    </row>
    <row r="287" spans="1:17" x14ac:dyDescent="0.25">
      <c r="A287" t="s">
        <v>286</v>
      </c>
      <c r="B287" t="str" cm="1">
        <f t="array" ref="B287">INDEX(_xlfn.TEXTSPLIT(A287, " "), 1)</f>
        <v>481</v>
      </c>
      <c r="C287" t="str" cm="1">
        <f t="array" ref="C287">INDEX(_xlfn.TEXTSPLIT(B287, "-"), 1)</f>
        <v>481</v>
      </c>
      <c r="D287" t="str" cm="1">
        <f t="array" ref="D287">IFERROR(INDEX(_xlfn.TEXTSPLIT(B287, "-"), 2), "")</f>
        <v/>
      </c>
      <c r="E287" t="str">
        <f t="shared" si="12"/>
        <v>Andros, Aegina and Akanthus among many other Greek Poleis declare allegiance to Persia</v>
      </c>
      <c r="F287" t="str">
        <f t="shared" si="13"/>
        <v/>
      </c>
      <c r="H287" t="b">
        <f t="shared" si="14"/>
        <v>0</v>
      </c>
      <c r="J287" s="3" t="str">
        <v>481</v>
      </c>
      <c r="K287" s="4" t="str">
        <v>Andros, Aegina and Akanthus among many other Greek Poleis declare allegiance to Persia</v>
      </c>
      <c r="P287" t="str">
        <v>485</v>
      </c>
      <c r="Q287" t="str">
        <v>Gelon annexes Syracuse (Except Kamarina and Licodia), Gela is given to Hieron</v>
      </c>
    </row>
    <row r="288" spans="1:17" x14ac:dyDescent="0.25">
      <c r="A288" t="s">
        <v>287</v>
      </c>
      <c r="B288" t="str" cm="1">
        <f t="array" ref="B288">INDEX(_xlfn.TEXTSPLIT(A288, " "), 1)</f>
        <v>481</v>
      </c>
      <c r="C288" t="str" cm="1">
        <f t="array" ref="C288">INDEX(_xlfn.TEXTSPLIT(B288, "-"), 1)</f>
        <v>481</v>
      </c>
      <c r="D288" t="str" cm="1">
        <f t="array" ref="D288">IFERROR(INDEX(_xlfn.TEXTSPLIT(B288, "-"), 2), "")</f>
        <v/>
      </c>
      <c r="E288" t="str">
        <f t="shared" si="12"/>
        <v>The Naxos, Milos, Sparta, Athens, Korinth, Kythnos and many other Greek Poleis form the Hellenic League to fight against the Persian Empire</v>
      </c>
      <c r="F288" t="str">
        <f t="shared" si="13"/>
        <v/>
      </c>
      <c r="H288" t="b">
        <f t="shared" si="14"/>
        <v>0</v>
      </c>
      <c r="J288" s="3" t="str">
        <v>481</v>
      </c>
      <c r="K288" s="4" t="str">
        <v>The Naxos, Milos, Sparta, Athens, Korinth, Kythnos and many other Greek Poleis form the Hellenic League to fight against the Persian Empire</v>
      </c>
      <c r="P288" t="str">
        <v>484</v>
      </c>
      <c r="Q288" t="str">
        <v>Kamarina is destroyed by Gelon</v>
      </c>
    </row>
    <row r="289" spans="1:17" x14ac:dyDescent="0.25">
      <c r="A289" t="s">
        <v>288</v>
      </c>
      <c r="B289" t="str" cm="1">
        <f t="array" ref="B289">INDEX(_xlfn.TEXTSPLIT(A289, " "), 1)</f>
        <v>480</v>
      </c>
      <c r="C289" t="str" cm="1">
        <f t="array" ref="C289">INDEX(_xlfn.TEXTSPLIT(B289, "-"), 1)</f>
        <v>480</v>
      </c>
      <c r="D289" t="str" cm="1">
        <f t="array" ref="D289">IFERROR(INDEX(_xlfn.TEXTSPLIT(B289, "-"), 2), "")</f>
        <v/>
      </c>
      <c r="E289" t="str">
        <f t="shared" si="12"/>
        <v>Aegina and Andros are impressed into the Hellenic League</v>
      </c>
      <c r="F289" t="str">
        <f t="shared" si="13"/>
        <v/>
      </c>
      <c r="H289" t="b">
        <f t="shared" si="14"/>
        <v>0</v>
      </c>
      <c r="J289" s="3" t="str">
        <v>480</v>
      </c>
      <c r="K289" s="4" t="str">
        <v>Aegina and Andros are impressed into the Hellenic League</v>
      </c>
      <c r="P289" t="str">
        <v>484</v>
      </c>
      <c r="Q289" t="str">
        <v>Aeschylus, Athenian playwright wins his first victory at the City Dionysia.</v>
      </c>
    </row>
    <row r="290" spans="1:17" x14ac:dyDescent="0.25">
      <c r="A290" t="s">
        <v>289</v>
      </c>
      <c r="B290" t="str" cm="1">
        <f t="array" ref="B290">INDEX(_xlfn.TEXTSPLIT(A290, " "), 1)</f>
        <v>480</v>
      </c>
      <c r="C290" t="str" cm="1">
        <f t="array" ref="C290">INDEX(_xlfn.TEXTSPLIT(B290, "-"), 1)</f>
        <v>480</v>
      </c>
      <c r="D290" t="str" cm="1">
        <f t="array" ref="D290">IFERROR(INDEX(_xlfn.TEXTSPLIT(B290, "-"), 2), "")</f>
        <v/>
      </c>
      <c r="E290" t="str">
        <f t="shared" si="12"/>
        <v>Emporion ousts Carthaginian influences</v>
      </c>
      <c r="F290" t="str">
        <f t="shared" si="13"/>
        <v/>
      </c>
      <c r="H290" t="b">
        <f t="shared" si="14"/>
        <v>0</v>
      </c>
      <c r="J290" s="3" t="str">
        <v>480</v>
      </c>
      <c r="K290" s="4" t="str">
        <v>Emporion ousts Carthaginian influences</v>
      </c>
      <c r="P290" t="str">
        <v>483</v>
      </c>
      <c r="Q290" t="str">
        <v>Megara Hyblaea and Licodia are destroyed by Gelon</v>
      </c>
    </row>
    <row r="291" spans="1:17" x14ac:dyDescent="0.25">
      <c r="A291" t="s">
        <v>290</v>
      </c>
      <c r="B291" t="str" cm="1">
        <f t="array" ref="B291">INDEX(_xlfn.TEXTSPLIT(A291, " "), 1)</f>
        <v>480</v>
      </c>
      <c r="C291" t="str" cm="1">
        <f t="array" ref="C291">INDEX(_xlfn.TEXTSPLIT(B291, "-"), 1)</f>
        <v>480</v>
      </c>
      <c r="D291" t="str" cm="1">
        <f t="array" ref="D291">IFERROR(INDEX(_xlfn.TEXTSPLIT(B291, "-"), 2), "")</f>
        <v/>
      </c>
      <c r="E291" t="str">
        <f t="shared" si="12"/>
        <v>Leonidas, Spartan, sacrifices 300 Spartan soldiers at the Battle of Thermopylae so main force can escape; Xerxes son of Darius is commanding the Persians.</v>
      </c>
      <c r="F291" t="str">
        <f t="shared" si="13"/>
        <v/>
      </c>
      <c r="H291" t="b">
        <f t="shared" si="14"/>
        <v>0</v>
      </c>
      <c r="J291" s="3" t="str">
        <v>480</v>
      </c>
      <c r="K291" s="4" t="str">
        <v>Leonidas, Spartan, sacrifices 300 Spartan soldiers at the Battle of Thermopylae so main force can escape; Xerxes son of Darius is commanding the Persians.</v>
      </c>
      <c r="P291" t="str">
        <v>483</v>
      </c>
      <c r="Q291" t="str">
        <v>Theron puts his son Thrasydaeus in charge of Himera as his vassal</v>
      </c>
    </row>
    <row r="292" spans="1:17" x14ac:dyDescent="0.25">
      <c r="A292" t="s">
        <v>291</v>
      </c>
      <c r="B292" t="str" cm="1">
        <f t="array" ref="B292">INDEX(_xlfn.TEXTSPLIT(A292, " "), 1)</f>
        <v>480</v>
      </c>
      <c r="C292" t="str" cm="1">
        <f t="array" ref="C292">INDEX(_xlfn.TEXTSPLIT(B292, "-"), 1)</f>
        <v>480</v>
      </c>
      <c r="D292" t="str" cm="1">
        <f t="array" ref="D292">IFERROR(INDEX(_xlfn.TEXTSPLIT(B292, "-"), 2), "")</f>
        <v/>
      </c>
      <c r="E292" t="str">
        <f t="shared" si="12"/>
        <v>Croton, Leucas and Corcyra joins the Hellenic League</v>
      </c>
      <c r="F292" t="str">
        <f t="shared" si="13"/>
        <v/>
      </c>
      <c r="H292" t="b">
        <f t="shared" si="14"/>
        <v>0</v>
      </c>
      <c r="J292" s="3" t="str">
        <v>480</v>
      </c>
      <c r="K292" s="4" t="str">
        <v>Croton, Leucas and Corcyra joins the Hellenic League</v>
      </c>
      <c r="P292" t="str">
        <v>481</v>
      </c>
      <c r="Q292" t="str">
        <v>Andros, Aegina and Akanthus among many other Greek Poleis declare allegiance to Persia</v>
      </c>
    </row>
    <row r="293" spans="1:17" x14ac:dyDescent="0.25">
      <c r="A293" t="s">
        <v>292</v>
      </c>
      <c r="B293" t="str" cm="1">
        <f t="array" ref="B293">INDEX(_xlfn.TEXTSPLIT(A293, " "), 1)</f>
        <v>480</v>
      </c>
      <c r="C293" t="str" cm="1">
        <f t="array" ref="C293">INDEX(_xlfn.TEXTSPLIT(B293, "-"), 1)</f>
        <v>480</v>
      </c>
      <c r="D293" t="str" cm="1">
        <f t="array" ref="D293">IFERROR(INDEX(_xlfn.TEXTSPLIT(B293, "-"), 2), "")</f>
        <v/>
      </c>
      <c r="E293" t="str">
        <f t="shared" si="12"/>
        <v>Simultaneous with Thermopylae, the Greeks and Persians fight to a draw in the naval Battle of Artemisium.</v>
      </c>
      <c r="F293" t="str">
        <f t="shared" si="13"/>
        <v/>
      </c>
      <c r="H293" t="b">
        <f t="shared" si="14"/>
        <v>0</v>
      </c>
      <c r="J293" s="3" t="str">
        <v>480</v>
      </c>
      <c r="K293" s="4" t="str">
        <v>Simultaneous with Thermopylae, the Greeks and Persians fight to a draw in the naval Battle of Artemisium.</v>
      </c>
      <c r="P293" t="str">
        <v>481</v>
      </c>
      <c r="Q293" t="str">
        <v>The Naxos, Milos, Sparta, Athens, Korinth, Kythnos and many other Greek Poleis form the Hellenic League to fight against the Persian Empire</v>
      </c>
    </row>
    <row r="294" spans="1:17" x14ac:dyDescent="0.25">
      <c r="A294" t="s">
        <v>293</v>
      </c>
      <c r="B294" t="str" cm="1">
        <f t="array" ref="B294">INDEX(_xlfn.TEXTSPLIT(A294, " "), 1)</f>
        <v>480</v>
      </c>
      <c r="C294" t="str" cm="1">
        <f t="array" ref="C294">INDEX(_xlfn.TEXTSPLIT(B294, "-"), 1)</f>
        <v>480</v>
      </c>
      <c r="D294" t="str" cm="1">
        <f t="array" ref="D294">IFERROR(INDEX(_xlfn.TEXTSPLIT(B294, "-"), 2), "")</f>
        <v/>
      </c>
      <c r="E294" t="str">
        <f t="shared" si="12"/>
        <v>Boeotia, Attica and Phocis are occupied by Persia</v>
      </c>
      <c r="F294" t="str">
        <f t="shared" si="13"/>
        <v/>
      </c>
      <c r="H294" t="b">
        <f t="shared" si="14"/>
        <v>0</v>
      </c>
      <c r="J294" s="3" t="str">
        <v>480</v>
      </c>
      <c r="K294" s="4" t="str">
        <v>Boeotia, Attica and Phocis are occupied by Persia</v>
      </c>
      <c r="P294" t="str">
        <v>480</v>
      </c>
      <c r="Q294" t="str">
        <v>Aegina and Andros are impressed into the Hellenic League</v>
      </c>
    </row>
    <row r="295" spans="1:17" x14ac:dyDescent="0.25">
      <c r="A295" t="s">
        <v>294</v>
      </c>
      <c r="B295" t="str" cm="1">
        <f t="array" ref="B295">INDEX(_xlfn.TEXTSPLIT(A295, " "), 1)</f>
        <v>480</v>
      </c>
      <c r="C295" t="str" cm="1">
        <f t="array" ref="C295">INDEX(_xlfn.TEXTSPLIT(B295, "-"), 1)</f>
        <v>480</v>
      </c>
      <c r="D295" t="str" cm="1">
        <f t="array" ref="D295">IFERROR(INDEX(_xlfn.TEXTSPLIT(B295, "-"), 2), "")</f>
        <v/>
      </c>
      <c r="E295" t="str">
        <f t="shared" si="12"/>
        <v>Battle of Salamis: Themistocles, Athenian general, lures Persians into Bay of Salamis, Xerxes loses and goes home, leaves behind Mardonius.</v>
      </c>
      <c r="F295" t="str">
        <f t="shared" si="13"/>
        <v/>
      </c>
      <c r="H295" t="b">
        <f t="shared" si="14"/>
        <v>0</v>
      </c>
      <c r="J295" s="3" t="str">
        <v>480</v>
      </c>
      <c r="K295" s="4" t="str">
        <v>Battle of Salamis: Themistocles, Athenian general, lures Persians into Bay of Salamis, Xerxes loses and goes home, leaves behind Mardonius.</v>
      </c>
      <c r="P295" t="str">
        <v>480</v>
      </c>
      <c r="Q295" t="str">
        <v>Emporion ousts Carthaginian influences</v>
      </c>
    </row>
    <row r="296" spans="1:17" x14ac:dyDescent="0.25">
      <c r="A296" t="s">
        <v>295</v>
      </c>
      <c r="B296" t="str" cm="1">
        <f t="array" ref="B296">INDEX(_xlfn.TEXTSPLIT(A296, " "), 1)</f>
        <v>480</v>
      </c>
      <c r="C296" t="str" cm="1">
        <f t="array" ref="C296">INDEX(_xlfn.TEXTSPLIT(B296, "-"), 1)</f>
        <v>480</v>
      </c>
      <c r="D296" t="str" cm="1">
        <f t="array" ref="D296">IFERROR(INDEX(_xlfn.TEXTSPLIT(B296, "-"), 2), "")</f>
        <v/>
      </c>
      <c r="E296" t="str">
        <f t="shared" si="12"/>
        <v>Possibly simultaneous with the Battle of Salamis, Battle of Himera between Carthage and Akragas (Theron)-Syracuse (Gelon)-Himera (Thrasydaeus)</v>
      </c>
      <c r="F296" t="str">
        <f t="shared" si="13"/>
        <v/>
      </c>
      <c r="H296" t="b">
        <f t="shared" si="14"/>
        <v>0</v>
      </c>
      <c r="J296" s="3" t="str">
        <v>480</v>
      </c>
      <c r="K296" s="4" t="str">
        <v>Possibly simultaneous with the Battle of Salamis, Battle of Himera between Carthage and Akragas (Theron)-Syracuse (Gelon)-Himera (Thrasydaeus)</v>
      </c>
      <c r="P296" t="str">
        <v>480</v>
      </c>
      <c r="Q296" t="str">
        <v>Leonidas, Spartan, sacrifices 300 Spartan soldiers at the Battle of Thermopylae so main force can escape; Xerxes son of Darius is commanding the Persians.</v>
      </c>
    </row>
    <row r="297" spans="1:17" x14ac:dyDescent="0.25">
      <c r="A297" t="s">
        <v>296</v>
      </c>
      <c r="B297" t="str" cm="1">
        <f t="array" ref="B297">INDEX(_xlfn.TEXTSPLIT(A297, " "), 1)</f>
        <v>479</v>
      </c>
      <c r="C297" t="str" cm="1">
        <f t="array" ref="C297">INDEX(_xlfn.TEXTSPLIT(B297, "-"), 1)</f>
        <v>479</v>
      </c>
      <c r="D297" t="str" cm="1">
        <f t="array" ref="D297">IFERROR(INDEX(_xlfn.TEXTSPLIT(B297, "-"), 2), "")</f>
        <v/>
      </c>
      <c r="E297" t="str">
        <f t="shared" si="12"/>
        <v>Pausanias, Greek general routs Mardonius at the Battle of Plataea.</v>
      </c>
      <c r="F297" t="str">
        <f t="shared" si="13"/>
        <v/>
      </c>
      <c r="H297" t="b">
        <f t="shared" si="14"/>
        <v>0</v>
      </c>
      <c r="J297" s="3" t="str">
        <v>479</v>
      </c>
      <c r="K297" s="4" t="str">
        <v>Pausanias, Greek general routs Mardonius at the Battle of Plataea.</v>
      </c>
      <c r="P297" t="str">
        <v>480</v>
      </c>
      <c r="Q297" t="str">
        <v>Croton, Leucas and Corcyra joins the Hellenic League</v>
      </c>
    </row>
    <row r="298" spans="1:17" x14ac:dyDescent="0.25">
      <c r="A298" t="s">
        <v>297</v>
      </c>
      <c r="B298" t="str" cm="1">
        <f t="array" ref="B298">INDEX(_xlfn.TEXTSPLIT(A298, " "), 1)</f>
        <v>479</v>
      </c>
      <c r="C298" t="str" cm="1">
        <f t="array" ref="C298">INDEX(_xlfn.TEXTSPLIT(B298, "-"), 1)</f>
        <v>479</v>
      </c>
      <c r="D298" t="str" cm="1">
        <f t="array" ref="D298">IFERROR(INDEX(_xlfn.TEXTSPLIT(B298, "-"), 2), "")</f>
        <v/>
      </c>
      <c r="E298" t="str">
        <f t="shared" si="12"/>
        <v>Battle of Mycale</v>
      </c>
      <c r="F298" t="str">
        <f t="shared" si="13"/>
        <v/>
      </c>
      <c r="H298" t="b">
        <f t="shared" si="14"/>
        <v>0</v>
      </c>
      <c r="J298" s="3" t="str">
        <v>479</v>
      </c>
      <c r="K298" s="4" t="str">
        <v>Battle of Mycale</v>
      </c>
      <c r="P298" t="str">
        <v>480</v>
      </c>
      <c r="Q298" t="str">
        <v>Simultaneous with Thermopylae, the Greeks and Persians fight to a draw in the naval Battle of Artemisium.</v>
      </c>
    </row>
    <row r="299" spans="1:17" x14ac:dyDescent="0.25">
      <c r="A299" t="s">
        <v>298</v>
      </c>
      <c r="B299" t="str" cm="1">
        <f t="array" ref="B299">INDEX(_xlfn.TEXTSPLIT(A299, " "), 1)</f>
        <v>479</v>
      </c>
      <c r="C299" t="str" cm="1">
        <f t="array" ref="C299">INDEX(_xlfn.TEXTSPLIT(B299, "-"), 1)</f>
        <v>479</v>
      </c>
      <c r="D299" t="str" cm="1">
        <f t="array" ref="D299">IFERROR(INDEX(_xlfn.TEXTSPLIT(B299, "-"), 2), "")</f>
        <v/>
      </c>
      <c r="E299" t="str">
        <f t="shared" si="12"/>
        <v>Rhodes, Samos, Kos and many Greek cities in Persia begin to declare independence</v>
      </c>
      <c r="F299" t="str">
        <f t="shared" si="13"/>
        <v/>
      </c>
      <c r="H299" t="b">
        <f t="shared" si="14"/>
        <v>0</v>
      </c>
      <c r="J299" s="3" t="str">
        <v>479</v>
      </c>
      <c r="K299" s="4" t="str">
        <v>Rhodes, Samos, Kos and many Greek cities in Persia begin to declare independence</v>
      </c>
      <c r="P299" t="str">
        <v>480</v>
      </c>
      <c r="Q299" t="str">
        <v>Boeotia, Attica and Phocis are occupied by Persia</v>
      </c>
    </row>
    <row r="300" spans="1:17" x14ac:dyDescent="0.25">
      <c r="A300" t="s">
        <v>299</v>
      </c>
      <c r="B300" t="str" cm="1">
        <f t="array" ref="B300">INDEX(_xlfn.TEXTSPLIT(A300, " "), 1)</f>
        <v>479</v>
      </c>
      <c r="C300" t="str" cm="1">
        <f t="array" ref="C300">INDEX(_xlfn.TEXTSPLIT(B300, "-"), 1)</f>
        <v>479</v>
      </c>
      <c r="D300" t="str" cm="1">
        <f t="array" ref="D300">IFERROR(INDEX(_xlfn.TEXTSPLIT(B300, "-"), 2), "")</f>
        <v/>
      </c>
      <c r="E300" t="str">
        <f t="shared" si="12"/>
        <v>Paros is vassalized by Athens</v>
      </c>
      <c r="F300" t="str">
        <f t="shared" si="13"/>
        <v/>
      </c>
      <c r="H300" t="b">
        <f t="shared" si="14"/>
        <v>0</v>
      </c>
      <c r="J300" s="3" t="str">
        <v>479</v>
      </c>
      <c r="K300" s="4" t="str">
        <v>Paros is vassalized by Athens</v>
      </c>
      <c r="P300" t="str">
        <v>480</v>
      </c>
      <c r="Q300" t="str">
        <v>Battle of Salamis: Themistocles, Athenian general, lures Persians into Bay of Salamis, Xerxes loses and goes home, leaves behind Mardonius.</v>
      </c>
    </row>
    <row r="301" spans="1:17" x14ac:dyDescent="0.25">
      <c r="A301" t="s">
        <v>300</v>
      </c>
      <c r="B301" t="str" cm="1">
        <f t="array" ref="B301">INDEX(_xlfn.TEXTSPLIT(A301, " "), 1)</f>
        <v>479</v>
      </c>
      <c r="C301" t="str" cm="1">
        <f t="array" ref="C301">INDEX(_xlfn.TEXTSPLIT(B301, "-"), 1)</f>
        <v>479</v>
      </c>
      <c r="D301" t="str" cm="1">
        <f t="array" ref="D301">IFERROR(INDEX(_xlfn.TEXTSPLIT(B301, "-"), 2), "")</f>
        <v/>
      </c>
      <c r="E301" t="str">
        <f t="shared" si="12"/>
        <v>Athens annexes Tenedos</v>
      </c>
      <c r="F301" t="str">
        <f t="shared" si="13"/>
        <v/>
      </c>
      <c r="H301" t="b">
        <f t="shared" si="14"/>
        <v>0</v>
      </c>
      <c r="J301" s="3" t="str">
        <v>479</v>
      </c>
      <c r="K301" s="4" t="str">
        <v>Athens annexes Tenedos</v>
      </c>
      <c r="P301" t="str">
        <v>480</v>
      </c>
      <c r="Q301" t="str">
        <v>Possibly simultaneous with the Battle of Salamis, Battle of Himera between Carthage and Akragas (Theron)-Syracuse (Gelon)-Himera (Thrasydaeus)</v>
      </c>
    </row>
    <row r="302" spans="1:17" x14ac:dyDescent="0.25">
      <c r="A302" t="s">
        <v>301</v>
      </c>
      <c r="B302" t="str" cm="1">
        <f t="array" ref="B302">INDEX(_xlfn.TEXTSPLIT(A302, " "), 1)</f>
        <v>479</v>
      </c>
      <c r="C302" t="str" cm="1">
        <f t="array" ref="C302">INDEX(_xlfn.TEXTSPLIT(B302, "-"), 1)</f>
        <v>479</v>
      </c>
      <c r="D302" t="str" cm="1">
        <f t="array" ref="D302">IFERROR(INDEX(_xlfn.TEXTSPLIT(B302, "-"), 2), "")</f>
        <v/>
      </c>
      <c r="E302" t="str">
        <f t="shared" si="12"/>
        <v>Sestos is besieged by Athens</v>
      </c>
      <c r="F302" t="str">
        <f t="shared" si="13"/>
        <v/>
      </c>
      <c r="H302" t="b">
        <f t="shared" si="14"/>
        <v>0</v>
      </c>
      <c r="J302" s="3" t="str">
        <v>479</v>
      </c>
      <c r="K302" s="4" t="str">
        <v>Sestos is besieged by Athens</v>
      </c>
      <c r="P302" t="str">
        <v>479</v>
      </c>
      <c r="Q302" t="str">
        <v>Pausanias, Greek general routs Mardonius at the Battle of Plataea.</v>
      </c>
    </row>
    <row r="303" spans="1:17" x14ac:dyDescent="0.25">
      <c r="A303" t="s">
        <v>302</v>
      </c>
      <c r="B303" t="str" cm="1">
        <f t="array" ref="B303">INDEX(_xlfn.TEXTSPLIT(A303, " "), 1)</f>
        <v>479</v>
      </c>
      <c r="C303" t="str" cm="1">
        <f t="array" ref="C303">INDEX(_xlfn.TEXTSPLIT(B303, "-"), 1)</f>
        <v>479</v>
      </c>
      <c r="D303" t="str" cm="1">
        <f t="array" ref="D303">IFERROR(INDEX(_xlfn.TEXTSPLIT(B303, "-"), 2), "")</f>
        <v/>
      </c>
      <c r="E303" t="str">
        <f t="shared" si="12"/>
        <v>Boeotian League is dissolved by Hellenic League</v>
      </c>
      <c r="F303" t="str">
        <f t="shared" si="13"/>
        <v/>
      </c>
      <c r="H303" t="b">
        <f t="shared" si="14"/>
        <v>0</v>
      </c>
      <c r="J303" s="3" t="str">
        <v>479</v>
      </c>
      <c r="K303" s="4" t="str">
        <v>Boeotian League is dissolved by Hellenic League</v>
      </c>
      <c r="P303" t="str">
        <v>479</v>
      </c>
      <c r="Q303" t="str">
        <v>Battle of Mycale</v>
      </c>
    </row>
    <row r="304" spans="1:17" x14ac:dyDescent="0.25">
      <c r="A304" t="s">
        <v>303</v>
      </c>
      <c r="B304" t="str" cm="1">
        <f t="array" ref="B304">INDEX(_xlfn.TEXTSPLIT(A304, " "), 1)</f>
        <v>479</v>
      </c>
      <c r="C304" t="str" cm="1">
        <f t="array" ref="C304">INDEX(_xlfn.TEXTSPLIT(B304, "-"), 1)</f>
        <v>479</v>
      </c>
      <c r="D304" t="str" cm="1">
        <f t="array" ref="D304">IFERROR(INDEX(_xlfn.TEXTSPLIT(B304, "-"), 2), "")</f>
        <v/>
      </c>
      <c r="E304" t="str">
        <f t="shared" si="12"/>
        <v>Sicel Ducetius overthrows Miniu</v>
      </c>
      <c r="F304" t="str">
        <f t="shared" si="13"/>
        <v/>
      </c>
      <c r="H304" t="b">
        <f t="shared" si="14"/>
        <v>0</v>
      </c>
      <c r="J304" s="3" t="str">
        <v>479</v>
      </c>
      <c r="K304" s="4" t="str">
        <v>Sicel Ducetius overthrows Miniu</v>
      </c>
      <c r="P304" t="str">
        <v>479</v>
      </c>
      <c r="Q304" t="str">
        <v>Rhodes, Samos, Kos and many Greek cities in Persia begin to declare independence</v>
      </c>
    </row>
    <row r="305" spans="1:17" x14ac:dyDescent="0.25">
      <c r="A305" t="s">
        <v>304</v>
      </c>
      <c r="B305" t="str" cm="1">
        <f t="array" ref="B305">INDEX(_xlfn.TEXTSPLIT(A305, " "), 1)</f>
        <v>478</v>
      </c>
      <c r="C305" t="str" cm="1">
        <f t="array" ref="C305">INDEX(_xlfn.TEXTSPLIT(B305, "-"), 1)</f>
        <v>478</v>
      </c>
      <c r="D305" t="str" cm="1">
        <f t="array" ref="D305">IFERROR(INDEX(_xlfn.TEXTSPLIT(B305, "-"), 2), "")</f>
        <v/>
      </c>
      <c r="E305" t="str">
        <f t="shared" si="12"/>
        <v>Byzantium is besieged by Athens</v>
      </c>
      <c r="F305" t="str">
        <f t="shared" si="13"/>
        <v/>
      </c>
      <c r="H305" t="b">
        <f t="shared" si="14"/>
        <v>0</v>
      </c>
      <c r="J305" s="3" t="str">
        <v>478</v>
      </c>
      <c r="K305" s="4" t="str">
        <v>Byzantium is besieged by Athens</v>
      </c>
      <c r="P305" t="str">
        <v>479</v>
      </c>
      <c r="Q305" t="str">
        <v>Paros is vassalized by Athens</v>
      </c>
    </row>
    <row r="306" spans="1:17" x14ac:dyDescent="0.25">
      <c r="A306" t="s">
        <v>305</v>
      </c>
      <c r="B306" t="str" cm="1">
        <f t="array" ref="B306">INDEX(_xlfn.TEXTSPLIT(A306, " "), 1)</f>
        <v>478</v>
      </c>
      <c r="C306" t="str" cm="1">
        <f t="array" ref="C306">INDEX(_xlfn.TEXTSPLIT(B306, "-"), 1)</f>
        <v>478</v>
      </c>
      <c r="D306" t="str" cm="1">
        <f t="array" ref="D306">IFERROR(INDEX(_xlfn.TEXTSPLIT(B306, "-"), 2), "")</f>
        <v/>
      </c>
      <c r="E306" t="str">
        <f t="shared" si="12"/>
        <v>Delian League is founded by Athens and is soon joined by Ionia, Delos, Kos, Euboea, Tilos, Rhodes, Karpathos, Athenai, Paros, Troezen, Sifnos, Doris, Aeolis, Andros, Aenea, Akanthos, Samos, Chalcis, Eretria, Chios, Methymna, Chalkidiki, Mutilḗnē, Sigeion, Éphesos and many others</v>
      </c>
      <c r="F306" t="str">
        <f t="shared" si="13"/>
        <v/>
      </c>
      <c r="H306" t="b">
        <f t="shared" si="14"/>
        <v>0</v>
      </c>
      <c r="J306" s="3" t="str">
        <v>478</v>
      </c>
      <c r="K306" s="4" t="str">
        <v>Delian League is founded by Athens and is soon joined by Ionia, Delos, Kos, Euboea, Tilos, Rhodes, Karpathos, Athenai, Paros, Troezen, Sifnos, Doris, Aeolis, Andros, Aenea, Akanthos, Samos, Chalcis, Eretria, Chios, Methymna, Chalkidiki, Mutilḗnē, Sigeion, Éphesos and many others</v>
      </c>
      <c r="P306" t="str">
        <v>479</v>
      </c>
      <c r="Q306" t="str">
        <v>Athens annexes Tenedos</v>
      </c>
    </row>
    <row r="307" spans="1:17" x14ac:dyDescent="0.25">
      <c r="A307" t="s">
        <v>306</v>
      </c>
      <c r="B307" t="str" cm="1">
        <f t="array" ref="B307">INDEX(_xlfn.TEXTSPLIT(A307, " "), 1)</f>
        <v>478</v>
      </c>
      <c r="C307" t="str" cm="1">
        <f t="array" ref="C307">INDEX(_xlfn.TEXTSPLIT(B307, "-"), 1)</f>
        <v>478</v>
      </c>
      <c r="D307" t="str" cm="1">
        <f t="array" ref="D307">IFERROR(INDEX(_xlfn.TEXTSPLIT(B307, "-"), 2), "")</f>
        <v/>
      </c>
      <c r="E307" t="str">
        <f t="shared" si="12"/>
        <v>Gelon dies and is succeeded by Hieron, Polyzelos is put in control of Gela</v>
      </c>
      <c r="F307" t="str">
        <f t="shared" si="13"/>
        <v/>
      </c>
      <c r="H307" t="b">
        <f t="shared" si="14"/>
        <v>0</v>
      </c>
      <c r="J307" s="3" t="str">
        <v>478</v>
      </c>
      <c r="K307" s="4" t="str">
        <v>Gelon dies and is succeeded by Hieron, Polyzelos is put in control of Gela</v>
      </c>
      <c r="P307" t="str">
        <v>479</v>
      </c>
      <c r="Q307" t="str">
        <v>Sestos is besieged by Athens</v>
      </c>
    </row>
    <row r="308" spans="1:17" x14ac:dyDescent="0.25">
      <c r="A308" t="s">
        <v>307</v>
      </c>
      <c r="B308" t="str" cm="1">
        <f t="array" ref="B308">INDEX(_xlfn.TEXTSPLIT(A308, " "), 1)</f>
        <v>477</v>
      </c>
      <c r="C308" t="str" cm="1">
        <f t="array" ref="C308">INDEX(_xlfn.TEXTSPLIT(B308, "-"), 1)</f>
        <v>477</v>
      </c>
      <c r="D308" t="str" cm="1">
        <f t="array" ref="D308">IFERROR(INDEX(_xlfn.TEXTSPLIT(B308, "-"), 2), "")</f>
        <v/>
      </c>
      <c r="E308" t="str">
        <f t="shared" si="12"/>
        <v>The Persian Empire abandons Europe except Doriskus and Eion</v>
      </c>
      <c r="F308" t="str">
        <f t="shared" si="13"/>
        <v/>
      </c>
      <c r="H308" t="b">
        <f t="shared" si="14"/>
        <v>0</v>
      </c>
      <c r="J308" s="3" t="str">
        <v>477</v>
      </c>
      <c r="K308" s="4" t="str">
        <v>The Persian Empire abandons Europe except Doriskus and Eion</v>
      </c>
      <c r="P308" t="str">
        <v>479</v>
      </c>
      <c r="Q308" t="str">
        <v>Boeotian League is dissolved by Hellenic League</v>
      </c>
    </row>
    <row r="309" spans="1:17" x14ac:dyDescent="0.25">
      <c r="A309" t="s">
        <v>308</v>
      </c>
      <c r="B309" t="str" cm="1">
        <f t="array" ref="B309">INDEX(_xlfn.TEXTSPLIT(A309, " "), 1)</f>
        <v>477</v>
      </c>
      <c r="C309" t="str" cm="1">
        <f t="array" ref="C309">INDEX(_xlfn.TEXTSPLIT(B309, "-"), 1)</f>
        <v>477</v>
      </c>
      <c r="D309" t="str" cm="1">
        <f t="array" ref="D309">IFERROR(INDEX(_xlfn.TEXTSPLIT(B309, "-"), 2), "")</f>
        <v/>
      </c>
      <c r="E309" t="str">
        <f t="shared" si="12"/>
        <v>Chalcedon, Byzantium, Carystus, Ainos, Perinthos and others join the Delian League</v>
      </c>
      <c r="F309" t="str">
        <f t="shared" si="13"/>
        <v/>
      </c>
      <c r="H309" t="b">
        <f t="shared" si="14"/>
        <v>0</v>
      </c>
      <c r="J309" s="3" t="str">
        <v>477</v>
      </c>
      <c r="K309" s="4" t="str">
        <v>Chalcedon, Byzantium, Carystus, Ainos, Perinthos and others join the Delian League</v>
      </c>
      <c r="P309" t="str">
        <v>479</v>
      </c>
      <c r="Q309" t="str">
        <v>Sicel Ducetius overthrows Miniu</v>
      </c>
    </row>
    <row r="310" spans="1:17" x14ac:dyDescent="0.25">
      <c r="A310" t="s">
        <v>309</v>
      </c>
      <c r="B310" t="str" cm="1">
        <f t="array" ref="B310">INDEX(_xlfn.TEXTSPLIT(A310, " "), 1)</f>
        <v>477</v>
      </c>
      <c r="C310" t="str" cm="1">
        <f t="array" ref="C310">INDEX(_xlfn.TEXTSPLIT(B310, "-"), 1)</f>
        <v>477</v>
      </c>
      <c r="D310" t="str" cm="1">
        <f t="array" ref="D310">IFERROR(INDEX(_xlfn.TEXTSPLIT(B310, "-"), 2), "")</f>
        <v/>
      </c>
      <c r="E310" t="str">
        <f t="shared" si="12"/>
        <v>Andros is turned into an Athenian cleurchy</v>
      </c>
      <c r="F310" t="str">
        <f t="shared" si="13"/>
        <v/>
      </c>
      <c r="H310" t="b">
        <f t="shared" si="14"/>
        <v>0</v>
      </c>
      <c r="J310" s="3" t="str">
        <v>477</v>
      </c>
      <c r="K310" s="4" t="str">
        <v>Andros is turned into an Athenian cleurchy</v>
      </c>
      <c r="P310" t="str">
        <v>478</v>
      </c>
      <c r="Q310" t="str">
        <v>Byzantium is besieged by Athens</v>
      </c>
    </row>
    <row r="311" spans="1:17" x14ac:dyDescent="0.25">
      <c r="A311" t="s">
        <v>310</v>
      </c>
      <c r="B311" t="str" cm="1">
        <f t="array" ref="B311">INDEX(_xlfn.TEXTSPLIT(A311, " "), 1)</f>
        <v>476</v>
      </c>
      <c r="C311" t="str" cm="1">
        <f t="array" ref="C311">INDEX(_xlfn.TEXTSPLIT(B311, "-"), 1)</f>
        <v>476</v>
      </c>
      <c r="D311" t="str" cm="1">
        <f t="array" ref="D311">IFERROR(INDEX(_xlfn.TEXTSPLIT(B311, "-"), 2), "")</f>
        <v/>
      </c>
      <c r="E311" t="str">
        <f t="shared" si="12"/>
        <v>Micythus becomes Tyrant of Rhegion after Anaxilas' death</v>
      </c>
      <c r="F311" t="str">
        <f t="shared" si="13"/>
        <v/>
      </c>
      <c r="H311" t="b">
        <f t="shared" si="14"/>
        <v>0</v>
      </c>
      <c r="J311" s="3" t="str">
        <v>476</v>
      </c>
      <c r="K311" s="4" t="str">
        <v>Micythus becomes Tyrant of Rhegion after Anaxilas' death</v>
      </c>
      <c r="P311" t="str">
        <v>478</v>
      </c>
      <c r="Q311" t="str">
        <v>Delian League is founded by Athens and is soon joined by Ionia, Delos, Kos, Euboea, Tilos, Rhodes, Karpathos, Athenai, Paros, Troezen, Sifnos, Doris, Aeolis, Andros, Aenea, Akanthos, Samos, Chalcis, Eretria, Chios, Methymna, Chalkidiki, Mutilḗnē, Sigeion, Éphesos and many others</v>
      </c>
    </row>
    <row r="312" spans="1:17" x14ac:dyDescent="0.25">
      <c r="A312" t="s">
        <v>311</v>
      </c>
      <c r="B312" t="str" cm="1">
        <f t="array" ref="B312">INDEX(_xlfn.TEXTSPLIT(A312, " "), 1)</f>
        <v>476</v>
      </c>
      <c r="C312" t="str" cm="1">
        <f t="array" ref="C312">INDEX(_xlfn.TEXTSPLIT(B312, "-"), 1)</f>
        <v>476</v>
      </c>
      <c r="D312" t="str" cm="1">
        <f t="array" ref="D312">IFERROR(INDEX(_xlfn.TEXTSPLIT(B312, "-"), 2), "")</f>
        <v/>
      </c>
      <c r="E312" t="str">
        <f t="shared" si="12"/>
        <v>Catania is split between Hieron and Ducetius, Catania is renamed Aetna, settled by Dorians and ruled by the Tyrant Deinmenes II</v>
      </c>
      <c r="F312" t="str">
        <f t="shared" si="13"/>
        <v/>
      </c>
      <c r="H312" t="b">
        <f t="shared" si="14"/>
        <v>0</v>
      </c>
      <c r="J312" s="3" t="str">
        <v>476</v>
      </c>
      <c r="K312" s="4" t="str">
        <v>Catania is split between Hieron and Ducetius, Catania is renamed Aetna, settled by Dorians and ruled by the Tyrant Deinmenes II</v>
      </c>
      <c r="P312" t="str">
        <v>478</v>
      </c>
      <c r="Q312" t="str">
        <v>Gelon dies and is succeeded by Hieron, Polyzelos is put in control of Gela</v>
      </c>
    </row>
    <row r="313" spans="1:17" x14ac:dyDescent="0.25">
      <c r="A313" t="s">
        <v>312</v>
      </c>
      <c r="B313" t="str" cm="1">
        <f t="array" ref="B313">INDEX(_xlfn.TEXTSPLIT(A313, " "), 1)</f>
        <v>476</v>
      </c>
      <c r="C313" t="str" cm="1">
        <f t="array" ref="C313">INDEX(_xlfn.TEXTSPLIT(B313, "-"), 1)</f>
        <v>476</v>
      </c>
      <c r="D313" t="str" cm="1">
        <f t="array" ref="D313">IFERROR(INDEX(_xlfn.TEXTSPLIT(B313, "-"), 2), "")</f>
        <v/>
      </c>
      <c r="E313" t="str">
        <f t="shared" si="12"/>
        <v>Taras allies with Rhegion to protect themselves from the Iapygians, but later lose to them in battle</v>
      </c>
      <c r="F313" t="str">
        <f t="shared" si="13"/>
        <v/>
      </c>
      <c r="H313" t="b">
        <f t="shared" si="14"/>
        <v>0</v>
      </c>
      <c r="J313" s="3" t="str">
        <v>476</v>
      </c>
      <c r="K313" s="4" t="str">
        <v>Taras allies with Rhegion to protect themselves from the Iapygians, but later lose to them in battle</v>
      </c>
      <c r="P313" t="str">
        <v>477</v>
      </c>
      <c r="Q313" t="str">
        <v>The Persian Empire abandons Europe except Doriskus and Eion</v>
      </c>
    </row>
    <row r="314" spans="1:17" x14ac:dyDescent="0.25">
      <c r="A314" t="s">
        <v>313</v>
      </c>
      <c r="B314" t="str" cm="1">
        <f t="array" ref="B314">INDEX(_xlfn.TEXTSPLIT(A314, " "), 1)</f>
        <v>476</v>
      </c>
      <c r="C314" t="str" cm="1">
        <f t="array" ref="C314">INDEX(_xlfn.TEXTSPLIT(B314, "-"), 1)</f>
        <v>476</v>
      </c>
      <c r="D314" t="str" cm="1">
        <f t="array" ref="D314">IFERROR(INDEX(_xlfn.TEXTSPLIT(B314, "-"), 2), "")</f>
        <v/>
      </c>
      <c r="E314" t="str">
        <f t="shared" si="12"/>
        <v>Himera is settled by Doric colonists</v>
      </c>
      <c r="F314" t="str">
        <f t="shared" si="13"/>
        <v/>
      </c>
      <c r="H314" t="b">
        <f t="shared" si="14"/>
        <v>0</v>
      </c>
      <c r="J314" s="3" t="str">
        <v>476</v>
      </c>
      <c r="K314" s="4" t="str">
        <v>Himera is settled by Doric colonists</v>
      </c>
      <c r="P314" t="str">
        <v>477</v>
      </c>
      <c r="Q314" t="str">
        <v>Chalcedon, Byzantium, Carystus, Ainos, Perinthos and others join the Delian League</v>
      </c>
    </row>
    <row r="315" spans="1:17" x14ac:dyDescent="0.25">
      <c r="A315" t="s">
        <v>314</v>
      </c>
      <c r="B315" t="str" cm="1">
        <f t="array" ref="B315">INDEX(_xlfn.TEXTSPLIT(A315, " "), 1)</f>
        <v>476</v>
      </c>
      <c r="C315" t="str" cm="1">
        <f t="array" ref="C315">INDEX(_xlfn.TEXTSPLIT(B315, "-"), 1)</f>
        <v>476</v>
      </c>
      <c r="D315" t="str" cm="1">
        <f t="array" ref="D315">IFERROR(INDEX(_xlfn.TEXTSPLIT(B315, "-"), 2), "")</f>
        <v/>
      </c>
      <c r="E315" t="str">
        <f t="shared" si="12"/>
        <v>Sybaris declares independence from Kroton</v>
      </c>
      <c r="F315" t="str">
        <f t="shared" si="13"/>
        <v/>
      </c>
      <c r="H315" t="b">
        <f t="shared" si="14"/>
        <v>0</v>
      </c>
      <c r="J315" s="3" t="str">
        <v>476</v>
      </c>
      <c r="K315" s="4" t="str">
        <v>Sybaris declares independence from Kroton</v>
      </c>
      <c r="P315" t="str">
        <v>477</v>
      </c>
      <c r="Q315" t="str">
        <v>Andros is turned into an Athenian cleurchy</v>
      </c>
    </row>
    <row r="316" spans="1:17" x14ac:dyDescent="0.25">
      <c r="A316" t="s">
        <v>315</v>
      </c>
      <c r="B316" t="str" cm="1">
        <f t="array" ref="B316">INDEX(_xlfn.TEXTSPLIT(A316, " "), 1)</f>
        <v>476-462</v>
      </c>
      <c r="C316" t="str" cm="1">
        <f t="array" ref="C316">INDEX(_xlfn.TEXTSPLIT(B316, "-"), 1)</f>
        <v>476</v>
      </c>
      <c r="D316" t="str" cm="1">
        <f t="array" ref="D316">IFERROR(INDEX(_xlfn.TEXTSPLIT(B316, "-"), 2), "")</f>
        <v>462</v>
      </c>
      <c r="E316" t="str">
        <f t="shared" si="12"/>
        <v>Cimon elected general each year --&gt;</v>
      </c>
      <c r="F316" t="str">
        <f t="shared" si="13"/>
        <v>--&gt; Cimon elected general each year</v>
      </c>
      <c r="H316" t="b">
        <f t="shared" si="14"/>
        <v>1</v>
      </c>
      <c r="J316" s="3" t="str">
        <v>476</v>
      </c>
      <c r="K316" s="4" t="str">
        <v>Cimon elected general each year --&gt;</v>
      </c>
      <c r="P316" t="str">
        <v>476</v>
      </c>
      <c r="Q316" t="str">
        <v>Micythus becomes Tyrant of Rhegion after Anaxilas' death</v>
      </c>
    </row>
    <row r="317" spans="1:17" x14ac:dyDescent="0.25">
      <c r="A317" t="s">
        <v>316</v>
      </c>
      <c r="B317" t="str" cm="1">
        <f t="array" ref="B317">INDEX(_xlfn.TEXTSPLIT(A317, " "), 1)</f>
        <v>475</v>
      </c>
      <c r="C317" t="str" cm="1">
        <f t="array" ref="C317">INDEX(_xlfn.TEXTSPLIT(B317, "-"), 1)</f>
        <v>475</v>
      </c>
      <c r="D317" t="str" cm="1">
        <f t="array" ref="D317">IFERROR(INDEX(_xlfn.TEXTSPLIT(B317, "-"), 2), "")</f>
        <v/>
      </c>
      <c r="E317" t="str">
        <f t="shared" si="12"/>
        <v>Sybaris is annexed by Kroton</v>
      </c>
      <c r="F317" t="str">
        <f t="shared" si="13"/>
        <v/>
      </c>
      <c r="H317" t="b">
        <f t="shared" si="14"/>
        <v>0</v>
      </c>
      <c r="J317" s="3" t="str">
        <v>475</v>
      </c>
      <c r="K317" s="4" t="str">
        <v>Sybaris is annexed by Kroton</v>
      </c>
      <c r="P317" t="str">
        <v>476</v>
      </c>
      <c r="Q317" t="str">
        <v>Catania is split between Hieron and Ducetius, Catania is renamed Aetna, settled by Dorians and ruled by the Tyrant Deinmenes II</v>
      </c>
    </row>
    <row r="318" spans="1:17" x14ac:dyDescent="0.25">
      <c r="A318" t="s">
        <v>317</v>
      </c>
      <c r="B318" t="str" cm="1">
        <f t="array" ref="B318">INDEX(_xlfn.TEXTSPLIT(A318, " "), 1)</f>
        <v>475</v>
      </c>
      <c r="C318" t="str" cm="1">
        <f t="array" ref="C318">INDEX(_xlfn.TEXTSPLIT(B318, "-"), 1)</f>
        <v>475</v>
      </c>
      <c r="D318" t="str" cm="1">
        <f t="array" ref="D318">IFERROR(INDEX(_xlfn.TEXTSPLIT(B318, "-"), 2), "")</f>
        <v/>
      </c>
      <c r="E318" t="str">
        <f t="shared" si="12"/>
        <v>Abdera and Eion join the Delian League</v>
      </c>
      <c r="F318" t="str">
        <f t="shared" si="13"/>
        <v/>
      </c>
      <c r="H318" t="b">
        <f t="shared" si="14"/>
        <v>0</v>
      </c>
      <c r="J318" s="3" t="str">
        <v>475</v>
      </c>
      <c r="K318" s="4" t="str">
        <v>Abdera and Eion join the Delian League</v>
      </c>
      <c r="P318" t="str">
        <v>476</v>
      </c>
      <c r="Q318" t="str">
        <v>Taras allies with Rhegion to protect themselves from the Iapygians, but later lose to them in battle</v>
      </c>
    </row>
    <row r="319" spans="1:17" x14ac:dyDescent="0.25">
      <c r="A319" t="s">
        <v>318</v>
      </c>
      <c r="B319" t="str" cm="1">
        <f t="array" ref="B319">INDEX(_xlfn.TEXTSPLIT(A319, " "), 1)</f>
        <v>475</v>
      </c>
      <c r="C319" t="str" cm="1">
        <f t="array" ref="C319">INDEX(_xlfn.TEXTSPLIT(B319, "-"), 1)</f>
        <v>475</v>
      </c>
      <c r="D319" t="str" cm="1">
        <f t="array" ref="D319">IFERROR(INDEX(_xlfn.TEXTSPLIT(B319, "-"), 2), "")</f>
        <v/>
      </c>
      <c r="E319" t="str">
        <f t="shared" si="12"/>
        <v>Skyros is annexed by Athens</v>
      </c>
      <c r="F319" t="str">
        <f t="shared" si="13"/>
        <v/>
      </c>
      <c r="H319" t="b">
        <f t="shared" si="14"/>
        <v>0</v>
      </c>
      <c r="J319" s="3" t="str">
        <v>475</v>
      </c>
      <c r="K319" s="4" t="str">
        <v>Skyros is annexed by Athens</v>
      </c>
      <c r="P319" t="str">
        <v>476</v>
      </c>
      <c r="Q319" t="str">
        <v>Himera is settled by Doric colonists</v>
      </c>
    </row>
    <row r="320" spans="1:17" x14ac:dyDescent="0.25">
      <c r="A320" t="s">
        <v>319</v>
      </c>
      <c r="B320" t="str" cm="1">
        <f t="array" ref="B320">INDEX(_xlfn.TEXTSPLIT(A320, " "), 1)</f>
        <v>474</v>
      </c>
      <c r="C320" t="str" cm="1">
        <f t="array" ref="C320">INDEX(_xlfn.TEXTSPLIT(B320, "-"), 1)</f>
        <v>474</v>
      </c>
      <c r="D320" t="str" cm="1">
        <f t="array" ref="D320">IFERROR(INDEX(_xlfn.TEXTSPLIT(B320, "-"), 2), "")</f>
        <v/>
      </c>
      <c r="E320" t="str">
        <f t="shared" si="12"/>
        <v>Battle of Cumae</v>
      </c>
      <c r="F320" t="str">
        <f t="shared" si="13"/>
        <v/>
      </c>
      <c r="H320" t="b">
        <f t="shared" si="14"/>
        <v>0</v>
      </c>
      <c r="J320" s="3" t="str">
        <v>474</v>
      </c>
      <c r="K320" s="4" t="str">
        <v>Battle of Cumae</v>
      </c>
      <c r="P320" t="str">
        <v>476</v>
      </c>
      <c r="Q320" t="str">
        <v>Sybaris declares independence from Kroton</v>
      </c>
    </row>
    <row r="321" spans="1:17" x14ac:dyDescent="0.25">
      <c r="A321" t="s">
        <v>320</v>
      </c>
      <c r="B321" t="str" cm="1">
        <f t="array" ref="B321">INDEX(_xlfn.TEXTSPLIT(A321, " "), 1)</f>
        <v>474</v>
      </c>
      <c r="C321" t="str" cm="1">
        <f t="array" ref="C321">INDEX(_xlfn.TEXTSPLIT(B321, "-"), 1)</f>
        <v>474</v>
      </c>
      <c r="D321" t="str" cm="1">
        <f t="array" ref="D321">IFERROR(INDEX(_xlfn.TEXTSPLIT(B321, "-"), 2), "")</f>
        <v/>
      </c>
      <c r="E321" t="str">
        <f t="shared" si="12"/>
        <v>Naxos joins the Delian League</v>
      </c>
      <c r="F321" t="str">
        <f t="shared" si="13"/>
        <v/>
      </c>
      <c r="H321" t="b">
        <f t="shared" si="14"/>
        <v>0</v>
      </c>
      <c r="J321" s="3" t="str">
        <v>474</v>
      </c>
      <c r="K321" s="4" t="str">
        <v>Naxos joins the Delian League</v>
      </c>
      <c r="P321" t="str">
        <v>476</v>
      </c>
      <c r="Q321" t="str">
        <v>Cimon elected general each year --&gt;</v>
      </c>
    </row>
    <row r="322" spans="1:17" x14ac:dyDescent="0.25">
      <c r="A322" t="s">
        <v>321</v>
      </c>
      <c r="B322" t="str" cm="1">
        <f t="array" ref="B322">INDEX(_xlfn.TEXTSPLIT(A322, " "), 1)</f>
        <v>474</v>
      </c>
      <c r="C322" t="str" cm="1">
        <f t="array" ref="C322">INDEX(_xlfn.TEXTSPLIT(B322, "-"), 1)</f>
        <v>474</v>
      </c>
      <c r="D322" t="str" cm="1">
        <f t="array" ref="D322">IFERROR(INDEX(_xlfn.TEXTSPLIT(B322, "-"), 2), "")</f>
        <v/>
      </c>
      <c r="E322" t="str">
        <f t="shared" si="12"/>
        <v>Hieron occupies the Parthenopean Islands</v>
      </c>
      <c r="F322" t="str">
        <f t="shared" si="13"/>
        <v/>
      </c>
      <c r="H322" t="b">
        <f t="shared" si="14"/>
        <v>0</v>
      </c>
      <c r="J322" s="3" t="str">
        <v>474</v>
      </c>
      <c r="K322" s="4" t="str">
        <v>Hieron occupies the Parthenopean Islands</v>
      </c>
      <c r="P322" t="str">
        <v>475</v>
      </c>
      <c r="Q322" t="str">
        <v>Sybaris is annexed by Kroton</v>
      </c>
    </row>
    <row r="323" spans="1:17" x14ac:dyDescent="0.25">
      <c r="A323" t="s">
        <v>322</v>
      </c>
      <c r="B323" t="str" cm="1">
        <f t="array" ref="B323">INDEX(_xlfn.TEXTSPLIT(A323, " "), 1)</f>
        <v>474</v>
      </c>
      <c r="C323" t="str" cm="1">
        <f t="array" ref="C323">INDEX(_xlfn.TEXTSPLIT(B323, "-"), 1)</f>
        <v>474</v>
      </c>
      <c r="D323" t="str" cm="1">
        <f t="array" ref="D323">IFERROR(INDEX(_xlfn.TEXTSPLIT(B323, "-"), 2), "")</f>
        <v/>
      </c>
      <c r="E323" t="str">
        <f t="shared" ref="E323:E386" si="15">_xlfn.LET(
  _xlpm.szoveg,
  MID(A323, SEARCH(" ", A323) + 1, LEN(A323)),
  IF(ISNUMBER(SEARCH("-",B323)), _xlpm.szoveg &amp; " --&gt;", _xlpm.szoveg)
)</f>
        <v>Pindar, Greek poet relocates to Thebes (in Greece) from court at Syracuse.</v>
      </c>
      <c r="F323" t="str">
        <f t="shared" ref="F323:F386" si="16">_xlfn.LET(
  _xlpm.szoveg,
  MID(A323, SEARCH(" ", A323) + 1, LEN(A323)),
  IF(ISNUMBER(SEARCH("-",B323)), "--&gt; " &amp; _xlpm.szoveg, "")
)</f>
        <v/>
      </c>
      <c r="H323" t="b">
        <f t="shared" ref="H323:H386" si="17">ISNUMBER(SEARCH("-", B323))</f>
        <v>0</v>
      </c>
      <c r="J323" s="3" t="str">
        <v>474</v>
      </c>
      <c r="K323" s="4" t="str">
        <v>Pindar, Greek poet relocates to Thebes (in Greece) from court at Syracuse.</v>
      </c>
      <c r="P323" t="str">
        <v>475</v>
      </c>
      <c r="Q323" t="str">
        <v>Abdera and Eion join the Delian League</v>
      </c>
    </row>
    <row r="324" spans="1:17" x14ac:dyDescent="0.25">
      <c r="A324" t="s">
        <v>323</v>
      </c>
      <c r="B324" t="str" cm="1">
        <f t="array" ref="B324">INDEX(_xlfn.TEXTSPLIT(A324, " "), 1)</f>
        <v>473</v>
      </c>
      <c r="C324" t="str" cm="1">
        <f t="array" ref="C324">INDEX(_xlfn.TEXTSPLIT(B324, "-"), 1)</f>
        <v>473</v>
      </c>
      <c r="D324" t="str" cm="1">
        <f t="array" ref="D324">IFERROR(INDEX(_xlfn.TEXTSPLIT(B324, "-"), 2), "")</f>
        <v/>
      </c>
      <c r="E324" t="str">
        <f t="shared" si="15"/>
        <v>Taras is defeated by the Iapygians</v>
      </c>
      <c r="F324" t="str">
        <f t="shared" si="16"/>
        <v/>
      </c>
      <c r="H324" t="b">
        <f t="shared" si="17"/>
        <v>0</v>
      </c>
      <c r="J324" s="3" t="str">
        <v>473</v>
      </c>
      <c r="K324" s="4" t="str">
        <v>Taras is defeated by the Iapygians</v>
      </c>
      <c r="P324" t="str">
        <v>475</v>
      </c>
      <c r="Q324" t="str">
        <v>Skyros is annexed by Athens</v>
      </c>
    </row>
    <row r="325" spans="1:17" x14ac:dyDescent="0.25">
      <c r="A325" t="s">
        <v>324</v>
      </c>
      <c r="B325" t="str" cm="1">
        <f t="array" ref="B325">INDEX(_xlfn.TEXTSPLIT(A325, " "), 1)</f>
        <v>472</v>
      </c>
      <c r="C325" t="str" cm="1">
        <f t="array" ref="C325">INDEX(_xlfn.TEXTSPLIT(B325, "-"), 1)</f>
        <v>472</v>
      </c>
      <c r="D325" t="str" cm="1">
        <f t="array" ref="D325">IFERROR(INDEX(_xlfn.TEXTSPLIT(B325, "-"), 2), "")</f>
        <v/>
      </c>
      <c r="E325" t="str">
        <f t="shared" si="15"/>
        <v>Thrasydaeus annexes Akragas after death of Theron</v>
      </c>
      <c r="F325" t="str">
        <f t="shared" si="16"/>
        <v/>
      </c>
      <c r="H325" t="b">
        <f t="shared" si="17"/>
        <v>0</v>
      </c>
      <c r="J325" s="3" t="str">
        <v>472</v>
      </c>
      <c r="K325" s="4" t="str">
        <v>Thrasydaeus annexes Akragas after death of Theron</v>
      </c>
      <c r="P325" t="str">
        <v>474</v>
      </c>
      <c r="Q325" t="str">
        <v>Battle of Cumae</v>
      </c>
    </row>
    <row r="326" spans="1:17" x14ac:dyDescent="0.25">
      <c r="A326" t="s">
        <v>325</v>
      </c>
      <c r="B326" t="str" cm="1">
        <f t="array" ref="B326">INDEX(_xlfn.TEXTSPLIT(A326, " "), 1)</f>
        <v>471</v>
      </c>
      <c r="C326" t="str" cm="1">
        <f t="array" ref="C326">INDEX(_xlfn.TEXTSPLIT(B326, "-"), 1)</f>
        <v>471</v>
      </c>
      <c r="D326" t="str" cm="1">
        <f t="array" ref="D326">IFERROR(INDEX(_xlfn.TEXTSPLIT(B326, "-"), 2), "")</f>
        <v/>
      </c>
      <c r="E326" t="str">
        <f t="shared" si="15"/>
        <v>Naxos leaves the Delian League and is subsequently sieged by Athens</v>
      </c>
      <c r="F326" t="str">
        <f t="shared" si="16"/>
        <v/>
      </c>
      <c r="H326" t="b">
        <f t="shared" si="17"/>
        <v>0</v>
      </c>
      <c r="J326" s="3" t="str">
        <v>471</v>
      </c>
      <c r="K326" s="4" t="str">
        <v>Naxos leaves the Delian League and is subsequently sieged by Athens</v>
      </c>
      <c r="P326" t="str">
        <v>474</v>
      </c>
      <c r="Q326" t="str">
        <v>Naxos joins the Delian League</v>
      </c>
    </row>
    <row r="327" spans="1:17" x14ac:dyDescent="0.25">
      <c r="A327" t="s">
        <v>326</v>
      </c>
      <c r="B327" t="str" cm="1">
        <f t="array" ref="B327">INDEX(_xlfn.TEXTSPLIT(A327, " "), 1)</f>
        <v>471</v>
      </c>
      <c r="C327" t="str" cm="1">
        <f t="array" ref="C327">INDEX(_xlfn.TEXTSPLIT(B327, "-"), 1)</f>
        <v>471</v>
      </c>
      <c r="D327" t="str" cm="1">
        <f t="array" ref="D327">IFERROR(INDEX(_xlfn.TEXTSPLIT(B327, "-"), 2), "")</f>
        <v/>
      </c>
      <c r="E327" t="str">
        <f t="shared" si="15"/>
        <v>Themistocles ostracized.</v>
      </c>
      <c r="F327" t="str">
        <f t="shared" si="16"/>
        <v/>
      </c>
      <c r="H327" t="b">
        <f t="shared" si="17"/>
        <v>0</v>
      </c>
      <c r="J327" s="3" t="str">
        <v>471</v>
      </c>
      <c r="K327" s="4" t="str">
        <v>Themistocles ostracized.</v>
      </c>
      <c r="P327" t="str">
        <v>474</v>
      </c>
      <c r="Q327" t="str">
        <v>Hieron occupies the Parthenopean Islands</v>
      </c>
    </row>
    <row r="328" spans="1:17" x14ac:dyDescent="0.25">
      <c r="A328" t="s">
        <v>327</v>
      </c>
      <c r="B328" t="str" cm="1">
        <f t="array" ref="B328">INDEX(_xlfn.TEXTSPLIT(A328, " "), 1)</f>
        <v>470</v>
      </c>
      <c r="C328" t="str" cm="1">
        <f t="array" ref="C328">INDEX(_xlfn.TEXTSPLIT(B328, "-"), 1)</f>
        <v>470</v>
      </c>
      <c r="D328" t="str" cm="1">
        <f t="array" ref="D328">IFERROR(INDEX(_xlfn.TEXTSPLIT(B328, "-"), 2), "")</f>
        <v/>
      </c>
      <c r="E328" t="str">
        <f t="shared" si="15"/>
        <v>Dénia, Hēmeroskopeion (Ancient Greek: Ἡμεροσκοπεῖον) is founded by Massaliot Greeks.[6][7][8] The town was situated on the cape then called Artemisium (Ancient Greek: Ἀρτεμίσιον) or Dianium[9] (Ancient Greek: Διάνιον), named from a temple of Ephesia Artemis built upon it (goddess Artemis was called Diana in Latin).</v>
      </c>
      <c r="F328" t="str">
        <f t="shared" si="16"/>
        <v/>
      </c>
      <c r="H328" t="b">
        <f t="shared" si="17"/>
        <v>0</v>
      </c>
      <c r="J328" s="3" t="str">
        <v>470</v>
      </c>
      <c r="K328" s="4" t="str">
        <v>Dénia, Hēmeroskopeion (Ancient Greek: Ἡμεροσκοπεῖον) is founded by Massaliot Greeks.[6][7][8] The town was situated on the cape then called Artemisium (Ancient Greek: Ἀρτεμίσιον) or Dianium[9] (Ancient Greek: Διάνιον), named from a temple of Ephesia Artemis built upon it (goddess Artemis was called Diana in Latin).</v>
      </c>
      <c r="P328" t="str">
        <v>474</v>
      </c>
      <c r="Q328" t="str">
        <v>Pindar, Greek poet relocates to Thebes (in Greece) from court at Syracuse.</v>
      </c>
    </row>
    <row r="329" spans="1:17" x14ac:dyDescent="0.25">
      <c r="A329" t="s">
        <v>328</v>
      </c>
      <c r="B329" t="str" cm="1">
        <f t="array" ref="B329">INDEX(_xlfn.TEXTSPLIT(A329, " "), 1)</f>
        <v>470</v>
      </c>
      <c r="C329" t="str" cm="1">
        <f t="array" ref="C329">INDEX(_xlfn.TEXTSPLIT(B329, "-"), 1)</f>
        <v>470</v>
      </c>
      <c r="D329" t="str" cm="1">
        <f t="array" ref="D329">IFERROR(INDEX(_xlfn.TEXTSPLIT(B329, "-"), 2), "")</f>
        <v/>
      </c>
      <c r="E329" t="str">
        <f t="shared" si="15"/>
        <v>Naxos is impressed into the Delian League</v>
      </c>
      <c r="F329" t="str">
        <f t="shared" si="16"/>
        <v/>
      </c>
      <c r="H329" t="b">
        <f t="shared" si="17"/>
        <v>0</v>
      </c>
      <c r="J329" s="3" t="str">
        <v>470</v>
      </c>
      <c r="K329" s="4" t="str">
        <v>Naxos is impressed into the Delian League</v>
      </c>
      <c r="P329" t="str">
        <v>473</v>
      </c>
      <c r="Q329" t="str">
        <v>Taras is defeated by the Iapygians</v>
      </c>
    </row>
    <row r="330" spans="1:17" x14ac:dyDescent="0.25">
      <c r="A330" t="s">
        <v>329</v>
      </c>
      <c r="B330" t="str" cm="1">
        <f t="array" ref="B330">INDEX(_xlfn.TEXTSPLIT(A330, " "), 1)</f>
        <v>470</v>
      </c>
      <c r="C330" t="str" cm="1">
        <f t="array" ref="C330">INDEX(_xlfn.TEXTSPLIT(B330, "-"), 1)</f>
        <v>470</v>
      </c>
      <c r="D330" t="str" cm="1">
        <f t="array" ref="D330">IFERROR(INDEX(_xlfn.TEXTSPLIT(B330, "-"), 2), "")</f>
        <v/>
      </c>
      <c r="E330" t="str">
        <f t="shared" si="15"/>
        <v>Ducetius annexes Ergezio</v>
      </c>
      <c r="F330" t="str">
        <f t="shared" si="16"/>
        <v/>
      </c>
      <c r="H330" t="b">
        <f t="shared" si="17"/>
        <v>0</v>
      </c>
      <c r="J330" s="3" t="str">
        <v>470</v>
      </c>
      <c r="K330" s="4" t="str">
        <v>Ducetius annexes Ergezio</v>
      </c>
      <c r="P330" t="str">
        <v>472</v>
      </c>
      <c r="Q330" t="str">
        <v>Thrasydaeus annexes Akragas after death of Theron</v>
      </c>
    </row>
    <row r="331" spans="1:17" x14ac:dyDescent="0.25">
      <c r="A331" t="s">
        <v>330</v>
      </c>
      <c r="B331" t="str" cm="1">
        <f t="array" ref="B331">INDEX(_xlfn.TEXTSPLIT(A331, " "), 1)</f>
        <v>470</v>
      </c>
      <c r="C331" t="str" cm="1">
        <f t="array" ref="C331">INDEX(_xlfn.TEXTSPLIT(B331, "-"), 1)</f>
        <v>470</v>
      </c>
      <c r="D331" t="str" cm="1">
        <f t="array" ref="D331">IFERROR(INDEX(_xlfn.TEXTSPLIT(B331, "-"), 2), "")</f>
        <v/>
      </c>
      <c r="E331" t="str">
        <f t="shared" si="15"/>
        <v>The new urban zone of Neápolis (Νεάπολις) was founded by citizens of the nearby Greek city of Cumae on the plain of Parthenope after the victorious Battle of Cumae</v>
      </c>
      <c r="F331" t="str">
        <f t="shared" si="16"/>
        <v/>
      </c>
      <c r="H331" t="b">
        <f t="shared" si="17"/>
        <v>0</v>
      </c>
      <c r="J331" s="3" t="str">
        <v>470</v>
      </c>
      <c r="K331" s="4" t="str">
        <v>The new urban zone of Neápolis (Νεάπολις) was founded by citizens of the nearby Greek city of Cumae on the plain of Parthenope after the victorious Battle of Cumae</v>
      </c>
      <c r="P331" t="str">
        <v>471</v>
      </c>
      <c r="Q331" t="str">
        <v>Naxos leaves the Delian League and is subsequently sieged by Athens</v>
      </c>
    </row>
    <row r="332" spans="1:17" x14ac:dyDescent="0.25">
      <c r="A332" t="s">
        <v>331</v>
      </c>
      <c r="B332" t="str" cm="1">
        <f t="array" ref="B332">INDEX(_xlfn.TEXTSPLIT(A332, " "), 1)</f>
        <v>469</v>
      </c>
      <c r="C332" t="str" cm="1">
        <f t="array" ref="C332">INDEX(_xlfn.TEXTSPLIT(B332, "-"), 1)</f>
        <v>469</v>
      </c>
      <c r="D332" t="str" cm="1">
        <f t="array" ref="D332">IFERROR(INDEX(_xlfn.TEXTSPLIT(B332, "-"), 2), "")</f>
        <v/>
      </c>
      <c r="E332" t="str">
        <f t="shared" si="15"/>
        <v>Illios is annexed by Mytilene</v>
      </c>
      <c r="F332" t="str">
        <f t="shared" si="16"/>
        <v/>
      </c>
      <c r="H332" t="b">
        <f t="shared" si="17"/>
        <v>0</v>
      </c>
      <c r="J332" s="3" t="str">
        <v>469</v>
      </c>
      <c r="K332" s="4" t="str">
        <v>Illios is annexed by Mytilene</v>
      </c>
      <c r="P332" t="str">
        <v>471</v>
      </c>
      <c r="Q332" t="str">
        <v>Themistocles ostracized.</v>
      </c>
    </row>
    <row r="333" spans="1:17" x14ac:dyDescent="0.25">
      <c r="A333" t="s">
        <v>332</v>
      </c>
      <c r="B333" t="str" cm="1">
        <f t="array" ref="B333">INDEX(_xlfn.TEXTSPLIT(A333, " "), 1)</f>
        <v>469</v>
      </c>
      <c r="C333" t="str" cm="1">
        <f t="array" ref="C333">INDEX(_xlfn.TEXTSPLIT(B333, "-"), 1)</f>
        <v>469</v>
      </c>
      <c r="D333" t="str" cm="1">
        <f t="array" ref="D333">IFERROR(INDEX(_xlfn.TEXTSPLIT(B333, "-"), 2), "")</f>
        <v/>
      </c>
      <c r="E333" t="str">
        <f t="shared" si="15"/>
        <v>Klazomenai, Phaselis, Aspendos, Doris and Priene join the Delian League</v>
      </c>
      <c r="F333" t="str">
        <f t="shared" si="16"/>
        <v/>
      </c>
      <c r="H333" t="b">
        <f t="shared" si="17"/>
        <v>0</v>
      </c>
      <c r="J333" s="3" t="str">
        <v>469</v>
      </c>
      <c r="K333" s="4" t="str">
        <v>Klazomenai, Phaselis, Aspendos, Doris and Priene join the Delian League</v>
      </c>
      <c r="P333" t="str">
        <v>470</v>
      </c>
      <c r="Q333" t="str">
        <v>Dénia, Hēmeroskopeion (Ancient Greek: Ἡμεροσκοπεῖον) is founded by Massaliot Greeks.[6][7][8] The town was situated on the cape then called Artemisium (Ancient Greek: Ἀρτεμίσιον) or Dianium[9] (Ancient Greek: Διάνιον), named from a temple of Ephesia Artemis built upon it (goddess Artemis was called Diana in Latin).</v>
      </c>
    </row>
    <row r="334" spans="1:17" x14ac:dyDescent="0.25">
      <c r="A334" t="s">
        <v>333</v>
      </c>
      <c r="B334" t="str" cm="1">
        <f t="array" ref="B334">INDEX(_xlfn.TEXTSPLIT(A334, " "), 1)</f>
        <v>468</v>
      </c>
      <c r="C334" t="str" cm="1">
        <f t="array" ref="C334">INDEX(_xlfn.TEXTSPLIT(B334, "-"), 1)</f>
        <v>468</v>
      </c>
      <c r="D334" t="str" cm="1">
        <f t="array" ref="D334">IFERROR(INDEX(_xlfn.TEXTSPLIT(B334, "-"), 2), "")</f>
        <v/>
      </c>
      <c r="E334" t="str">
        <f t="shared" si="15"/>
        <v>Thrasydaeus is overthrown by Akragas</v>
      </c>
      <c r="F334" t="str">
        <f t="shared" si="16"/>
        <v/>
      </c>
      <c r="H334" t="b">
        <f t="shared" si="17"/>
        <v>0</v>
      </c>
      <c r="J334" s="3" t="str">
        <v>468</v>
      </c>
      <c r="K334" s="4" t="str">
        <v>Thrasydaeus is overthrown by Akragas</v>
      </c>
      <c r="P334" t="str">
        <v>470</v>
      </c>
      <c r="Q334" t="str">
        <v>Naxos is impressed into the Delian League</v>
      </c>
    </row>
    <row r="335" spans="1:17" x14ac:dyDescent="0.25">
      <c r="A335" t="s">
        <v>334</v>
      </c>
      <c r="B335" t="str" cm="1">
        <f t="array" ref="B335">INDEX(_xlfn.TEXTSPLIT(A335, " "), 1)</f>
        <v>468</v>
      </c>
      <c r="C335" t="str" cm="1">
        <f t="array" ref="C335">INDEX(_xlfn.TEXTSPLIT(B335, "-"), 1)</f>
        <v>468</v>
      </c>
      <c r="D335" t="str" cm="1">
        <f t="array" ref="D335">IFERROR(INDEX(_xlfn.TEXTSPLIT(B335, "-"), 2), "")</f>
        <v/>
      </c>
      <c r="E335" t="str">
        <f t="shared" si="15"/>
        <v>Sophocles, Greek playwright, defeats Aeschylus for Athenian Prize for drama.</v>
      </c>
      <c r="F335" t="str">
        <f t="shared" si="16"/>
        <v/>
      </c>
      <c r="H335" t="b">
        <f t="shared" si="17"/>
        <v>0</v>
      </c>
      <c r="J335" s="3" t="str">
        <v>468</v>
      </c>
      <c r="K335" s="4" t="str">
        <v>Sophocles, Greek playwright, defeats Aeschylus for Athenian Prize for drama.</v>
      </c>
      <c r="P335" t="str">
        <v>470</v>
      </c>
      <c r="Q335" t="str">
        <v>Ducetius annexes Ergezio</v>
      </c>
    </row>
    <row r="336" spans="1:17" x14ac:dyDescent="0.25">
      <c r="A336" t="s">
        <v>335</v>
      </c>
      <c r="B336" t="str" cm="1">
        <f t="array" ref="B336">INDEX(_xlfn.TEXTSPLIT(A336, " "), 1)</f>
        <v>467</v>
      </c>
      <c r="C336" t="str" cm="1">
        <f t="array" ref="C336">INDEX(_xlfn.TEXTSPLIT(B336, "-"), 1)</f>
        <v>467</v>
      </c>
      <c r="D336" t="str" cm="1">
        <f t="array" ref="D336">IFERROR(INDEX(_xlfn.TEXTSPLIT(B336, "-"), 2), "")</f>
        <v/>
      </c>
      <c r="E336" t="str">
        <f t="shared" si="15"/>
        <v>Micythus steps down to Leophron</v>
      </c>
      <c r="F336" t="str">
        <f t="shared" si="16"/>
        <v/>
      </c>
      <c r="H336" t="b">
        <f t="shared" si="17"/>
        <v>0</v>
      </c>
      <c r="J336" s="3" t="str">
        <v>467</v>
      </c>
      <c r="K336" s="4" t="str">
        <v>Micythus steps down to Leophron</v>
      </c>
      <c r="P336" t="str">
        <v>470</v>
      </c>
      <c r="Q336" t="str">
        <v>The new urban zone of Neápolis (Νεάπολις) was founded by citizens of the nearby Greek city of Cumae on the plain of Parthenope after the victorious Battle of Cumae</v>
      </c>
    </row>
    <row r="337" spans="1:17" x14ac:dyDescent="0.25">
      <c r="A337" t="s">
        <v>336</v>
      </c>
      <c r="B337" t="str" cm="1">
        <f t="array" ref="B337">INDEX(_xlfn.TEXTSPLIT(A337, " "), 1)</f>
        <v>466</v>
      </c>
      <c r="C337" t="str" cm="1">
        <f t="array" ref="C337">INDEX(_xlfn.TEXTSPLIT(B337, "-"), 1)</f>
        <v>466</v>
      </c>
      <c r="D337" t="str" cm="1">
        <f t="array" ref="D337">IFERROR(INDEX(_xlfn.TEXTSPLIT(B337, "-"), 2), "")</f>
        <v/>
      </c>
      <c r="E337" t="str">
        <f t="shared" si="15"/>
        <v>Taras is defeated by the Iapygians</v>
      </c>
      <c r="F337" t="str">
        <f t="shared" si="16"/>
        <v/>
      </c>
      <c r="H337" t="b">
        <f t="shared" si="17"/>
        <v>0</v>
      </c>
      <c r="J337" s="3" t="str">
        <v>466</v>
      </c>
      <c r="K337" s="4" t="str">
        <v>Taras is defeated by the Iapygians</v>
      </c>
      <c r="P337" t="str">
        <v>469</v>
      </c>
      <c r="Q337" t="str">
        <v>Illios is annexed by Mytilene</v>
      </c>
    </row>
    <row r="338" spans="1:17" x14ac:dyDescent="0.25">
      <c r="A338" t="s">
        <v>337</v>
      </c>
      <c r="B338" t="str" cm="1">
        <f t="array" ref="B338">INDEX(_xlfn.TEXTSPLIT(A338, " "), 1)</f>
        <v>466</v>
      </c>
      <c r="C338" t="str" cm="1">
        <f t="array" ref="C338">INDEX(_xlfn.TEXTSPLIT(B338, "-"), 1)</f>
        <v>466</v>
      </c>
      <c r="D338" t="str" cm="1">
        <f t="array" ref="D338">IFERROR(INDEX(_xlfn.TEXTSPLIT(B338, "-"), 2), "")</f>
        <v/>
      </c>
      <c r="E338" t="str">
        <f t="shared" si="15"/>
        <v>Taras' monarchy is overthrown by democrats</v>
      </c>
      <c r="F338" t="str">
        <f t="shared" si="16"/>
        <v/>
      </c>
      <c r="H338" t="b">
        <f t="shared" si="17"/>
        <v>0</v>
      </c>
      <c r="J338" s="3" t="str">
        <v>466</v>
      </c>
      <c r="K338" s="4" t="str">
        <v>Taras' monarchy is overthrown by democrats</v>
      </c>
      <c r="P338" t="str">
        <v>469</v>
      </c>
      <c r="Q338" t="str">
        <v>Klazomenai, Phaselis, Aspendos, Doris and Priene join the Delian League</v>
      </c>
    </row>
    <row r="339" spans="1:17" x14ac:dyDescent="0.25">
      <c r="A339" t="s">
        <v>338</v>
      </c>
      <c r="B339" t="str" cm="1">
        <f t="array" ref="B339">INDEX(_xlfn.TEXTSPLIT(A339, " "), 1)</f>
        <v>466</v>
      </c>
      <c r="C339" t="str" cm="1">
        <f t="array" ref="C339">INDEX(_xlfn.TEXTSPLIT(B339, "-"), 1)</f>
        <v>466</v>
      </c>
      <c r="D339" t="str" cm="1">
        <f t="array" ref="D339">IFERROR(INDEX(_xlfn.TEXTSPLIT(B339, "-"), 2), "")</f>
        <v/>
      </c>
      <c r="E339" t="str">
        <f t="shared" si="15"/>
        <v>Thrasybulos succeeds Hieron</v>
      </c>
      <c r="F339" t="str">
        <f t="shared" si="16"/>
        <v/>
      </c>
      <c r="H339" t="b">
        <f t="shared" si="17"/>
        <v>0</v>
      </c>
      <c r="J339" s="3" t="str">
        <v>466</v>
      </c>
      <c r="K339" s="4" t="str">
        <v>Thrasybulos succeeds Hieron</v>
      </c>
      <c r="P339" t="str">
        <v>468</v>
      </c>
      <c r="Q339" t="str">
        <v>Thrasydaeus is overthrown by Akragas</v>
      </c>
    </row>
    <row r="340" spans="1:17" x14ac:dyDescent="0.25">
      <c r="A340" t="s">
        <v>339</v>
      </c>
      <c r="B340" t="str" cm="1">
        <f t="array" ref="B340">INDEX(_xlfn.TEXTSPLIT(A340, " "), 1)</f>
        <v>465</v>
      </c>
      <c r="C340" t="str" cm="1">
        <f t="array" ref="C340">INDEX(_xlfn.TEXTSPLIT(B340, "-"), 1)</f>
        <v>465</v>
      </c>
      <c r="D340" t="str" cm="1">
        <f t="array" ref="D340">IFERROR(INDEX(_xlfn.TEXTSPLIT(B340, "-"), 2), "")</f>
        <v/>
      </c>
      <c r="E340" t="str">
        <f t="shared" si="15"/>
        <v>Thasus leaves the Delian League and is sieged by Athens</v>
      </c>
      <c r="F340" t="str">
        <f t="shared" si="16"/>
        <v/>
      </c>
      <c r="H340" t="b">
        <f t="shared" si="17"/>
        <v>0</v>
      </c>
      <c r="J340" s="3" t="str">
        <v>465</v>
      </c>
      <c r="K340" s="4" t="str">
        <v>Thasus leaves the Delian League and is sieged by Athens</v>
      </c>
      <c r="P340" t="str">
        <v>468</v>
      </c>
      <c r="Q340" t="str">
        <v>Sophocles, Greek playwright, defeats Aeschylus for Athenian Prize for drama.</v>
      </c>
    </row>
    <row r="341" spans="1:17" x14ac:dyDescent="0.25">
      <c r="A341" t="s">
        <v>340</v>
      </c>
      <c r="B341" t="str" cm="1">
        <f t="array" ref="B341">INDEX(_xlfn.TEXTSPLIT(A341, " "), 1)</f>
        <v>465</v>
      </c>
      <c r="C341" t="str" cm="1">
        <f t="array" ref="C341">INDEX(_xlfn.TEXTSPLIT(B341, "-"), 1)</f>
        <v>465</v>
      </c>
      <c r="D341" t="str" cm="1">
        <f t="array" ref="D341">IFERROR(INDEX(_xlfn.TEXTSPLIT(B341, "-"), 2), "")</f>
        <v/>
      </c>
      <c r="E341" t="str">
        <f t="shared" si="15"/>
        <v>Abydos and Troad join the Delian League</v>
      </c>
      <c r="F341" t="str">
        <f t="shared" si="16"/>
        <v/>
      </c>
      <c r="H341" t="b">
        <f t="shared" si="17"/>
        <v>0</v>
      </c>
      <c r="J341" s="3" t="str">
        <v>465</v>
      </c>
      <c r="K341" s="4" t="str">
        <v>Abydos and Troad join the Delian League</v>
      </c>
      <c r="P341" t="str">
        <v>467</v>
      </c>
      <c r="Q341" t="str">
        <v>Micythus steps down to Leophron</v>
      </c>
    </row>
    <row r="342" spans="1:17" x14ac:dyDescent="0.25">
      <c r="A342" t="s">
        <v>341</v>
      </c>
      <c r="B342" t="str" cm="1">
        <f t="array" ref="B342">INDEX(_xlfn.TEXTSPLIT(A342, " "), 1)</f>
        <v>465</v>
      </c>
      <c r="C342" t="str" cm="1">
        <f t="array" ref="C342">INDEX(_xlfn.TEXTSPLIT(B342, "-"), 1)</f>
        <v>465</v>
      </c>
      <c r="D342" t="str" cm="1">
        <f t="array" ref="D342">IFERROR(INDEX(_xlfn.TEXTSPLIT(B342, "-"), 2), "")</f>
        <v/>
      </c>
      <c r="E342" t="str">
        <f t="shared" si="15"/>
        <v>Thracian Chernessos is annexed by Athens</v>
      </c>
      <c r="F342" t="str">
        <f t="shared" si="16"/>
        <v/>
      </c>
      <c r="H342" t="b">
        <f t="shared" si="17"/>
        <v>0</v>
      </c>
      <c r="J342" s="3" t="str">
        <v>465</v>
      </c>
      <c r="K342" s="4" t="str">
        <v>Thracian Chernessos is annexed by Athens</v>
      </c>
      <c r="P342" t="str">
        <v>466</v>
      </c>
      <c r="Q342" t="str">
        <v>Taras is defeated by the Iapygians</v>
      </c>
    </row>
    <row r="343" spans="1:17" x14ac:dyDescent="0.25">
      <c r="A343" t="s">
        <v>342</v>
      </c>
      <c r="B343" t="str" cm="1">
        <f t="array" ref="B343">INDEX(_xlfn.TEXTSPLIT(A343, " "), 1)</f>
        <v>465</v>
      </c>
      <c r="C343" t="str" cm="1">
        <f t="array" ref="C343">INDEX(_xlfn.TEXTSPLIT(B343, "-"), 1)</f>
        <v>465</v>
      </c>
      <c r="D343" t="str" cm="1">
        <f t="array" ref="D343">IFERROR(INDEX(_xlfn.TEXTSPLIT(B343, "-"), 2), "")</f>
        <v/>
      </c>
      <c r="E343" t="str">
        <f t="shared" si="15"/>
        <v>Deinmenes II, Aenesidemus, Thrasybulos and Polyzelos are overthrown by their respective cities</v>
      </c>
      <c r="F343" t="str">
        <f t="shared" si="16"/>
        <v/>
      </c>
      <c r="H343" t="b">
        <f t="shared" si="17"/>
        <v>0</v>
      </c>
      <c r="J343" s="3" t="str">
        <v>465</v>
      </c>
      <c r="K343" s="4" t="str">
        <v>Deinmenes II, Aenesidemus, Thrasybulos and Polyzelos are overthrown by their respective cities</v>
      </c>
      <c r="P343" t="str">
        <v>466</v>
      </c>
      <c r="Q343" t="str">
        <v>Taras' monarchy is overthrown by democrats</v>
      </c>
    </row>
    <row r="344" spans="1:17" x14ac:dyDescent="0.25">
      <c r="A344" t="s">
        <v>343</v>
      </c>
      <c r="B344" t="str" cm="1">
        <f t="array" ref="B344">INDEX(_xlfn.TEXTSPLIT(A344, " "), 1)</f>
        <v>463</v>
      </c>
      <c r="C344" t="str" cm="1">
        <f t="array" ref="C344">INDEX(_xlfn.TEXTSPLIT(B344, "-"), 1)</f>
        <v>463</v>
      </c>
      <c r="D344" t="str" cm="1">
        <f t="array" ref="D344">IFERROR(INDEX(_xlfn.TEXTSPLIT(B344, "-"), 2), "")</f>
        <v/>
      </c>
      <c r="E344" t="str">
        <f t="shared" si="15"/>
        <v>Thasus is impressed into the Delian League</v>
      </c>
      <c r="F344" t="str">
        <f t="shared" si="16"/>
        <v/>
      </c>
      <c r="H344" t="b">
        <f t="shared" si="17"/>
        <v>0</v>
      </c>
      <c r="J344" s="3" t="str">
        <v>463</v>
      </c>
      <c r="K344" s="4" t="str">
        <v>Thasus is impressed into the Delian League</v>
      </c>
      <c r="P344" t="str">
        <v>466</v>
      </c>
      <c r="Q344" t="str">
        <v>Thrasybulos succeeds Hieron</v>
      </c>
    </row>
    <row r="345" spans="1:17" x14ac:dyDescent="0.25">
      <c r="A345" t="s">
        <v>344</v>
      </c>
      <c r="B345" t="str" cm="1">
        <f t="array" ref="B345">INDEX(_xlfn.TEXTSPLIT(A345, " "), 1)</f>
        <v>462</v>
      </c>
      <c r="C345" t="str" cm="1">
        <f t="array" ref="C345">INDEX(_xlfn.TEXTSPLIT(B345, "-"), 1)</f>
        <v>462</v>
      </c>
      <c r="D345" t="str" cm="1">
        <f t="array" ref="D345">IFERROR(INDEX(_xlfn.TEXTSPLIT(B345, "-"), 2), "")</f>
        <v/>
      </c>
      <c r="E345" t="str">
        <f t="shared" si="15"/>
        <v>Megara leaves the Peloponnesian League</v>
      </c>
      <c r="F345" t="str">
        <f t="shared" si="16"/>
        <v/>
      </c>
      <c r="H345" t="b">
        <f t="shared" si="17"/>
        <v>0</v>
      </c>
      <c r="J345" s="3" t="str">
        <v>462</v>
      </c>
      <c r="K345" s="4" t="str">
        <v>Megara leaves the Peloponnesian League</v>
      </c>
      <c r="P345" t="str">
        <v>465</v>
      </c>
      <c r="Q345" t="str">
        <v>Thasus leaves the Delian League and is sieged by Athens</v>
      </c>
    </row>
    <row r="346" spans="1:17" x14ac:dyDescent="0.25">
      <c r="A346" t="s">
        <v>345</v>
      </c>
      <c r="B346" t="str" cm="1">
        <f t="array" ref="B346">INDEX(_xlfn.TEXTSPLIT(A346, " "), 1)</f>
        <v>461</v>
      </c>
      <c r="C346" t="str" cm="1">
        <f t="array" ref="C346">INDEX(_xlfn.TEXTSPLIT(B346, "-"), 1)</f>
        <v>461</v>
      </c>
      <c r="D346" t="str" cm="1">
        <f t="array" ref="D346">IFERROR(INDEX(_xlfn.TEXTSPLIT(B346, "-"), 2), "")</f>
        <v/>
      </c>
      <c r="E346" t="str">
        <f t="shared" si="15"/>
        <v>Catania, Naxos and Catania declare independence from Syracuse, Dorian settlers are removed from Catania</v>
      </c>
      <c r="F346" t="str">
        <f t="shared" si="16"/>
        <v/>
      </c>
      <c r="H346" t="b">
        <f t="shared" si="17"/>
        <v>0</v>
      </c>
      <c r="J346" s="3" t="str">
        <v>461</v>
      </c>
      <c r="K346" s="4" t="str">
        <v>Catania, Naxos and Catania declare independence from Syracuse, Dorian settlers are removed from Catania</v>
      </c>
      <c r="P346" t="str">
        <v>465</v>
      </c>
      <c r="Q346" t="str">
        <v>Abydos and Troad join the Delian League</v>
      </c>
    </row>
    <row r="347" spans="1:17" x14ac:dyDescent="0.25">
      <c r="A347" t="s">
        <v>346</v>
      </c>
      <c r="B347" t="str" cm="1">
        <f t="array" ref="B347">INDEX(_xlfn.TEXTSPLIT(A347, " "), 1)</f>
        <v>461</v>
      </c>
      <c r="C347" t="str" cm="1">
        <f t="array" ref="C347">INDEX(_xlfn.TEXTSPLIT(B347, "-"), 1)</f>
        <v>461</v>
      </c>
      <c r="D347" t="str" cm="1">
        <f t="array" ref="D347">IFERROR(INDEX(_xlfn.TEXTSPLIT(B347, "-"), 2), "")</f>
        <v/>
      </c>
      <c r="E347" t="str">
        <f t="shared" si="15"/>
        <v>Kamarina is refounded under the Tyranny of Psaumis</v>
      </c>
      <c r="F347" t="str">
        <f t="shared" si="16"/>
        <v/>
      </c>
      <c r="H347" t="b">
        <f t="shared" si="17"/>
        <v>0</v>
      </c>
      <c r="J347" s="3" t="str">
        <v>461</v>
      </c>
      <c r="K347" s="4" t="str">
        <v>Kamarina is refounded under the Tyranny of Psaumis</v>
      </c>
      <c r="P347" t="str">
        <v>465</v>
      </c>
      <c r="Q347" t="str">
        <v>Thracian Chernessos is annexed by Athens</v>
      </c>
    </row>
    <row r="348" spans="1:17" x14ac:dyDescent="0.25">
      <c r="A348" t="s">
        <v>347</v>
      </c>
      <c r="B348" t="str" cm="1">
        <f t="array" ref="B348">INDEX(_xlfn.TEXTSPLIT(A348, " "), 1)</f>
        <v>461</v>
      </c>
      <c r="C348" t="str" cm="1">
        <f t="array" ref="C348">INDEX(_xlfn.TEXTSPLIT(B348, "-"), 1)</f>
        <v>461</v>
      </c>
      <c r="D348" t="str" cm="1">
        <f t="array" ref="D348">IFERROR(INDEX(_xlfn.TEXTSPLIT(B348, "-"), 2), "")</f>
        <v/>
      </c>
      <c r="E348" t="str">
        <f t="shared" si="15"/>
        <v>Cimon ostracized.</v>
      </c>
      <c r="F348" t="str">
        <f t="shared" si="16"/>
        <v/>
      </c>
      <c r="H348" t="b">
        <f t="shared" si="17"/>
        <v>0</v>
      </c>
      <c r="J348" s="3" t="str">
        <v>461</v>
      </c>
      <c r="K348" s="4" t="str">
        <v>Cimon ostracized.</v>
      </c>
      <c r="P348" t="str">
        <v>465</v>
      </c>
      <c r="Q348" t="str">
        <v>Deinmenes II, Aenesidemus, Thrasybulos and Polyzelos are overthrown by their respective cities</v>
      </c>
    </row>
    <row r="349" spans="1:17" x14ac:dyDescent="0.25">
      <c r="A349" t="s">
        <v>348</v>
      </c>
      <c r="B349" t="str" cm="1">
        <f t="array" ref="B349">INDEX(_xlfn.TEXTSPLIT(A349, " "), 1)</f>
        <v>461</v>
      </c>
      <c r="C349" t="str" cm="1">
        <f t="array" ref="C349">INDEX(_xlfn.TEXTSPLIT(B349, "-"), 1)</f>
        <v>461</v>
      </c>
      <c r="D349" t="str" cm="1">
        <f t="array" ref="D349">IFERROR(INDEX(_xlfn.TEXTSPLIT(B349, "-"), 2), "")</f>
        <v/>
      </c>
      <c r="E349" t="str">
        <f t="shared" si="15"/>
        <v>Thera joins the Peloponnesian League</v>
      </c>
      <c r="F349" t="str">
        <f t="shared" si="16"/>
        <v/>
      </c>
      <c r="H349" t="b">
        <f t="shared" si="17"/>
        <v>0</v>
      </c>
      <c r="J349" s="3" t="str">
        <v>461</v>
      </c>
      <c r="K349" s="4" t="str">
        <v>Thera joins the Peloponnesian League</v>
      </c>
      <c r="P349" t="str">
        <v>463</v>
      </c>
      <c r="Q349" t="str">
        <v>Thasus is impressed into the Delian League</v>
      </c>
    </row>
    <row r="350" spans="1:17" x14ac:dyDescent="0.25">
      <c r="A350" t="s">
        <v>349</v>
      </c>
      <c r="B350" t="str" cm="1">
        <f t="array" ref="B350">INDEX(_xlfn.TEXTSPLIT(A350, " "), 1)</f>
        <v>461</v>
      </c>
      <c r="C350" t="str" cm="1">
        <f t="array" ref="C350">INDEX(_xlfn.TEXTSPLIT(B350, "-"), 1)</f>
        <v>461</v>
      </c>
      <c r="D350" t="str" cm="1">
        <f t="array" ref="D350">IFERROR(INDEX(_xlfn.TEXTSPLIT(B350, "-"), 2), "")</f>
        <v/>
      </c>
      <c r="E350" t="str">
        <f t="shared" si="15"/>
        <v>Messene and Rhegion separate and oust Leophron</v>
      </c>
      <c r="F350" t="str">
        <f t="shared" si="16"/>
        <v/>
      </c>
      <c r="H350" t="b">
        <f t="shared" si="17"/>
        <v>0</v>
      </c>
      <c r="J350" s="3" t="str">
        <v>461</v>
      </c>
      <c r="K350" s="4" t="str">
        <v>Messene and Rhegion separate and oust Leophron</v>
      </c>
      <c r="P350" t="str">
        <v>462</v>
      </c>
      <c r="Q350" t="str">
        <v>Megara leaves the Peloponnesian League</v>
      </c>
    </row>
    <row r="351" spans="1:17" x14ac:dyDescent="0.25">
      <c r="A351" t="s">
        <v>350</v>
      </c>
      <c r="B351" t="str" cm="1">
        <f t="array" ref="B351">INDEX(_xlfn.TEXTSPLIT(A351, " "), 1)</f>
        <v>460</v>
      </c>
      <c r="C351" t="str" cm="1">
        <f t="array" ref="C351">INDEX(_xlfn.TEXTSPLIT(B351, "-"), 1)</f>
        <v>460</v>
      </c>
      <c r="D351" t="str" cm="1">
        <f t="array" ref="D351">IFERROR(INDEX(_xlfn.TEXTSPLIT(B351, "-"), 2), "")</f>
        <v/>
      </c>
      <c r="E351" t="str">
        <f t="shared" si="15"/>
        <v>Taras defeats the Iapygians</v>
      </c>
      <c r="F351" t="str">
        <f t="shared" si="16"/>
        <v/>
      </c>
      <c r="H351" t="b">
        <f t="shared" si="17"/>
        <v>0</v>
      </c>
      <c r="J351" s="3" t="str">
        <v>460</v>
      </c>
      <c r="K351" s="4" t="str">
        <v>Taras defeats the Iapygians</v>
      </c>
      <c r="P351" t="str">
        <v>462</v>
      </c>
      <c r="Q351" t="str">
        <v>--&gt; Cimon elected general each year</v>
      </c>
    </row>
    <row r="352" spans="1:17" x14ac:dyDescent="0.25">
      <c r="A352" t="s">
        <v>351</v>
      </c>
      <c r="B352" t="str" cm="1">
        <f t="array" ref="B352">INDEX(_xlfn.TEXTSPLIT(A352, " "), 1)</f>
        <v>460</v>
      </c>
      <c r="C352" t="str" cm="1">
        <f t="array" ref="C352">INDEX(_xlfn.TEXTSPLIT(B352, "-"), 1)</f>
        <v>460</v>
      </c>
      <c r="D352" t="str" cm="1">
        <f t="array" ref="D352">IFERROR(INDEX(_xlfn.TEXTSPLIT(B352, "-"), 2), "")</f>
        <v/>
      </c>
      <c r="E352" t="str">
        <f t="shared" si="15"/>
        <v>Aetna is founded</v>
      </c>
      <c r="F352" t="str">
        <f t="shared" si="16"/>
        <v/>
      </c>
      <c r="H352" t="b">
        <f t="shared" si="17"/>
        <v>0</v>
      </c>
      <c r="J352" s="3" t="str">
        <v>460</v>
      </c>
      <c r="K352" s="4" t="str">
        <v>Aetna is founded</v>
      </c>
      <c r="P352" t="str">
        <v>461</v>
      </c>
      <c r="Q352" t="str">
        <v>Catania, Naxos and Catania declare independence from Syracuse, Dorian settlers are removed from Catania</v>
      </c>
    </row>
    <row r="353" spans="1:17" x14ac:dyDescent="0.25">
      <c r="A353" t="s">
        <v>352</v>
      </c>
      <c r="B353" t="str" cm="1">
        <f t="array" ref="B353">INDEX(_xlfn.TEXTSPLIT(A353, " "), 1)</f>
        <v>460</v>
      </c>
      <c r="C353" t="str" cm="1">
        <f t="array" ref="C353">INDEX(_xlfn.TEXTSPLIT(B353, "-"), 1)</f>
        <v>460</v>
      </c>
      <c r="D353" t="str" cm="1">
        <f t="array" ref="D353">IFERROR(INDEX(_xlfn.TEXTSPLIT(B353, "-"), 2), "")</f>
        <v/>
      </c>
      <c r="E353" t="str">
        <f t="shared" si="15"/>
        <v>First Peloponnesian War Starts</v>
      </c>
      <c r="F353" t="str">
        <f t="shared" si="16"/>
        <v/>
      </c>
      <c r="H353" t="b">
        <f t="shared" si="17"/>
        <v>0</v>
      </c>
      <c r="J353" s="3" t="str">
        <v>460</v>
      </c>
      <c r="K353" s="4" t="str">
        <v>First Peloponnesian War Starts</v>
      </c>
      <c r="P353" t="str">
        <v>461</v>
      </c>
      <c r="Q353" t="str">
        <v>Kamarina is refounded under the Tyranny of Psaumis</v>
      </c>
    </row>
    <row r="354" spans="1:17" x14ac:dyDescent="0.25">
      <c r="A354" t="s">
        <v>353</v>
      </c>
      <c r="B354" t="str" cm="1">
        <f t="array" ref="B354">INDEX(_xlfn.TEXTSPLIT(A354, " "), 1)</f>
        <v>459</v>
      </c>
      <c r="C354" t="str" cm="1">
        <f t="array" ref="C354">INDEX(_xlfn.TEXTSPLIT(B354, "-"), 1)</f>
        <v>459</v>
      </c>
      <c r="D354" t="str" cm="1">
        <f t="array" ref="D354">IFERROR(INDEX(_xlfn.TEXTSPLIT(B354, "-"), 2), "")</f>
        <v/>
      </c>
      <c r="E354" t="str">
        <f t="shared" si="15"/>
        <v>Aegina is besieged by Athens</v>
      </c>
      <c r="F354" t="str">
        <f t="shared" si="16"/>
        <v/>
      </c>
      <c r="H354" t="b">
        <f t="shared" si="17"/>
        <v>0</v>
      </c>
      <c r="J354" s="3" t="str">
        <v>459</v>
      </c>
      <c r="K354" s="4" t="str">
        <v>Aegina is besieged by Athens</v>
      </c>
      <c r="P354" t="str">
        <v>461</v>
      </c>
      <c r="Q354" t="str">
        <v>Cimon ostracized.</v>
      </c>
    </row>
    <row r="355" spans="1:17" x14ac:dyDescent="0.25">
      <c r="A355" t="s">
        <v>354</v>
      </c>
      <c r="B355" t="str" cm="1">
        <f t="array" ref="B355">INDEX(_xlfn.TEXTSPLIT(A355, " "), 1)</f>
        <v>459</v>
      </c>
      <c r="C355" t="str" cm="1">
        <f t="array" ref="C355">INDEX(_xlfn.TEXTSPLIT(B355, "-"), 1)</f>
        <v>459</v>
      </c>
      <c r="D355" t="str" cm="1">
        <f t="array" ref="D355">IFERROR(INDEX(_xlfn.TEXTSPLIT(B355, "-"), 2), "")</f>
        <v/>
      </c>
      <c r="E355" t="str">
        <f t="shared" si="15"/>
        <v>Morgantina is annexed by Ducetius</v>
      </c>
      <c r="F355" t="str">
        <f t="shared" si="16"/>
        <v/>
      </c>
      <c r="H355" t="b">
        <f t="shared" si="17"/>
        <v>0</v>
      </c>
      <c r="J355" s="3" t="str">
        <v>459</v>
      </c>
      <c r="K355" s="4" t="str">
        <v>Morgantina is annexed by Ducetius</v>
      </c>
      <c r="P355" t="str">
        <v>461</v>
      </c>
      <c r="Q355" t="str">
        <v>Thera joins the Peloponnesian League</v>
      </c>
    </row>
    <row r="356" spans="1:17" x14ac:dyDescent="0.25">
      <c r="A356" t="s">
        <v>355</v>
      </c>
      <c r="B356" t="str" cm="1">
        <f t="array" ref="B356">INDEX(_xlfn.TEXTSPLIT(A356, " "), 1)</f>
        <v>459-455</v>
      </c>
      <c r="C356" t="str" cm="1">
        <f t="array" ref="C356">INDEX(_xlfn.TEXTSPLIT(B356, "-"), 1)</f>
        <v>459</v>
      </c>
      <c r="D356" t="str" cm="1">
        <f t="array" ref="D356">IFERROR(INDEX(_xlfn.TEXTSPLIT(B356, "-"), 2), "")</f>
        <v>455</v>
      </c>
      <c r="E356" t="str">
        <f t="shared" si="15"/>
        <v>Siege of Memphis, destruction of the Athenian fleet by Megabyzus --&gt;</v>
      </c>
      <c r="F356" t="str">
        <f t="shared" si="16"/>
        <v>--&gt; Siege of Memphis, destruction of the Athenian fleet by Megabyzus</v>
      </c>
      <c r="H356" t="b">
        <f t="shared" si="17"/>
        <v>1</v>
      </c>
      <c r="J356" s="3" t="str">
        <v>459</v>
      </c>
      <c r="K356" s="4" t="str">
        <v>Siege of Memphis, destruction of the Athenian fleet by Megabyzus --&gt;</v>
      </c>
      <c r="P356" t="str">
        <v>461</v>
      </c>
      <c r="Q356" t="str">
        <v>Messene and Rhegion separate and oust Leophron</v>
      </c>
    </row>
    <row r="357" spans="1:17" x14ac:dyDescent="0.25">
      <c r="A357" t="s">
        <v>356</v>
      </c>
      <c r="B357" t="str" cm="1">
        <f t="array" ref="B357">INDEX(_xlfn.TEXTSPLIT(A357, " "), 1)</f>
        <v>458</v>
      </c>
      <c r="C357" t="str" cm="1">
        <f t="array" ref="C357">INDEX(_xlfn.TEXTSPLIT(B357, "-"), 1)</f>
        <v>458</v>
      </c>
      <c r="D357" t="str" cm="1">
        <f t="array" ref="D357">IFERROR(INDEX(_xlfn.TEXTSPLIT(B357, "-"), 2), "")</f>
        <v/>
      </c>
      <c r="E357" t="str">
        <f t="shared" si="15"/>
        <v>Imbros is annexed by Athens</v>
      </c>
      <c r="F357" t="str">
        <f t="shared" si="16"/>
        <v/>
      </c>
      <c r="H357" t="b">
        <f t="shared" si="17"/>
        <v>0</v>
      </c>
      <c r="J357" s="3" t="str">
        <v>458</v>
      </c>
      <c r="K357" s="4" t="str">
        <v>Imbros is annexed by Athens</v>
      </c>
      <c r="P357" t="str">
        <v>460</v>
      </c>
      <c r="Q357" t="str">
        <v>Taras defeats the Iapygians</v>
      </c>
    </row>
    <row r="358" spans="1:17" x14ac:dyDescent="0.25">
      <c r="A358" t="s">
        <v>357</v>
      </c>
      <c r="B358" t="str" cm="1">
        <f t="array" ref="B358">INDEX(_xlfn.TEXTSPLIT(A358, " "), 1)</f>
        <v>457</v>
      </c>
      <c r="C358" t="str" cm="1">
        <f t="array" ref="C358">INDEX(_xlfn.TEXTSPLIT(B358, "-"), 1)</f>
        <v>457</v>
      </c>
      <c r="D358" t="str" cm="1">
        <f t="array" ref="D358">IFERROR(INDEX(_xlfn.TEXTSPLIT(B358, "-"), 2), "")</f>
        <v/>
      </c>
      <c r="E358" t="str">
        <f t="shared" si="15"/>
        <v>Aegina is impressed into the Delian League</v>
      </c>
      <c r="F358" t="str">
        <f t="shared" si="16"/>
        <v/>
      </c>
      <c r="H358" t="b">
        <f t="shared" si="17"/>
        <v>0</v>
      </c>
      <c r="J358" s="3" t="str">
        <v>457</v>
      </c>
      <c r="K358" s="4" t="str">
        <v>Aegina is impressed into the Delian League</v>
      </c>
      <c r="P358" t="str">
        <v>460</v>
      </c>
      <c r="Q358" t="str">
        <v>Aetna is founded</v>
      </c>
    </row>
    <row r="359" spans="1:17" x14ac:dyDescent="0.25">
      <c r="A359" t="s">
        <v>358</v>
      </c>
      <c r="B359" t="str" cm="1">
        <f t="array" ref="B359">INDEX(_xlfn.TEXTSPLIT(A359, " "), 1)</f>
        <v>457</v>
      </c>
      <c r="C359" t="str" cm="1">
        <f t="array" ref="C359">INDEX(_xlfn.TEXTSPLIT(B359, "-"), 1)</f>
        <v>457</v>
      </c>
      <c r="D359" t="str" cm="1">
        <f t="array" ref="D359">IFERROR(INDEX(_xlfn.TEXTSPLIT(B359, "-"), 2), "")</f>
        <v/>
      </c>
      <c r="E359" t="str">
        <f t="shared" si="15"/>
        <v>Delphi is annexed by Phocis</v>
      </c>
      <c r="F359" t="str">
        <f t="shared" si="16"/>
        <v/>
      </c>
      <c r="H359" t="b">
        <f t="shared" si="17"/>
        <v>0</v>
      </c>
      <c r="J359" s="3" t="str">
        <v>457</v>
      </c>
      <c r="K359" s="4" t="str">
        <v>Delphi is annexed by Phocis</v>
      </c>
      <c r="P359" t="str">
        <v>460</v>
      </c>
      <c r="Q359" t="str">
        <v>First Peloponnesian War Starts</v>
      </c>
    </row>
    <row r="360" spans="1:17" x14ac:dyDescent="0.25">
      <c r="A360" t="s">
        <v>359</v>
      </c>
      <c r="B360" t="str" cm="1">
        <f t="array" ref="B360">INDEX(_xlfn.TEXTSPLIT(A360, " "), 1)</f>
        <v>457</v>
      </c>
      <c r="C360" t="str" cm="1">
        <f t="array" ref="C360">INDEX(_xlfn.TEXTSPLIT(B360, "-"), 1)</f>
        <v>457</v>
      </c>
      <c r="D360" t="str" cm="1">
        <f t="array" ref="D360">IFERROR(INDEX(_xlfn.TEXTSPLIT(B360, "-"), 2), "")</f>
        <v/>
      </c>
      <c r="E360" t="str">
        <f t="shared" si="15"/>
        <v>Pericles, Athenian statesman begins Golden Age, he was taught by Anaxagoras, who believed in dualistic Universe and atoms.</v>
      </c>
      <c r="F360" t="str">
        <f t="shared" si="16"/>
        <v/>
      </c>
      <c r="H360" t="b">
        <f t="shared" si="17"/>
        <v>0</v>
      </c>
      <c r="J360" s="3" t="str">
        <v>457</v>
      </c>
      <c r="K360" s="4" t="str">
        <v>Pericles, Athenian statesman begins Golden Age, he was taught by Anaxagoras, who believed in dualistic Universe and atoms.</v>
      </c>
      <c r="P360" t="str">
        <v>459</v>
      </c>
      <c r="Q360" t="str">
        <v>Aegina is besieged by Athens</v>
      </c>
    </row>
    <row r="361" spans="1:17" x14ac:dyDescent="0.25">
      <c r="A361" t="s">
        <v>360</v>
      </c>
      <c r="B361" t="str" cm="1">
        <f t="array" ref="B361">INDEX(_xlfn.TEXTSPLIT(A361, " "), 1)</f>
        <v>457</v>
      </c>
      <c r="C361" t="str" cm="1">
        <f t="array" ref="C361">INDEX(_xlfn.TEXTSPLIT(B361, "-"), 1)</f>
        <v>457</v>
      </c>
      <c r="D361" t="str" cm="1">
        <f t="array" ref="D361">IFERROR(INDEX(_xlfn.TEXTSPLIT(B361, "-"), 2), "")</f>
        <v/>
      </c>
      <c r="E361" t="str">
        <f t="shared" si="15"/>
        <v>Boeotia (Except Thebes), Phocis and Locris join the Delian League</v>
      </c>
      <c r="F361" t="str">
        <f t="shared" si="16"/>
        <v/>
      </c>
      <c r="H361" t="b">
        <f t="shared" si="17"/>
        <v>0</v>
      </c>
      <c r="J361" s="3" t="str">
        <v>457</v>
      </c>
      <c r="K361" s="4" t="str">
        <v>Boeotia (Except Thebes), Phocis and Locris join the Delian League</v>
      </c>
      <c r="P361" t="str">
        <v>459</v>
      </c>
      <c r="Q361" t="str">
        <v>Morgantina is annexed by Ducetius</v>
      </c>
    </row>
    <row r="362" spans="1:17" x14ac:dyDescent="0.25">
      <c r="A362" t="s">
        <v>361</v>
      </c>
      <c r="B362" t="str" cm="1">
        <f t="array" ref="B362">INDEX(_xlfn.TEXTSPLIT(A362, " "), 1)</f>
        <v>456</v>
      </c>
      <c r="C362" t="str" cm="1">
        <f t="array" ref="C362">INDEX(_xlfn.TEXTSPLIT(B362, "-"), 1)</f>
        <v>456</v>
      </c>
      <c r="D362" t="str" cm="1">
        <f t="array" ref="D362">IFERROR(INDEX(_xlfn.TEXTSPLIT(B362, "-"), 2), "")</f>
        <v/>
      </c>
      <c r="E362" t="str">
        <f t="shared" si="15"/>
        <v>Gythium is raided by Athens</v>
      </c>
      <c r="F362" t="str">
        <f t="shared" si="16"/>
        <v/>
      </c>
      <c r="H362" t="b">
        <f t="shared" si="17"/>
        <v>0</v>
      </c>
      <c r="J362" s="3" t="str">
        <v>456</v>
      </c>
      <c r="K362" s="4" t="str">
        <v>Gythium is raided by Athens</v>
      </c>
      <c r="P362" t="str">
        <v>459</v>
      </c>
      <c r="Q362" t="str">
        <v>Siege of Memphis, destruction of the Athenian fleet by Megabyzus --&gt;</v>
      </c>
    </row>
    <row r="363" spans="1:17" x14ac:dyDescent="0.25">
      <c r="A363" t="s">
        <v>362</v>
      </c>
      <c r="B363" t="str" cm="1">
        <f t="array" ref="B363">INDEX(_xlfn.TEXTSPLIT(A363, " "), 1)</f>
        <v>456</v>
      </c>
      <c r="C363" t="str" cm="1">
        <f t="array" ref="C363">INDEX(_xlfn.TEXTSPLIT(B363, "-"), 1)</f>
        <v>456</v>
      </c>
      <c r="D363" t="str" cm="1">
        <f t="array" ref="D363">IFERROR(INDEX(_xlfn.TEXTSPLIT(B363, "-"), 2), "")</f>
        <v/>
      </c>
      <c r="E363" t="str">
        <f t="shared" si="15"/>
        <v>Zakynthos joins the Delian League</v>
      </c>
      <c r="F363" t="str">
        <f t="shared" si="16"/>
        <v/>
      </c>
      <c r="H363" t="b">
        <f t="shared" si="17"/>
        <v>0</v>
      </c>
      <c r="J363" s="3" t="str">
        <v>456</v>
      </c>
      <c r="K363" s="4" t="str">
        <v>Zakynthos joins the Delian League</v>
      </c>
      <c r="P363" t="str">
        <v>458</v>
      </c>
      <c r="Q363" t="str">
        <v>Imbros is annexed by Athens</v>
      </c>
    </row>
    <row r="364" spans="1:17" x14ac:dyDescent="0.25">
      <c r="A364" t="s">
        <v>363</v>
      </c>
      <c r="B364" t="str" cm="1">
        <f t="array" ref="B364">INDEX(_xlfn.TEXTSPLIT(A364, " "), 1)</f>
        <v>456</v>
      </c>
      <c r="C364" t="str" cm="1">
        <f t="array" ref="C364">INDEX(_xlfn.TEXTSPLIT(B364, "-"), 1)</f>
        <v>456</v>
      </c>
      <c r="D364" t="str" cm="1">
        <f t="array" ref="D364">IFERROR(INDEX(_xlfn.TEXTSPLIT(B364, "-"), 2), "")</f>
        <v/>
      </c>
      <c r="E364" t="str">
        <f t="shared" si="15"/>
        <v>Castrugiuvanni (Enna) join Ducetius</v>
      </c>
      <c r="F364" t="str">
        <f t="shared" si="16"/>
        <v/>
      </c>
      <c r="H364" t="b">
        <f t="shared" si="17"/>
        <v>0</v>
      </c>
      <c r="J364" s="3" t="str">
        <v>456</v>
      </c>
      <c r="K364" s="4" t="str">
        <v>Castrugiuvanni (Enna) join Ducetius</v>
      </c>
      <c r="P364" t="str">
        <v>457</v>
      </c>
      <c r="Q364" t="str">
        <v>Aegina is impressed into the Delian League</v>
      </c>
    </row>
    <row r="365" spans="1:17" x14ac:dyDescent="0.25">
      <c r="A365" t="s">
        <v>364</v>
      </c>
      <c r="B365" t="str" cm="1">
        <f t="array" ref="B365">INDEX(_xlfn.TEXTSPLIT(A365, " "), 1)</f>
        <v>456</v>
      </c>
      <c r="C365" t="str" cm="1">
        <f t="array" ref="C365">INDEX(_xlfn.TEXTSPLIT(B365, "-"), 1)</f>
        <v>456</v>
      </c>
      <c r="D365" t="str" cm="1">
        <f t="array" ref="D365">IFERROR(INDEX(_xlfn.TEXTSPLIT(B365, "-"), 2), "")</f>
        <v/>
      </c>
      <c r="E365" t="str">
        <f t="shared" si="15"/>
        <v>Aeschylus dies.</v>
      </c>
      <c r="F365" t="str">
        <f t="shared" si="16"/>
        <v/>
      </c>
      <c r="H365" t="b">
        <f t="shared" si="17"/>
        <v>0</v>
      </c>
      <c r="J365" s="3" t="str">
        <v>456</v>
      </c>
      <c r="K365" s="4" t="str">
        <v>Aeschylus dies.</v>
      </c>
      <c r="P365" t="str">
        <v>457</v>
      </c>
      <c r="Q365" t="str">
        <v>Delphi is annexed by Phocis</v>
      </c>
    </row>
    <row r="366" spans="1:17" x14ac:dyDescent="0.25">
      <c r="A366" t="s">
        <v>365</v>
      </c>
      <c r="B366" t="str" cm="1">
        <f t="array" ref="B366">INDEX(_xlfn.TEXTSPLIT(A366, " "), 1)</f>
        <v>455</v>
      </c>
      <c r="C366" t="str" cm="1">
        <f t="array" ref="C366">INDEX(_xlfn.TEXTSPLIT(B366, "-"), 1)</f>
        <v>455</v>
      </c>
      <c r="D366" t="str" cm="1">
        <f t="array" ref="D366">IFERROR(INDEX(_xlfn.TEXTSPLIT(B366, "-"), 2), "")</f>
        <v/>
      </c>
      <c r="E366" t="str">
        <f t="shared" si="15"/>
        <v>Nafpaktos is impressed into the Delian League and settled with Messenian Helots</v>
      </c>
      <c r="F366" t="str">
        <f t="shared" si="16"/>
        <v/>
      </c>
      <c r="H366" t="b">
        <f t="shared" si="17"/>
        <v>0</v>
      </c>
      <c r="J366" s="3" t="str">
        <v>455</v>
      </c>
      <c r="K366" s="4" t="str">
        <v>Nafpaktos is impressed into the Delian League and settled with Messenian Helots</v>
      </c>
      <c r="P366" t="str">
        <v>457</v>
      </c>
      <c r="Q366" t="str">
        <v>Pericles, Athenian statesman begins Golden Age, he was taught by Anaxagoras, who believed in dualistic Universe and atoms.</v>
      </c>
    </row>
    <row r="367" spans="1:17" x14ac:dyDescent="0.25">
      <c r="A367" t="s">
        <v>366</v>
      </c>
      <c r="B367" t="str" cm="1">
        <f t="array" ref="B367">INDEX(_xlfn.TEXTSPLIT(A367, " "), 1)</f>
        <v>454</v>
      </c>
      <c r="C367" t="str" cm="1">
        <f t="array" ref="C367">INDEX(_xlfn.TEXTSPLIT(B367, "-"), 1)</f>
        <v>454</v>
      </c>
      <c r="D367" t="str" cm="1">
        <f t="array" ref="D367">IFERROR(INDEX(_xlfn.TEXTSPLIT(B367, "-"), 2), "")</f>
        <v/>
      </c>
      <c r="E367" t="str">
        <f t="shared" si="15"/>
        <v>Abacaenum is annexed by Ducetius</v>
      </c>
      <c r="F367" t="str">
        <f t="shared" si="16"/>
        <v/>
      </c>
      <c r="H367" t="b">
        <f t="shared" si="17"/>
        <v>0</v>
      </c>
      <c r="J367" s="3" t="str">
        <v>454</v>
      </c>
      <c r="K367" s="4" t="str">
        <v>Abacaenum is annexed by Ducetius</v>
      </c>
      <c r="P367" t="str">
        <v>457</v>
      </c>
      <c r="Q367" t="str">
        <v>Boeotia (Except Thebes), Phocis and Locris join the Delian League</v>
      </c>
    </row>
    <row r="368" spans="1:17" x14ac:dyDescent="0.25">
      <c r="A368" t="s">
        <v>367</v>
      </c>
      <c r="B368" t="str" cm="1">
        <f t="array" ref="B368">INDEX(_xlfn.TEXTSPLIT(A368, " "), 1)</f>
        <v>454</v>
      </c>
      <c r="C368" t="str" cm="1">
        <f t="array" ref="C368">INDEX(_xlfn.TEXTSPLIT(B368, "-"), 1)</f>
        <v>454</v>
      </c>
      <c r="D368" t="str" cm="1">
        <f t="array" ref="D368">IFERROR(INDEX(_xlfn.TEXTSPLIT(B368, "-"), 2), "")</f>
        <v/>
      </c>
      <c r="E368" t="str">
        <f t="shared" si="15"/>
        <v>Movement of Delian treasury to Athens and start of the First Athenian Empire</v>
      </c>
      <c r="F368" t="str">
        <f t="shared" si="16"/>
        <v/>
      </c>
      <c r="H368" t="b">
        <f t="shared" si="17"/>
        <v>0</v>
      </c>
      <c r="J368" s="3" t="str">
        <v>454</v>
      </c>
      <c r="K368" s="4" t="str">
        <v>Movement of Delian treasury to Athens and start of the First Athenian Empire</v>
      </c>
      <c r="P368" t="str">
        <v>456</v>
      </c>
      <c r="Q368" t="str">
        <v>Gythium is raided by Athens</v>
      </c>
    </row>
    <row r="369" spans="1:17" x14ac:dyDescent="0.25">
      <c r="A369" t="s">
        <v>368</v>
      </c>
      <c r="B369" t="str" cm="1">
        <f t="array" ref="B369">INDEX(_xlfn.TEXTSPLIT(A369, " "), 1)</f>
        <v>454</v>
      </c>
      <c r="C369" t="str" cm="1">
        <f t="array" ref="C369">INDEX(_xlfn.TEXTSPLIT(B369, "-"), 1)</f>
        <v>454</v>
      </c>
      <c r="D369" t="str" cm="1">
        <f t="array" ref="D369">IFERROR(INDEX(_xlfn.TEXTSPLIT(B369, "-"), 2), "")</f>
        <v/>
      </c>
      <c r="E369" t="str">
        <f t="shared" si="15"/>
        <v>Athenian annexation of Delos</v>
      </c>
      <c r="F369" t="str">
        <f t="shared" si="16"/>
        <v/>
      </c>
      <c r="H369" t="b">
        <f t="shared" si="17"/>
        <v>0</v>
      </c>
      <c r="J369" s="3" t="str">
        <v>454</v>
      </c>
      <c r="K369" s="4" t="str">
        <v>Athenian annexation of Delos</v>
      </c>
      <c r="P369" t="str">
        <v>456</v>
      </c>
      <c r="Q369" t="str">
        <v>Zakynthos joins the Delian League</v>
      </c>
    </row>
    <row r="370" spans="1:17" x14ac:dyDescent="0.25">
      <c r="A370" t="s">
        <v>369</v>
      </c>
      <c r="B370" t="str" cm="1">
        <f t="array" ref="B370">INDEX(_xlfn.TEXTSPLIT(A370, " "), 1)</f>
        <v>453</v>
      </c>
      <c r="C370" t="str" cm="1">
        <f t="array" ref="C370">INDEX(_xlfn.TEXTSPLIT(B370, "-"), 1)</f>
        <v>453</v>
      </c>
      <c r="D370" t="str" cm="1">
        <f t="array" ref="D370">IFERROR(INDEX(_xlfn.TEXTSPLIT(B370, "-"), 2), "")</f>
        <v/>
      </c>
      <c r="E370" t="str">
        <f t="shared" si="15"/>
        <v>Palike is founded by Ducetius</v>
      </c>
      <c r="F370" t="str">
        <f t="shared" si="16"/>
        <v/>
      </c>
      <c r="H370" t="b">
        <f t="shared" si="17"/>
        <v>0</v>
      </c>
      <c r="J370" s="3" t="str">
        <v>453</v>
      </c>
      <c r="K370" s="4" t="str">
        <v>Palike is founded by Ducetius</v>
      </c>
      <c r="P370" t="str">
        <v>456</v>
      </c>
      <c r="Q370" t="str">
        <v>Castrugiuvanni (Enna) join Ducetius</v>
      </c>
    </row>
    <row r="371" spans="1:17" x14ac:dyDescent="0.25">
      <c r="A371" t="s">
        <v>370</v>
      </c>
      <c r="B371" t="str" cm="1">
        <f t="array" ref="B371">INDEX(_xlfn.TEXTSPLIT(A371, " "), 1)</f>
        <v>452</v>
      </c>
      <c r="C371" t="str" cm="1">
        <f t="array" ref="C371">INDEX(_xlfn.TEXTSPLIT(B371, "-"), 1)</f>
        <v>452</v>
      </c>
      <c r="D371" t="str" cm="1">
        <f t="array" ref="D371">IFERROR(INDEX(_xlfn.TEXTSPLIT(B371, "-"), 2), "")</f>
        <v/>
      </c>
      <c r="E371" t="str">
        <f t="shared" si="15"/>
        <v>Akragas and Aetna are annexed by Ducetius, Ducetius sieges Motyon</v>
      </c>
      <c r="F371" t="str">
        <f t="shared" si="16"/>
        <v/>
      </c>
      <c r="H371" t="b">
        <f t="shared" si="17"/>
        <v>0</v>
      </c>
      <c r="J371" s="3" t="str">
        <v>452</v>
      </c>
      <c r="K371" s="4" t="str">
        <v>Akragas and Aetna are annexed by Ducetius, Ducetius sieges Motyon</v>
      </c>
      <c r="P371" t="str">
        <v>456</v>
      </c>
      <c r="Q371" t="str">
        <v>Aeschylus dies.</v>
      </c>
    </row>
    <row r="372" spans="1:17" x14ac:dyDescent="0.25">
      <c r="A372" t="s">
        <v>371</v>
      </c>
      <c r="B372" t="str" cm="1">
        <f t="array" ref="B372">INDEX(_xlfn.TEXTSPLIT(A372, " "), 1)</f>
        <v>452</v>
      </c>
      <c r="C372" t="str" cm="1">
        <f t="array" ref="C372">INDEX(_xlfn.TEXTSPLIT(B372, "-"), 1)</f>
        <v>452</v>
      </c>
      <c r="D372" t="str" cm="1">
        <f t="array" ref="D372">IFERROR(INDEX(_xlfn.TEXTSPLIT(B372, "-"), 2), "")</f>
        <v/>
      </c>
      <c r="E372" t="str">
        <f t="shared" si="15"/>
        <v>Nea Sybaris is founded by Sybarites</v>
      </c>
      <c r="F372" t="str">
        <f t="shared" si="16"/>
        <v/>
      </c>
      <c r="H372" t="b">
        <f t="shared" si="17"/>
        <v>0</v>
      </c>
      <c r="J372" s="3" t="str">
        <v>452</v>
      </c>
      <c r="K372" s="4" t="str">
        <v>Nea Sybaris is founded by Sybarites</v>
      </c>
      <c r="P372" t="str">
        <v>455</v>
      </c>
      <c r="Q372" t="str">
        <v>Nafpaktos is impressed into the Delian League and settled with Messenian Helots</v>
      </c>
    </row>
    <row r="373" spans="1:17" x14ac:dyDescent="0.25">
      <c r="A373" t="s">
        <v>372</v>
      </c>
      <c r="B373" t="str" cm="1">
        <f t="array" ref="B373">INDEX(_xlfn.TEXTSPLIT(A373, " "), 1)</f>
        <v>451</v>
      </c>
      <c r="C373" t="str" cm="1">
        <f t="array" ref="C373">INDEX(_xlfn.TEXTSPLIT(B373, "-"), 1)</f>
        <v>451</v>
      </c>
      <c r="D373" t="str" cm="1">
        <f t="array" ref="D373">IFERROR(INDEX(_xlfn.TEXTSPLIT(B373, "-"), 2), "")</f>
        <v/>
      </c>
      <c r="E373" t="str">
        <f t="shared" si="15"/>
        <v>Athens besieges Kition</v>
      </c>
      <c r="F373" t="str">
        <f t="shared" si="16"/>
        <v/>
      </c>
      <c r="H373" t="b">
        <f t="shared" si="17"/>
        <v>0</v>
      </c>
      <c r="J373" s="3" t="str">
        <v>451</v>
      </c>
      <c r="K373" s="4" t="str">
        <v>Athens besieges Kition</v>
      </c>
      <c r="P373" t="str">
        <v>455</v>
      </c>
      <c r="Q373" t="str">
        <v>--&gt; Siege of Memphis, destruction of the Athenian fleet by Megabyzus</v>
      </c>
    </row>
    <row r="374" spans="1:17" x14ac:dyDescent="0.25">
      <c r="A374" t="s">
        <v>373</v>
      </c>
      <c r="B374" t="str" cm="1">
        <f t="array" ref="B374">INDEX(_xlfn.TEXTSPLIT(A374, " "), 1)</f>
        <v>451</v>
      </c>
      <c r="C374" t="str" cm="1">
        <f t="array" ref="C374">INDEX(_xlfn.TEXTSPLIT(B374, "-"), 1)</f>
        <v>451</v>
      </c>
      <c r="D374" t="str" cm="1">
        <f t="array" ref="D374">IFERROR(INDEX(_xlfn.TEXTSPLIT(B374, "-"), 2), "")</f>
        <v/>
      </c>
      <c r="E374" t="str">
        <f t="shared" si="15"/>
        <v>Motyon is occupied by Ducetius</v>
      </c>
      <c r="F374" t="str">
        <f t="shared" si="16"/>
        <v/>
      </c>
      <c r="H374" t="b">
        <f t="shared" si="17"/>
        <v>0</v>
      </c>
      <c r="J374" s="3" t="str">
        <v>451</v>
      </c>
      <c r="K374" s="4" t="str">
        <v>Motyon is occupied by Ducetius</v>
      </c>
      <c r="P374" t="str">
        <v>454</v>
      </c>
      <c r="Q374" t="str">
        <v>Abacaenum is annexed by Ducetius</v>
      </c>
    </row>
    <row r="375" spans="1:17" x14ac:dyDescent="0.25">
      <c r="A375" t="s">
        <v>374</v>
      </c>
      <c r="B375" t="str" cm="1">
        <f t="array" ref="B375">INDEX(_xlfn.TEXTSPLIT(A375, " "), 1)</f>
        <v>450</v>
      </c>
      <c r="C375" t="str" cm="1">
        <f t="array" ref="C375">INDEX(_xlfn.TEXTSPLIT(B375, "-"), 1)</f>
        <v>450</v>
      </c>
      <c r="D375" t="str" cm="1">
        <f t="array" ref="D375">IFERROR(INDEX(_xlfn.TEXTSPLIT(B375, "-"), 2), "")</f>
        <v/>
      </c>
      <c r="E375" t="str">
        <f t="shared" si="15"/>
        <v>Naxos becomes a cleurchy</v>
      </c>
      <c r="F375" t="str">
        <f t="shared" si="16"/>
        <v/>
      </c>
      <c r="H375" t="b">
        <f t="shared" si="17"/>
        <v>0</v>
      </c>
      <c r="J375" s="3" t="str">
        <v>450</v>
      </c>
      <c r="K375" s="4" t="str">
        <v>Naxos becomes a cleurchy</v>
      </c>
      <c r="P375" t="str">
        <v>454</v>
      </c>
      <c r="Q375" t="str">
        <v>Movement of Delian treasury to Athens and start of the First Athenian Empire</v>
      </c>
    </row>
    <row r="376" spans="1:17" x14ac:dyDescent="0.25">
      <c r="A376" t="s">
        <v>375</v>
      </c>
      <c r="B376" t="str" cm="1">
        <f t="array" ref="B376">INDEX(_xlfn.TEXTSPLIT(A376, " "), 1)</f>
        <v>450</v>
      </c>
      <c r="C376" t="str" cm="1">
        <f t="array" ref="C376">INDEX(_xlfn.TEXTSPLIT(B376, "-"), 1)</f>
        <v>450</v>
      </c>
      <c r="D376" t="str" cm="1">
        <f t="array" ref="D376">IFERROR(INDEX(_xlfn.TEXTSPLIT(B376, "-"), 2), "")</f>
        <v/>
      </c>
      <c r="E376" t="str">
        <f t="shared" si="15"/>
        <v>Akragas and Motyon are liberated from Ducetius starting a decades long conflict between Syracuse+friends and the Sicels</v>
      </c>
      <c r="F376" t="str">
        <f t="shared" si="16"/>
        <v/>
      </c>
      <c r="H376" t="b">
        <f t="shared" si="17"/>
        <v>0</v>
      </c>
      <c r="J376" s="3" t="str">
        <v>450</v>
      </c>
      <c r="K376" s="4" t="str">
        <v>Akragas and Motyon are liberated from Ducetius starting a decades long conflict between Syracuse+friends and the Sicels</v>
      </c>
      <c r="P376" t="str">
        <v>454</v>
      </c>
      <c r="Q376" t="str">
        <v>Athenian annexation of Delos</v>
      </c>
    </row>
    <row r="377" spans="1:17" x14ac:dyDescent="0.25">
      <c r="A377" t="s">
        <v>376</v>
      </c>
      <c r="B377" t="str" cm="1">
        <f t="array" ref="B377">INDEX(_xlfn.TEXTSPLIT(A377, " "), 1)</f>
        <v>449</v>
      </c>
      <c r="C377" t="str" cm="1">
        <f t="array" ref="C377">INDEX(_xlfn.TEXTSPLIT(B377, "-"), 1)</f>
        <v>449</v>
      </c>
      <c r="D377" t="str" cm="1">
        <f t="array" ref="D377">IFERROR(INDEX(_xlfn.TEXTSPLIT(B377, "-"), 2), "")</f>
        <v/>
      </c>
      <c r="E377" t="str">
        <f t="shared" si="15"/>
        <v>Delphi declares independence from Phocis</v>
      </c>
      <c r="F377" t="str">
        <f t="shared" si="16"/>
        <v/>
      </c>
      <c r="H377" t="b">
        <f t="shared" si="17"/>
        <v>0</v>
      </c>
      <c r="J377" s="3" t="str">
        <v>449</v>
      </c>
      <c r="K377" s="4" t="str">
        <v>Delphi declares independence from Phocis</v>
      </c>
      <c r="P377" t="str">
        <v>453</v>
      </c>
      <c r="Q377" t="str">
        <v>Palike is founded by Ducetius</v>
      </c>
    </row>
    <row r="378" spans="1:17" x14ac:dyDescent="0.25">
      <c r="A378" t="s">
        <v>377</v>
      </c>
      <c r="B378" t="str" cm="1">
        <f t="array" ref="B378">INDEX(_xlfn.TEXTSPLIT(A378, " "), 1)</f>
        <v>449</v>
      </c>
      <c r="C378" t="str" cm="1">
        <f t="array" ref="C378">INDEX(_xlfn.TEXTSPLIT(B378, "-"), 1)</f>
        <v>449</v>
      </c>
      <c r="D378" t="str" cm="1">
        <f t="array" ref="D378">IFERROR(INDEX(_xlfn.TEXTSPLIT(B378, "-"), 2), "")</f>
        <v/>
      </c>
      <c r="E378" t="str">
        <f t="shared" si="15"/>
        <v>Ducetius abandons the Sicel Federation he created and is forced to go into exile at Korinth</v>
      </c>
      <c r="F378" t="str">
        <f t="shared" si="16"/>
        <v/>
      </c>
      <c r="H378" t="b">
        <f t="shared" si="17"/>
        <v>0</v>
      </c>
      <c r="J378" s="3" t="str">
        <v>449</v>
      </c>
      <c r="K378" s="4" t="str">
        <v>Ducetius abandons the Sicel Federation he created and is forced to go into exile at Korinth</v>
      </c>
      <c r="P378" t="str">
        <v>452</v>
      </c>
      <c r="Q378" t="str">
        <v>Akragas and Aetna are annexed by Ducetius, Ducetius sieges Motyon</v>
      </c>
    </row>
    <row r="379" spans="1:17" x14ac:dyDescent="0.25">
      <c r="A379" t="s">
        <v>378</v>
      </c>
      <c r="B379" t="str" cm="1">
        <f t="array" ref="B379">INDEX(_xlfn.TEXTSPLIT(A379, " "), 1)</f>
        <v>449</v>
      </c>
      <c r="C379" t="str" cm="1">
        <f t="array" ref="C379">INDEX(_xlfn.TEXTSPLIT(B379, "-"), 1)</f>
        <v>449</v>
      </c>
      <c r="D379" t="str" cm="1">
        <f t="array" ref="D379">IFERROR(INDEX(_xlfn.TEXTSPLIT(B379, "-"), 2), "")</f>
        <v/>
      </c>
      <c r="E379" t="str">
        <f t="shared" si="15"/>
        <v>Morgantina is annexed Syracuse</v>
      </c>
      <c r="F379" t="str">
        <f t="shared" si="16"/>
        <v/>
      </c>
      <c r="H379" t="b">
        <f t="shared" si="17"/>
        <v>0</v>
      </c>
      <c r="J379" s="3" t="str">
        <v>449</v>
      </c>
      <c r="K379" s="4" t="str">
        <v>Morgantina is annexed Syracuse</v>
      </c>
      <c r="P379" t="str">
        <v>452</v>
      </c>
      <c r="Q379" t="str">
        <v>Nea Sybaris is founded by Sybarites</v>
      </c>
    </row>
    <row r="380" spans="1:17" x14ac:dyDescent="0.25">
      <c r="A380" t="s">
        <v>379</v>
      </c>
      <c r="B380" t="str" cm="1">
        <f t="array" ref="B380">INDEX(_xlfn.TEXTSPLIT(A380, " "), 1)</f>
        <v>449</v>
      </c>
      <c r="C380" t="str" cm="1">
        <f t="array" ref="C380">INDEX(_xlfn.TEXTSPLIT(B380, "-"), 1)</f>
        <v>449</v>
      </c>
      <c r="D380" t="str" cm="1">
        <f t="array" ref="D380">IFERROR(INDEX(_xlfn.TEXTSPLIT(B380, "-"), 2), "")</f>
        <v/>
      </c>
      <c r="E380" t="str">
        <f t="shared" si="15"/>
        <v>Herodotus, Greek Historian, writes History of Greco-Persian War from 490 to 479.</v>
      </c>
      <c r="F380" t="str">
        <f t="shared" si="16"/>
        <v/>
      </c>
      <c r="H380" t="b">
        <f t="shared" si="17"/>
        <v>0</v>
      </c>
      <c r="J380" s="3" t="str">
        <v>449</v>
      </c>
      <c r="K380" s="4" t="str">
        <v>Herodotus, Greek Historian, writes History of Greco-Persian War from 490 to 479.</v>
      </c>
      <c r="P380" t="str">
        <v>451</v>
      </c>
      <c r="Q380" t="str">
        <v>Athens besieges Kition</v>
      </c>
    </row>
    <row r="381" spans="1:17" x14ac:dyDescent="0.25">
      <c r="A381" t="s">
        <v>380</v>
      </c>
      <c r="B381" t="str" cm="1">
        <f t="array" ref="B381">INDEX(_xlfn.TEXTSPLIT(A381, " "), 1)</f>
        <v>448</v>
      </c>
      <c r="C381" t="str" cm="1">
        <f t="array" ref="C381">INDEX(_xlfn.TEXTSPLIT(B381, "-"), 1)</f>
        <v>448</v>
      </c>
      <c r="D381" t="str" cm="1">
        <f t="array" ref="D381">IFERROR(INDEX(_xlfn.TEXTSPLIT(B381, "-"), 2), "")</f>
        <v/>
      </c>
      <c r="E381" t="str">
        <f t="shared" si="15"/>
        <v>Delphi is annexed by Phocis</v>
      </c>
      <c r="F381" t="str">
        <f t="shared" si="16"/>
        <v/>
      </c>
      <c r="H381" t="b">
        <f t="shared" si="17"/>
        <v>0</v>
      </c>
      <c r="J381" s="3" t="str">
        <v>448</v>
      </c>
      <c r="K381" s="4" t="str">
        <v>Delphi is annexed by Phocis</v>
      </c>
      <c r="P381" t="str">
        <v>451</v>
      </c>
      <c r="Q381" t="str">
        <v>Motyon is occupied by Ducetius</v>
      </c>
    </row>
    <row r="382" spans="1:17" x14ac:dyDescent="0.25">
      <c r="A382" t="s">
        <v>381</v>
      </c>
      <c r="B382" t="str" cm="1">
        <f t="array" ref="B382">INDEX(_xlfn.TEXTSPLIT(A382, " "), 1)</f>
        <v>447</v>
      </c>
      <c r="C382" t="str" cm="1">
        <f t="array" ref="C382">INDEX(_xlfn.TEXTSPLIT(B382, "-"), 1)</f>
        <v>447</v>
      </c>
      <c r="D382" t="str" cm="1">
        <f t="array" ref="D382">IFERROR(INDEX(_xlfn.TEXTSPLIT(B382, "-"), 2), "")</f>
        <v/>
      </c>
      <c r="E382" t="str">
        <f t="shared" si="15"/>
        <v>Ictinus and Callicrates, Greek architects, begin construction of the Parthenon.</v>
      </c>
      <c r="F382" t="str">
        <f t="shared" si="16"/>
        <v/>
      </c>
      <c r="H382" t="b">
        <f t="shared" si="17"/>
        <v>0</v>
      </c>
      <c r="J382" s="3" t="str">
        <v>447</v>
      </c>
      <c r="K382" s="4" t="str">
        <v>Ictinus and Callicrates, Greek architects, begin construction of the Parthenon.</v>
      </c>
      <c r="P382" t="str">
        <v>450</v>
      </c>
      <c r="Q382" t="str">
        <v>Naxos becomes a cleurchy</v>
      </c>
    </row>
    <row r="383" spans="1:17" x14ac:dyDescent="0.25">
      <c r="A383" t="s">
        <v>382</v>
      </c>
      <c r="B383" t="str" cm="1">
        <f t="array" ref="B383">INDEX(_xlfn.TEXTSPLIT(A383, " "), 1)</f>
        <v>447</v>
      </c>
      <c r="C383" t="str" cm="1">
        <f t="array" ref="C383">INDEX(_xlfn.TEXTSPLIT(B383, "-"), 1)</f>
        <v>447</v>
      </c>
      <c r="D383" t="str" cm="1">
        <f t="array" ref="D383">IFERROR(INDEX(_xlfn.TEXTSPLIT(B383, "-"), 2), "")</f>
        <v/>
      </c>
      <c r="E383" t="str">
        <f t="shared" si="15"/>
        <v>Nea Sybaris is annexed by Kroton</v>
      </c>
      <c r="F383" t="str">
        <f t="shared" si="16"/>
        <v/>
      </c>
      <c r="H383" t="b">
        <f t="shared" si="17"/>
        <v>0</v>
      </c>
      <c r="J383" s="3" t="str">
        <v>447</v>
      </c>
      <c r="K383" s="4" t="str">
        <v>Nea Sybaris is annexed by Kroton</v>
      </c>
      <c r="P383" t="str">
        <v>450</v>
      </c>
      <c r="Q383" t="str">
        <v>Akragas and Motyon are liberated from Ducetius starting a decades long conflict between Syracuse+friends and the Sicels</v>
      </c>
    </row>
    <row r="384" spans="1:17" x14ac:dyDescent="0.25">
      <c r="A384" t="s">
        <v>383</v>
      </c>
      <c r="B384" t="str" cm="1">
        <f t="array" ref="B384">INDEX(_xlfn.TEXTSPLIT(A384, " "), 1)</f>
        <v>447</v>
      </c>
      <c r="C384" t="str" cm="1">
        <f t="array" ref="C384">INDEX(_xlfn.TEXTSPLIT(B384, "-"), 1)</f>
        <v>447</v>
      </c>
      <c r="D384" t="str" cm="1">
        <f t="array" ref="D384">IFERROR(INDEX(_xlfn.TEXTSPLIT(B384, "-"), 2), "")</f>
        <v/>
      </c>
      <c r="E384" t="str">
        <f t="shared" si="15"/>
        <v>Chalcis leaves the Delian League and is besieged by Athens</v>
      </c>
      <c r="F384" t="str">
        <f t="shared" si="16"/>
        <v/>
      </c>
      <c r="H384" t="b">
        <f t="shared" si="17"/>
        <v>0</v>
      </c>
      <c r="J384" s="3" t="str">
        <v>447</v>
      </c>
      <c r="K384" s="4" t="str">
        <v>Chalcis leaves the Delian League and is besieged by Athens</v>
      </c>
      <c r="P384" t="str">
        <v>449</v>
      </c>
      <c r="Q384" t="str">
        <v>Delphi declares independence from Phocis</v>
      </c>
    </row>
    <row r="385" spans="1:17" x14ac:dyDescent="0.25">
      <c r="A385" t="s">
        <v>384</v>
      </c>
      <c r="B385" t="str" cm="1">
        <f t="array" ref="B385">INDEX(_xlfn.TEXTSPLIT(A385, " "), 1)</f>
        <v>446</v>
      </c>
      <c r="C385" t="str" cm="1">
        <f t="array" ref="C385">INDEX(_xlfn.TEXTSPLIT(B385, "-"), 1)</f>
        <v>446</v>
      </c>
      <c r="D385" t="str" cm="1">
        <f t="array" ref="D385">IFERROR(INDEX(_xlfn.TEXTSPLIT(B385, "-"), 2), "")</f>
        <v/>
      </c>
      <c r="E385" t="str">
        <f t="shared" si="15"/>
        <v>Phocis, Locris and Boeotia leave the Delian League, Boeotia unites into the Boeotian League and joins the Peloponnesian League</v>
      </c>
      <c r="F385" t="str">
        <f t="shared" si="16"/>
        <v/>
      </c>
      <c r="H385" t="b">
        <f t="shared" si="17"/>
        <v>0</v>
      </c>
      <c r="J385" s="3" t="str">
        <v>446</v>
      </c>
      <c r="K385" s="4" t="str">
        <v>Phocis, Locris and Boeotia leave the Delian League, Boeotia unites into the Boeotian League and joins the Peloponnesian League</v>
      </c>
      <c r="P385" t="str">
        <v>449</v>
      </c>
      <c r="Q385" t="str">
        <v>Ducetius abandons the Sicel Federation he created and is forced to go into exile at Korinth</v>
      </c>
    </row>
    <row r="386" spans="1:17" x14ac:dyDescent="0.25">
      <c r="A386" t="s">
        <v>385</v>
      </c>
      <c r="B386" t="str" cm="1">
        <f t="array" ref="B386">INDEX(_xlfn.TEXTSPLIT(A386, " "), 1)</f>
        <v>446</v>
      </c>
      <c r="C386" t="str" cm="1">
        <f t="array" ref="C386">INDEX(_xlfn.TEXTSPLIT(B386, "-"), 1)</f>
        <v>446</v>
      </c>
      <c r="D386" t="str" cm="1">
        <f t="array" ref="D386">IFERROR(INDEX(_xlfn.TEXTSPLIT(B386, "-"), 2), "")</f>
        <v/>
      </c>
      <c r="E386" t="str">
        <f t="shared" si="15"/>
        <v>Megara joins the Peloponnesian League</v>
      </c>
      <c r="F386" t="str">
        <f t="shared" si="16"/>
        <v/>
      </c>
      <c r="H386" t="b">
        <f t="shared" si="17"/>
        <v>0</v>
      </c>
      <c r="J386" s="3" t="str">
        <v>446</v>
      </c>
      <c r="K386" s="4" t="str">
        <v>Megara joins the Peloponnesian League</v>
      </c>
      <c r="P386" t="str">
        <v>449</v>
      </c>
      <c r="Q386" t="str">
        <v>Morgantina is annexed Syracuse</v>
      </c>
    </row>
    <row r="387" spans="1:17" x14ac:dyDescent="0.25">
      <c r="A387" t="s">
        <v>386</v>
      </c>
      <c r="B387" t="str" cm="1">
        <f t="array" ref="B387">INDEX(_xlfn.TEXTSPLIT(A387, " "), 1)</f>
        <v>446</v>
      </c>
      <c r="C387" t="str" cm="1">
        <f t="array" ref="C387">INDEX(_xlfn.TEXTSPLIT(B387, "-"), 1)</f>
        <v>446</v>
      </c>
      <c r="D387" t="str" cm="1">
        <f t="array" ref="D387">IFERROR(INDEX(_xlfn.TEXTSPLIT(B387, "-"), 2), "")</f>
        <v/>
      </c>
      <c r="E387" t="str">
        <f t="shared" ref="E387:E450" si="18">_xlfn.LET(
  _xlpm.szoveg,
  MID(A387, SEARCH(" ", A387) + 1, LEN(A387)),
  IF(ISNUMBER(SEARCH("-",B387)), _xlpm.szoveg &amp; " --&gt;", _xlpm.szoveg)
)</f>
        <v>Kale Akte is founded by Ducetius</v>
      </c>
      <c r="F387" t="str">
        <f t="shared" ref="F387:F450" si="19">_xlfn.LET(
  _xlpm.szoveg,
  MID(A387, SEARCH(" ", A387) + 1, LEN(A387)),
  IF(ISNUMBER(SEARCH("-",B387)), "--&gt; " &amp; _xlpm.szoveg, "")
)</f>
        <v/>
      </c>
      <c r="H387" t="b">
        <f t="shared" ref="H387:H450" si="20">ISNUMBER(SEARCH("-", B387))</f>
        <v>0</v>
      </c>
      <c r="J387" s="3" t="str">
        <v>446</v>
      </c>
      <c r="K387" s="4" t="str">
        <v>Kale Akte is founded by Ducetius</v>
      </c>
      <c r="P387" t="str">
        <v>449</v>
      </c>
      <c r="Q387" t="str">
        <v>Herodotus, Greek Historian, writes History of Greco-Persian War from 490 to 479.</v>
      </c>
    </row>
    <row r="388" spans="1:17" x14ac:dyDescent="0.25">
      <c r="A388" t="s">
        <v>387</v>
      </c>
      <c r="B388" t="str" cm="1">
        <f t="array" ref="B388">INDEX(_xlfn.TEXTSPLIT(A388, " "), 1)</f>
        <v>446</v>
      </c>
      <c r="C388" t="str" cm="1">
        <f t="array" ref="C388">INDEX(_xlfn.TEXTSPLIT(B388, "-"), 1)</f>
        <v>446</v>
      </c>
      <c r="D388" t="str" cm="1">
        <f t="array" ref="D388">IFERROR(INDEX(_xlfn.TEXTSPLIT(B388, "-"), 2), "")</f>
        <v/>
      </c>
      <c r="E388" t="str">
        <f t="shared" si="18"/>
        <v>Achaea and Trozen leave the Peloponnesian League and join the Delian League</v>
      </c>
      <c r="F388" t="str">
        <f t="shared" si="19"/>
        <v/>
      </c>
      <c r="H388" t="b">
        <f t="shared" si="20"/>
        <v>0</v>
      </c>
      <c r="J388" s="3" t="str">
        <v>446</v>
      </c>
      <c r="K388" s="4" t="str">
        <v>Achaea and Trozen leave the Peloponnesian League and join the Delian League</v>
      </c>
      <c r="P388" t="str">
        <v>448</v>
      </c>
      <c r="Q388" t="str">
        <v>Delphi is annexed by Phocis</v>
      </c>
    </row>
    <row r="389" spans="1:17" x14ac:dyDescent="0.25">
      <c r="A389" t="s">
        <v>388</v>
      </c>
      <c r="B389" t="str" cm="1">
        <f t="array" ref="B389">INDEX(_xlfn.TEXTSPLIT(A389, " "), 1)</f>
        <v>446-445</v>
      </c>
      <c r="C389" t="str" cm="1">
        <f t="array" ref="C389">INDEX(_xlfn.TEXTSPLIT(B389, "-"), 1)</f>
        <v>446</v>
      </c>
      <c r="D389" t="str" cm="1">
        <f t="array" ref="D389">IFERROR(INDEX(_xlfn.TEXTSPLIT(B389, "-"), 2), "")</f>
        <v>445</v>
      </c>
      <c r="E389" t="str">
        <f t="shared" si="18"/>
        <v>Euboean Revolt --&gt;</v>
      </c>
      <c r="F389" t="str">
        <f t="shared" si="19"/>
        <v>--&gt; Euboean Revolt</v>
      </c>
      <c r="H389" t="b">
        <f t="shared" si="20"/>
        <v>1</v>
      </c>
      <c r="J389" s="3" t="str">
        <v>446</v>
      </c>
      <c r="K389" s="4" t="str">
        <v>Euboean Revolt --&gt;</v>
      </c>
      <c r="P389" t="str">
        <v>447</v>
      </c>
      <c r="Q389" t="str">
        <v>Ictinus and Callicrates, Greek architects, begin construction of the Parthenon.</v>
      </c>
    </row>
    <row r="390" spans="1:17" x14ac:dyDescent="0.25">
      <c r="A390" t="s">
        <v>389</v>
      </c>
      <c r="B390" t="str" cm="1">
        <f t="array" ref="B390">INDEX(_xlfn.TEXTSPLIT(A390, " "), 1)</f>
        <v>445</v>
      </c>
      <c r="C390" t="str" cm="1">
        <f t="array" ref="C390">INDEX(_xlfn.TEXTSPLIT(B390, "-"), 1)</f>
        <v>445</v>
      </c>
      <c r="D390" t="str" cm="1">
        <f t="array" ref="D390">IFERROR(INDEX(_xlfn.TEXTSPLIT(B390, "-"), 2), "")</f>
        <v/>
      </c>
      <c r="E390" t="str">
        <f t="shared" si="18"/>
        <v>Euboea is impressed into the Delian League</v>
      </c>
      <c r="F390" t="str">
        <f t="shared" si="19"/>
        <v/>
      </c>
      <c r="H390" t="b">
        <f t="shared" si="20"/>
        <v>0</v>
      </c>
      <c r="J390" s="3" t="str">
        <v>445</v>
      </c>
      <c r="K390" s="4" t="str">
        <v>Euboea is impressed into the Delian League</v>
      </c>
      <c r="P390" t="str">
        <v>447</v>
      </c>
      <c r="Q390" t="str">
        <v>Nea Sybaris is annexed by Kroton</v>
      </c>
    </row>
    <row r="391" spans="1:17" x14ac:dyDescent="0.25">
      <c r="A391" t="s">
        <v>390</v>
      </c>
      <c r="B391" t="str" cm="1">
        <f t="array" ref="B391">INDEX(_xlfn.TEXTSPLIT(A391, " "), 1)</f>
        <v>445</v>
      </c>
      <c r="C391" t="str" cm="1">
        <f t="array" ref="C391">INDEX(_xlfn.TEXTSPLIT(B391, "-"), 1)</f>
        <v>445</v>
      </c>
      <c r="D391" t="str" cm="1">
        <f t="array" ref="D391">IFERROR(INDEX(_xlfn.TEXTSPLIT(B391, "-"), 2), "")</f>
        <v/>
      </c>
      <c r="E391" t="str">
        <f t="shared" si="18"/>
        <v>Histiaea becomes an Athenian cleurchy</v>
      </c>
      <c r="F391" t="str">
        <f t="shared" si="19"/>
        <v/>
      </c>
      <c r="H391" t="b">
        <f t="shared" si="20"/>
        <v>0</v>
      </c>
      <c r="J391" s="3" t="str">
        <v>445</v>
      </c>
      <c r="K391" s="4" t="str">
        <v>Histiaea becomes an Athenian cleurchy</v>
      </c>
      <c r="P391" t="str">
        <v>447</v>
      </c>
      <c r="Q391" t="str">
        <v>Chalcis leaves the Delian League and is besieged by Athens</v>
      </c>
    </row>
    <row r="392" spans="1:17" x14ac:dyDescent="0.25">
      <c r="A392" t="s">
        <v>391</v>
      </c>
      <c r="B392" t="str" cm="1">
        <f t="array" ref="B392">INDEX(_xlfn.TEXTSPLIT(A392, " "), 1)</f>
        <v>445</v>
      </c>
      <c r="C392" t="str" cm="1">
        <f t="array" ref="C392">INDEX(_xlfn.TEXTSPLIT(B392, "-"), 1)</f>
        <v>445</v>
      </c>
      <c r="D392" t="str" cm="1">
        <f t="array" ref="D392">IFERROR(INDEX(_xlfn.TEXTSPLIT(B392, "-"), 2), "")</f>
        <v/>
      </c>
      <c r="E392" t="str">
        <f t="shared" si="18"/>
        <v>First Peloponnesian War Ends</v>
      </c>
      <c r="F392" t="str">
        <f t="shared" si="19"/>
        <v/>
      </c>
      <c r="H392" t="b">
        <f t="shared" si="20"/>
        <v>0</v>
      </c>
      <c r="J392" s="3" t="str">
        <v>445</v>
      </c>
      <c r="K392" s="4" t="str">
        <v>First Peloponnesian War Ends</v>
      </c>
      <c r="P392" t="str">
        <v>446</v>
      </c>
      <c r="Q392" t="str">
        <v>Phocis, Locris and Boeotia leave the Delian League, Boeotia unites into the Boeotian League and joins the Peloponnesian League</v>
      </c>
    </row>
    <row r="393" spans="1:17" x14ac:dyDescent="0.25">
      <c r="A393" t="s">
        <v>392</v>
      </c>
      <c r="B393" t="str" cm="1">
        <f t="array" ref="B393">INDEX(_xlfn.TEXTSPLIT(A393, " "), 1)</f>
        <v>445</v>
      </c>
      <c r="C393" t="str" cm="1">
        <f t="array" ref="C393">INDEX(_xlfn.TEXTSPLIT(B393, "-"), 1)</f>
        <v>445</v>
      </c>
      <c r="D393" t="str" cm="1">
        <f t="array" ref="D393">IFERROR(INDEX(_xlfn.TEXTSPLIT(B393, "-"), 2), "")</f>
        <v/>
      </c>
      <c r="E393" t="str">
        <f t="shared" si="18"/>
        <v>Troezen is impressed into the Peloponnesian League</v>
      </c>
      <c r="F393" t="str">
        <f t="shared" si="19"/>
        <v/>
      </c>
      <c r="H393" t="b">
        <f t="shared" si="20"/>
        <v>0</v>
      </c>
      <c r="J393" s="3" t="str">
        <v>445</v>
      </c>
      <c r="K393" s="4" t="str">
        <v>Troezen is impressed into the Peloponnesian League</v>
      </c>
      <c r="P393" t="str">
        <v>446</v>
      </c>
      <c r="Q393" t="str">
        <v>Megara joins the Peloponnesian League</v>
      </c>
    </row>
    <row r="394" spans="1:17" x14ac:dyDescent="0.25">
      <c r="A394" t="s">
        <v>393</v>
      </c>
      <c r="B394" t="str" cm="1">
        <f t="array" ref="B394">INDEX(_xlfn.TEXTSPLIT(A394, " "), 1)</f>
        <v>443</v>
      </c>
      <c r="C394" t="str" cm="1">
        <f t="array" ref="C394">INDEX(_xlfn.TEXTSPLIT(B394, "-"), 1)</f>
        <v>443</v>
      </c>
      <c r="D394" t="str" cm="1">
        <f t="array" ref="D394">IFERROR(INDEX(_xlfn.TEXTSPLIT(B394, "-"), 2), "")</f>
        <v/>
      </c>
      <c r="E394" t="str">
        <f t="shared" si="18"/>
        <v>Thurii is founded by Sybarites and Various Hellenes</v>
      </c>
      <c r="F394" t="str">
        <f t="shared" si="19"/>
        <v/>
      </c>
      <c r="H394" t="b">
        <f t="shared" si="20"/>
        <v>0</v>
      </c>
      <c r="J394" s="3" t="str">
        <v>443</v>
      </c>
      <c r="K394" s="4" t="str">
        <v>Thurii is founded by Sybarites and Various Hellenes</v>
      </c>
      <c r="P394" t="str">
        <v>446</v>
      </c>
      <c r="Q394" t="str">
        <v>Kale Akte is founded by Ducetius</v>
      </c>
    </row>
    <row r="395" spans="1:17" x14ac:dyDescent="0.25">
      <c r="A395" t="s">
        <v>394</v>
      </c>
      <c r="B395" t="str" cm="1">
        <f t="array" ref="B395">INDEX(_xlfn.TEXTSPLIT(A395, " "), 1)</f>
        <v>441</v>
      </c>
      <c r="C395" t="str" cm="1">
        <f t="array" ref="C395">INDEX(_xlfn.TEXTSPLIT(B395, "-"), 1)</f>
        <v>441</v>
      </c>
      <c r="D395" t="str" cm="1">
        <f t="array" ref="D395">IFERROR(INDEX(_xlfn.TEXTSPLIT(B395, "-"), 2), "")</f>
        <v/>
      </c>
      <c r="E395" t="str">
        <f t="shared" si="18"/>
        <v>Euripides, Greek playwright, wins Athenian prize.</v>
      </c>
      <c r="F395" t="str">
        <f t="shared" si="19"/>
        <v/>
      </c>
      <c r="H395" t="b">
        <f t="shared" si="20"/>
        <v>0</v>
      </c>
      <c r="J395" s="3" t="str">
        <v>441</v>
      </c>
      <c r="K395" s="4" t="str">
        <v>Euripides, Greek playwright, wins Athenian prize.</v>
      </c>
      <c r="P395" t="str">
        <v>446</v>
      </c>
      <c r="Q395" t="str">
        <v>Achaea and Trozen leave the Peloponnesian League and join the Delian League</v>
      </c>
    </row>
    <row r="396" spans="1:17" x14ac:dyDescent="0.25">
      <c r="A396" t="s">
        <v>395</v>
      </c>
      <c r="B396" t="str" cm="1">
        <f t="array" ref="B396">INDEX(_xlfn.TEXTSPLIT(A396, " "), 1)</f>
        <v>441</v>
      </c>
      <c r="C396" t="str" cm="1">
        <f t="array" ref="C396">INDEX(_xlfn.TEXTSPLIT(B396, "-"), 1)</f>
        <v>441</v>
      </c>
      <c r="D396" t="str" cm="1">
        <f t="array" ref="D396">IFERROR(INDEX(_xlfn.TEXTSPLIT(B396, "-"), 2), "")</f>
        <v/>
      </c>
      <c r="E396" t="str">
        <f t="shared" si="18"/>
        <v>Sybaris on the Traeis is founded by Sybarites exiled from Thurii</v>
      </c>
      <c r="F396" t="str">
        <f t="shared" si="19"/>
        <v/>
      </c>
      <c r="H396" t="b">
        <f t="shared" si="20"/>
        <v>0</v>
      </c>
      <c r="J396" s="3" t="str">
        <v>441</v>
      </c>
      <c r="K396" s="4" t="str">
        <v>Sybaris on the Traeis is founded by Sybarites exiled from Thurii</v>
      </c>
      <c r="P396" t="str">
        <v>446</v>
      </c>
      <c r="Q396" t="str">
        <v>Euboean Revolt --&gt;</v>
      </c>
    </row>
    <row r="397" spans="1:17" x14ac:dyDescent="0.25">
      <c r="A397" t="s">
        <v>396</v>
      </c>
      <c r="B397" t="str" cm="1">
        <f t="array" ref="B397">INDEX(_xlfn.TEXTSPLIT(A397, " "), 1)</f>
        <v>440</v>
      </c>
      <c r="C397" t="str" cm="1">
        <f t="array" ref="C397">INDEX(_xlfn.TEXTSPLIT(B397, "-"), 1)</f>
        <v>440</v>
      </c>
      <c r="D397" t="str" cm="1">
        <f t="array" ref="D397">IFERROR(INDEX(_xlfn.TEXTSPLIT(B397, "-"), 2), "")</f>
        <v/>
      </c>
      <c r="E397" t="str">
        <f t="shared" si="18"/>
        <v>Samos leaves the Delian League and is besieged by Athens</v>
      </c>
      <c r="F397" t="str">
        <f t="shared" si="19"/>
        <v/>
      </c>
      <c r="H397" t="b">
        <f t="shared" si="20"/>
        <v>0</v>
      </c>
      <c r="J397" s="3" t="str">
        <v>440</v>
      </c>
      <c r="K397" s="4" t="str">
        <v>Samos leaves the Delian League and is besieged by Athens</v>
      </c>
      <c r="P397" t="str">
        <v>445</v>
      </c>
      <c r="Q397" t="str">
        <v>Euboea is impressed into the Delian League</v>
      </c>
    </row>
    <row r="398" spans="1:17" x14ac:dyDescent="0.25">
      <c r="A398" t="s">
        <v>397</v>
      </c>
      <c r="B398" t="str" cm="1">
        <f t="array" ref="B398">INDEX(_xlfn.TEXTSPLIT(A398, " "), 1)</f>
        <v>440</v>
      </c>
      <c r="C398" t="str" cm="1">
        <f t="array" ref="C398">INDEX(_xlfn.TEXTSPLIT(B398, "-"), 1)</f>
        <v>440</v>
      </c>
      <c r="D398" t="str" cm="1">
        <f t="array" ref="D398">IFERROR(INDEX(_xlfn.TEXTSPLIT(B398, "-"), 2), "")</f>
        <v/>
      </c>
      <c r="E398" t="str">
        <f t="shared" si="18"/>
        <v>Palike is destroyed, ending the Sicel Federation</v>
      </c>
      <c r="F398" t="str">
        <f t="shared" si="19"/>
        <v/>
      </c>
      <c r="H398" t="b">
        <f t="shared" si="20"/>
        <v>0</v>
      </c>
      <c r="J398" s="3" t="str">
        <v>440</v>
      </c>
      <c r="K398" s="4" t="str">
        <v>Palike is destroyed, ending the Sicel Federation</v>
      </c>
      <c r="P398" t="str">
        <v>445</v>
      </c>
      <c r="Q398" t="str">
        <v>Histiaea becomes an Athenian cleurchy</v>
      </c>
    </row>
    <row r="399" spans="1:17" x14ac:dyDescent="0.25">
      <c r="A399" t="s">
        <v>398</v>
      </c>
      <c r="B399" t="str" cm="1">
        <f t="array" ref="B399">INDEX(_xlfn.TEXTSPLIT(A399, " "), 1)</f>
        <v>440</v>
      </c>
      <c r="C399" t="str" cm="1">
        <f t="array" ref="C399">INDEX(_xlfn.TEXTSPLIT(B399, "-"), 1)</f>
        <v>440</v>
      </c>
      <c r="D399" t="str" cm="1">
        <f t="array" ref="D399">IFERROR(INDEX(_xlfn.TEXTSPLIT(B399, "-"), 2), "")</f>
        <v/>
      </c>
      <c r="E399" t="str">
        <f t="shared" si="18"/>
        <v>Ducetius dies</v>
      </c>
      <c r="F399" t="str">
        <f t="shared" si="19"/>
        <v/>
      </c>
      <c r="H399" t="b">
        <f t="shared" si="20"/>
        <v>0</v>
      </c>
      <c r="J399" s="3" t="str">
        <v>440</v>
      </c>
      <c r="K399" s="4" t="str">
        <v>Ducetius dies</v>
      </c>
      <c r="P399" t="str">
        <v>445</v>
      </c>
      <c r="Q399" t="str">
        <v>First Peloponnesian War Ends</v>
      </c>
    </row>
    <row r="400" spans="1:17" x14ac:dyDescent="0.25">
      <c r="A400" t="s">
        <v>399</v>
      </c>
      <c r="B400" t="str" cm="1">
        <f t="array" ref="B400">INDEX(_xlfn.TEXTSPLIT(A400, " "), 1)</f>
        <v>439</v>
      </c>
      <c r="C400" t="str" cm="1">
        <f t="array" ref="C400">INDEX(_xlfn.TEXTSPLIT(B400, "-"), 1)</f>
        <v>439</v>
      </c>
      <c r="D400" t="str" cm="1">
        <f t="array" ref="D400">IFERROR(INDEX(_xlfn.TEXTSPLIT(B400, "-"), 2), "")</f>
        <v/>
      </c>
      <c r="E400" t="str">
        <f t="shared" si="18"/>
        <v>Samos is impressed into the Delian League</v>
      </c>
      <c r="F400" t="str">
        <f t="shared" si="19"/>
        <v/>
      </c>
      <c r="H400" t="b">
        <f t="shared" si="20"/>
        <v>0</v>
      </c>
      <c r="J400" s="3" t="str">
        <v>439</v>
      </c>
      <c r="K400" s="4" t="str">
        <v>Samos is impressed into the Delian League</v>
      </c>
      <c r="P400" t="str">
        <v>445</v>
      </c>
      <c r="Q400" t="str">
        <v>Troezen is impressed into the Peloponnesian League</v>
      </c>
    </row>
    <row r="401" spans="1:17" x14ac:dyDescent="0.25">
      <c r="A401" t="s">
        <v>400</v>
      </c>
      <c r="B401" t="str" cm="1">
        <f t="array" ref="B401">INDEX(_xlfn.TEXTSPLIT(A401, " "), 1)</f>
        <v>438</v>
      </c>
      <c r="C401" t="str" cm="1">
        <f t="array" ref="C401">INDEX(_xlfn.TEXTSPLIT(B401, "-"), 1)</f>
        <v>438</v>
      </c>
      <c r="D401" t="str" cm="1">
        <f t="array" ref="D401">IFERROR(INDEX(_xlfn.TEXTSPLIT(B401, "-"), 2), "")</f>
        <v/>
      </c>
      <c r="E401" t="str">
        <f t="shared" si="18"/>
        <v>Founding of the Bosporan Kingdom[10]</v>
      </c>
      <c r="F401" t="str">
        <f t="shared" si="19"/>
        <v/>
      </c>
      <c r="H401" t="b">
        <f t="shared" si="20"/>
        <v>0</v>
      </c>
      <c r="J401" s="3" t="str">
        <v>438</v>
      </c>
      <c r="K401" s="4" t="str">
        <v>Founding of the Bosporan Kingdom[10]</v>
      </c>
      <c r="P401" t="str">
        <v>445</v>
      </c>
      <c r="Q401" t="str">
        <v>--&gt; Euboean Revolt</v>
      </c>
    </row>
    <row r="402" spans="1:17" x14ac:dyDescent="0.25">
      <c r="A402" t="s">
        <v>401</v>
      </c>
      <c r="B402" t="str" cm="1">
        <f t="array" ref="B402">INDEX(_xlfn.TEXTSPLIT(A402, " "), 1)</f>
        <v>437</v>
      </c>
      <c r="C402" t="str" cm="1">
        <f t="array" ref="C402">INDEX(_xlfn.TEXTSPLIT(B402, "-"), 1)</f>
        <v>437</v>
      </c>
      <c r="D402" t="str" cm="1">
        <f t="array" ref="D402">IFERROR(INDEX(_xlfn.TEXTSPLIT(B402, "-"), 2), "")</f>
        <v/>
      </c>
      <c r="E402" t="str">
        <f t="shared" si="18"/>
        <v>Newly founded Amphipolis annexes Eion</v>
      </c>
      <c r="F402" t="str">
        <f t="shared" si="19"/>
        <v/>
      </c>
      <c r="H402" t="b">
        <f t="shared" si="20"/>
        <v>0</v>
      </c>
      <c r="J402" s="3" t="str">
        <v>437</v>
      </c>
      <c r="K402" s="4" t="str">
        <v>Newly founded Amphipolis annexes Eion</v>
      </c>
      <c r="P402" t="str">
        <v>443</v>
      </c>
      <c r="Q402" t="str">
        <v>Thurii is founded by Sybarites and Various Hellenes</v>
      </c>
    </row>
    <row r="403" spans="1:17" x14ac:dyDescent="0.25">
      <c r="A403" t="s">
        <v>402</v>
      </c>
      <c r="B403" t="str" cm="1">
        <f t="array" ref="B403">INDEX(_xlfn.TEXTSPLIT(A403, " "), 1)</f>
        <v>437</v>
      </c>
      <c r="C403" t="str" cm="1">
        <f t="array" ref="C403">INDEX(_xlfn.TEXTSPLIT(B403, "-"), 1)</f>
        <v>437</v>
      </c>
      <c r="D403" t="str" cm="1">
        <f t="array" ref="D403">IFERROR(INDEX(_xlfn.TEXTSPLIT(B403, "-"), 2), "")</f>
        <v/>
      </c>
      <c r="E403" t="str">
        <f t="shared" si="18"/>
        <v>Athens allies with Messapia</v>
      </c>
      <c r="F403" t="str">
        <f t="shared" si="19"/>
        <v/>
      </c>
      <c r="H403" t="b">
        <f t="shared" si="20"/>
        <v>0</v>
      </c>
      <c r="J403" s="3" t="str">
        <v>437</v>
      </c>
      <c r="K403" s="4" t="str">
        <v>Athens allies with Messapia</v>
      </c>
      <c r="P403" t="str">
        <v>441</v>
      </c>
      <c r="Q403" t="str">
        <v>Euripides, Greek playwright, wins Athenian prize.</v>
      </c>
    </row>
    <row r="404" spans="1:17" x14ac:dyDescent="0.25">
      <c r="A404" t="s">
        <v>403</v>
      </c>
      <c r="B404" t="str" cm="1">
        <f t="array" ref="B404">INDEX(_xlfn.TEXTSPLIT(A404, " "), 1)</f>
        <v>436</v>
      </c>
      <c r="C404" t="str" cm="1">
        <f t="array" ref="C404">INDEX(_xlfn.TEXTSPLIT(B404, "-"), 1)</f>
        <v>436</v>
      </c>
      <c r="D404" t="str" cm="1">
        <f t="array" ref="D404">IFERROR(INDEX(_xlfn.TEXTSPLIT(B404, "-"), 2), "")</f>
        <v/>
      </c>
      <c r="E404" t="str">
        <f t="shared" si="18"/>
        <v>Taulantii-Epidamos War</v>
      </c>
      <c r="F404" t="str">
        <f t="shared" si="19"/>
        <v/>
      </c>
      <c r="H404" t="b">
        <f t="shared" si="20"/>
        <v>0</v>
      </c>
      <c r="J404" s="3" t="str">
        <v>436</v>
      </c>
      <c r="K404" s="4" t="str">
        <v>Taulantii-Epidamos War</v>
      </c>
      <c r="P404" t="str">
        <v>441</v>
      </c>
      <c r="Q404" t="str">
        <v>Sybaris on the Traeis is founded by Sybarites exiled from Thurii</v>
      </c>
    </row>
    <row r="405" spans="1:17" x14ac:dyDescent="0.25">
      <c r="A405" t="s">
        <v>404</v>
      </c>
      <c r="B405" t="str" cm="1">
        <f t="array" ref="B405">INDEX(_xlfn.TEXTSPLIT(A405, " "), 1)</f>
        <v>435</v>
      </c>
      <c r="C405" t="str" cm="1">
        <f t="array" ref="C405">INDEX(_xlfn.TEXTSPLIT(B405, "-"), 1)</f>
        <v>435</v>
      </c>
      <c r="D405" t="str" cm="1">
        <f t="array" ref="D405">IFERROR(INDEX(_xlfn.TEXTSPLIT(B405, "-"), 2), "")</f>
        <v/>
      </c>
      <c r="E405" t="str">
        <f t="shared" si="18"/>
        <v>Phidias, Greek sculptor, completes statue of Zeus at Elis, 1 of 7 wonders of the world.</v>
      </c>
      <c r="F405" t="str">
        <f t="shared" si="19"/>
        <v/>
      </c>
      <c r="H405" t="b">
        <f t="shared" si="20"/>
        <v>0</v>
      </c>
      <c r="J405" s="3" t="str">
        <v>435</v>
      </c>
      <c r="K405" s="4" t="str">
        <v>Phidias, Greek sculptor, completes statue of Zeus at Elis, 1 of 7 wonders of the world.</v>
      </c>
      <c r="P405" t="str">
        <v>440</v>
      </c>
      <c r="Q405" t="str">
        <v>Samos leaves the Delian League and is besieged by Athens</v>
      </c>
    </row>
    <row r="406" spans="1:17" x14ac:dyDescent="0.25">
      <c r="A406" t="s">
        <v>405</v>
      </c>
      <c r="B406" t="str" cm="1">
        <f t="array" ref="B406">INDEX(_xlfn.TEXTSPLIT(A406, " "), 1)</f>
        <v>434</v>
      </c>
      <c r="C406" t="str" cm="1">
        <f t="array" ref="C406">INDEX(_xlfn.TEXTSPLIT(B406, "-"), 1)</f>
        <v>434</v>
      </c>
      <c r="D406" t="str" cm="1">
        <f t="array" ref="D406">IFERROR(INDEX(_xlfn.TEXTSPLIT(B406, "-"), 2), "")</f>
        <v/>
      </c>
      <c r="E406" t="str">
        <f t="shared" si="18"/>
        <v>Epidamos becomes a democracy</v>
      </c>
      <c r="F406" t="str">
        <f t="shared" si="19"/>
        <v/>
      </c>
      <c r="H406" t="b">
        <f t="shared" si="20"/>
        <v>0</v>
      </c>
      <c r="J406" s="3" t="str">
        <v>434</v>
      </c>
      <c r="K406" s="4" t="str">
        <v>Epidamos becomes a democracy</v>
      </c>
      <c r="P406" t="str">
        <v>440</v>
      </c>
      <c r="Q406" t="str">
        <v>Palike is destroyed, ending the Sicel Federation</v>
      </c>
    </row>
    <row r="407" spans="1:17" x14ac:dyDescent="0.25">
      <c r="A407" t="s">
        <v>406</v>
      </c>
      <c r="B407" t="str" cm="1">
        <f t="array" ref="B407">INDEX(_xlfn.TEXTSPLIT(A407, " "), 1)</f>
        <v>434</v>
      </c>
      <c r="C407" t="str" cm="1">
        <f t="array" ref="C407">INDEX(_xlfn.TEXTSPLIT(B407, "-"), 1)</f>
        <v>434</v>
      </c>
      <c r="D407" t="str" cm="1">
        <f t="array" ref="D407">IFERROR(INDEX(_xlfn.TEXTSPLIT(B407, "-"), 2), "")</f>
        <v/>
      </c>
      <c r="E407" t="str">
        <f t="shared" si="18"/>
        <v>Epidamos is annexed by Korinth</v>
      </c>
      <c r="F407" t="str">
        <f t="shared" si="19"/>
        <v/>
      </c>
      <c r="H407" t="b">
        <f t="shared" si="20"/>
        <v>0</v>
      </c>
      <c r="J407" s="3" t="str">
        <v>434</v>
      </c>
      <c r="K407" s="4" t="str">
        <v>Epidamos is annexed by Korinth</v>
      </c>
      <c r="P407" t="str">
        <v>440</v>
      </c>
      <c r="Q407" t="str">
        <v>Ducetius dies</v>
      </c>
    </row>
    <row r="408" spans="1:17" x14ac:dyDescent="0.25">
      <c r="A408" t="s">
        <v>407</v>
      </c>
      <c r="B408" t="str" cm="1">
        <f t="array" ref="B408">INDEX(_xlfn.TEXTSPLIT(A408, " "), 1)</f>
        <v>434</v>
      </c>
      <c r="C408" t="str" cm="1">
        <f t="array" ref="C408">INDEX(_xlfn.TEXTSPLIT(B408, "-"), 1)</f>
        <v>434</v>
      </c>
      <c r="D408" t="str" cm="1">
        <f t="array" ref="D408">IFERROR(INDEX(_xlfn.TEXTSPLIT(B408, "-"), 2), "")</f>
        <v/>
      </c>
      <c r="E408" t="str">
        <f t="shared" si="18"/>
        <v>Kerkyra allies with Taulantii and besiege Epidamos</v>
      </c>
      <c r="F408" t="str">
        <f t="shared" si="19"/>
        <v/>
      </c>
      <c r="H408" t="b">
        <f t="shared" si="20"/>
        <v>0</v>
      </c>
      <c r="J408" s="3" t="str">
        <v>434</v>
      </c>
      <c r="K408" s="4" t="str">
        <v>Kerkyra allies with Taulantii and besiege Epidamos</v>
      </c>
      <c r="P408" t="str">
        <v>439</v>
      </c>
      <c r="Q408" t="str">
        <v>Samos is impressed into the Delian League</v>
      </c>
    </row>
    <row r="409" spans="1:17" x14ac:dyDescent="0.25">
      <c r="A409" t="s">
        <v>408</v>
      </c>
      <c r="B409" t="str" cm="1">
        <f t="array" ref="B409">INDEX(_xlfn.TEXTSPLIT(A409, " "), 1)</f>
        <v>434</v>
      </c>
      <c r="C409" t="str" cm="1">
        <f t="array" ref="C409">INDEX(_xlfn.TEXTSPLIT(B409, "-"), 1)</f>
        <v>434</v>
      </c>
      <c r="D409" t="str" cm="1">
        <f t="array" ref="D409">IFERROR(INDEX(_xlfn.TEXTSPLIT(B409, "-"), 2), "")</f>
        <v/>
      </c>
      <c r="E409" t="str">
        <f t="shared" si="18"/>
        <v>Kerkyra seizes Outer Epidamos (City)</v>
      </c>
      <c r="F409" t="str">
        <f t="shared" si="19"/>
        <v/>
      </c>
      <c r="H409" t="b">
        <f t="shared" si="20"/>
        <v>0</v>
      </c>
      <c r="J409" s="3" t="str">
        <v>434</v>
      </c>
      <c r="K409" s="4" t="str">
        <v>Kerkyra seizes Outer Epidamos (City)</v>
      </c>
      <c r="P409" t="str">
        <v>438</v>
      </c>
      <c r="Q409" t="str">
        <v>Founding of the Bosporan Kingdom[10]</v>
      </c>
    </row>
    <row r="410" spans="1:17" x14ac:dyDescent="0.25">
      <c r="A410" t="s">
        <v>409</v>
      </c>
      <c r="B410" t="str" cm="1">
        <f t="array" ref="B410">INDEX(_xlfn.TEXTSPLIT(A410, " "), 1)</f>
        <v>434</v>
      </c>
      <c r="C410" t="str" cm="1">
        <f t="array" ref="C410">INDEX(_xlfn.TEXTSPLIT(B410, "-"), 1)</f>
        <v>434</v>
      </c>
      <c r="D410" t="str" cm="1">
        <f t="array" ref="D410">IFERROR(INDEX(_xlfn.TEXTSPLIT(B410, "-"), 2), "")</f>
        <v/>
      </c>
      <c r="E410" t="str">
        <f t="shared" si="18"/>
        <v>Battle of Leukimme</v>
      </c>
      <c r="F410" t="str">
        <f t="shared" si="19"/>
        <v/>
      </c>
      <c r="H410" t="b">
        <f t="shared" si="20"/>
        <v>0</v>
      </c>
      <c r="J410" s="3" t="str">
        <v>434</v>
      </c>
      <c r="K410" s="4" t="str">
        <v>Battle of Leukimme</v>
      </c>
      <c r="P410" t="str">
        <v>437</v>
      </c>
      <c r="Q410" t="str">
        <v>Newly founded Amphipolis annexes Eion</v>
      </c>
    </row>
    <row r="411" spans="1:17" x14ac:dyDescent="0.25">
      <c r="A411" t="s">
        <v>410</v>
      </c>
      <c r="B411" t="str" cm="1">
        <f t="array" ref="B411">INDEX(_xlfn.TEXTSPLIT(A411, " "), 1)</f>
        <v>434</v>
      </c>
      <c r="C411" t="str" cm="1">
        <f t="array" ref="C411">INDEX(_xlfn.TEXTSPLIT(B411, "-"), 1)</f>
        <v>434</v>
      </c>
      <c r="D411" t="str" cm="1">
        <f t="array" ref="D411">IFERROR(INDEX(_xlfn.TEXTSPLIT(B411, "-"), 2), "")</f>
        <v/>
      </c>
      <c r="E411" t="str">
        <f t="shared" si="18"/>
        <v>Kerkyra raids Kyllene</v>
      </c>
      <c r="F411" t="str">
        <f t="shared" si="19"/>
        <v/>
      </c>
      <c r="H411" t="b">
        <f t="shared" si="20"/>
        <v>0</v>
      </c>
      <c r="J411" s="3" t="str">
        <v>434</v>
      </c>
      <c r="K411" s="4" t="str">
        <v>Kerkyra raids Kyllene</v>
      </c>
      <c r="P411" t="str">
        <v>437</v>
      </c>
      <c r="Q411" t="str">
        <v>Athens allies with Messapia</v>
      </c>
    </row>
    <row r="412" spans="1:17" x14ac:dyDescent="0.25">
      <c r="A412" t="s">
        <v>411</v>
      </c>
      <c r="B412" t="str" cm="1">
        <f t="array" ref="B412">INDEX(_xlfn.TEXTSPLIT(A412, " "), 1)</f>
        <v>434</v>
      </c>
      <c r="C412" t="str" cm="1">
        <f t="array" ref="C412">INDEX(_xlfn.TEXTSPLIT(B412, "-"), 1)</f>
        <v>434</v>
      </c>
      <c r="D412" t="str" cm="1">
        <f t="array" ref="D412">IFERROR(INDEX(_xlfn.TEXTSPLIT(B412, "-"), 2), "")</f>
        <v/>
      </c>
      <c r="E412" t="str">
        <f t="shared" si="18"/>
        <v>Kerkyra joins Delian League</v>
      </c>
      <c r="F412" t="str">
        <f t="shared" si="19"/>
        <v/>
      </c>
      <c r="H412" t="b">
        <f t="shared" si="20"/>
        <v>0</v>
      </c>
      <c r="J412" s="3" t="str">
        <v>434</v>
      </c>
      <c r="K412" s="4" t="str">
        <v>Kerkyra joins Delian League</v>
      </c>
      <c r="P412" t="str">
        <v>436</v>
      </c>
      <c r="Q412" t="str">
        <v>Taulantii-Epidamos War</v>
      </c>
    </row>
    <row r="413" spans="1:17" x14ac:dyDescent="0.25">
      <c r="A413" t="s">
        <v>412</v>
      </c>
      <c r="B413" t="str" cm="1">
        <f t="array" ref="B413">INDEX(_xlfn.TEXTSPLIT(A413, " "), 1)</f>
        <v>433</v>
      </c>
      <c r="C413" t="str" cm="1">
        <f t="array" ref="C413">INDEX(_xlfn.TEXTSPLIT(B413, "-"), 1)</f>
        <v>433</v>
      </c>
      <c r="D413" t="str" cm="1">
        <f t="array" ref="D413">IFERROR(INDEX(_xlfn.TEXTSPLIT(B413, "-"), 2), "")</f>
        <v/>
      </c>
      <c r="E413" t="str">
        <f t="shared" si="18"/>
        <v>Battle of Sybota</v>
      </c>
      <c r="F413" t="str">
        <f t="shared" si="19"/>
        <v/>
      </c>
      <c r="H413" t="b">
        <f t="shared" si="20"/>
        <v>0</v>
      </c>
      <c r="J413" s="3" t="str">
        <v>433</v>
      </c>
      <c r="K413" s="4" t="str">
        <v>Battle of Sybota</v>
      </c>
      <c r="P413" t="str">
        <v>435</v>
      </c>
      <c r="Q413" t="str">
        <v>Phidias, Greek sculptor, completes statue of Zeus at Elis, 1 of 7 wonders of the world.</v>
      </c>
    </row>
    <row r="414" spans="1:17" x14ac:dyDescent="0.25">
      <c r="A414" t="s">
        <v>413</v>
      </c>
      <c r="B414" t="str" cm="1">
        <f t="array" ref="B414">INDEX(_xlfn.TEXTSPLIT(A414, " "), 1)</f>
        <v>433</v>
      </c>
      <c r="C414" t="str" cm="1">
        <f t="array" ref="C414">INDEX(_xlfn.TEXTSPLIT(B414, "-"), 1)</f>
        <v>433</v>
      </c>
      <c r="D414" t="str" cm="1">
        <f t="array" ref="D414">IFERROR(INDEX(_xlfn.TEXTSPLIT(B414, "-"), 2), "")</f>
        <v/>
      </c>
      <c r="E414" t="str">
        <f t="shared" si="18"/>
        <v>Anactorium is annexed by Korinth</v>
      </c>
      <c r="F414" t="str">
        <f t="shared" si="19"/>
        <v/>
      </c>
      <c r="H414" t="b">
        <f t="shared" si="20"/>
        <v>0</v>
      </c>
      <c r="J414" s="3" t="str">
        <v>433</v>
      </c>
      <c r="K414" s="4" t="str">
        <v>Anactorium is annexed by Korinth</v>
      </c>
      <c r="P414" t="str">
        <v>434</v>
      </c>
      <c r="Q414" t="str">
        <v>Epidamos becomes a democracy</v>
      </c>
    </row>
    <row r="415" spans="1:17" x14ac:dyDescent="0.25">
      <c r="A415" t="s">
        <v>414</v>
      </c>
      <c r="B415" t="str" cm="1">
        <f t="array" ref="B415">INDEX(_xlfn.TEXTSPLIT(A415, " "), 1)</f>
        <v>432</v>
      </c>
      <c r="C415" t="str" cm="1">
        <f t="array" ref="C415">INDEX(_xlfn.TEXTSPLIT(B415, "-"), 1)</f>
        <v>432</v>
      </c>
      <c r="D415" t="str" cm="1">
        <f t="array" ref="D415">IFERROR(INDEX(_xlfn.TEXTSPLIT(B415, "-"), 2), "")</f>
        <v/>
      </c>
      <c r="E415" t="str">
        <f t="shared" si="18"/>
        <v>Psaumis dies</v>
      </c>
      <c r="F415" t="str">
        <f t="shared" si="19"/>
        <v/>
      </c>
      <c r="H415" t="b">
        <f t="shared" si="20"/>
        <v>0</v>
      </c>
      <c r="J415" s="3" t="str">
        <v>432</v>
      </c>
      <c r="K415" s="4" t="str">
        <v>Psaumis dies</v>
      </c>
      <c r="P415" t="str">
        <v>434</v>
      </c>
      <c r="Q415" t="str">
        <v>Epidamos is annexed by Korinth</v>
      </c>
    </row>
    <row r="416" spans="1:17" x14ac:dyDescent="0.25">
      <c r="A416" t="s">
        <v>415</v>
      </c>
      <c r="B416" t="str" cm="1">
        <f t="array" ref="B416">INDEX(_xlfn.TEXTSPLIT(A416, " "), 1)</f>
        <v>432</v>
      </c>
      <c r="C416" t="str" cm="1">
        <f t="array" ref="C416">INDEX(_xlfn.TEXTSPLIT(B416, "-"), 1)</f>
        <v>432</v>
      </c>
      <c r="D416" t="str" cm="1">
        <f t="array" ref="D416">IFERROR(INDEX(_xlfn.TEXTSPLIT(B416, "-"), 2), "")</f>
        <v/>
      </c>
      <c r="E416" t="str">
        <f t="shared" si="18"/>
        <v>Potidaea leaves the Delian League and is sieged by Athens</v>
      </c>
      <c r="F416" t="str">
        <f t="shared" si="19"/>
        <v/>
      </c>
      <c r="H416" t="b">
        <f t="shared" si="20"/>
        <v>0</v>
      </c>
      <c r="J416" s="3" t="str">
        <v>432</v>
      </c>
      <c r="K416" s="4" t="str">
        <v>Potidaea leaves the Delian League and is sieged by Athens</v>
      </c>
      <c r="P416" t="str">
        <v>434</v>
      </c>
      <c r="Q416" t="str">
        <v>Kerkyra allies with Taulantii and besiege Epidamos</v>
      </c>
    </row>
    <row r="417" spans="1:17" x14ac:dyDescent="0.25">
      <c r="A417" t="s">
        <v>416</v>
      </c>
      <c r="B417" t="str" cm="1">
        <f t="array" ref="B417">INDEX(_xlfn.TEXTSPLIT(A417, " "), 1)</f>
        <v>432</v>
      </c>
      <c r="C417" t="str" cm="1">
        <f t="array" ref="C417">INDEX(_xlfn.TEXTSPLIT(B417, "-"), 1)</f>
        <v>432</v>
      </c>
      <c r="D417" t="str" cm="1">
        <f t="array" ref="D417">IFERROR(INDEX(_xlfn.TEXTSPLIT(B417, "-"), 2), "")</f>
        <v/>
      </c>
      <c r="E417" t="str">
        <f t="shared" si="18"/>
        <v>Pydna is besieged by Athens</v>
      </c>
      <c r="F417" t="str">
        <f t="shared" si="19"/>
        <v/>
      </c>
      <c r="H417" t="b">
        <f t="shared" si="20"/>
        <v>0</v>
      </c>
      <c r="J417" s="3" t="str">
        <v>432</v>
      </c>
      <c r="K417" s="4" t="str">
        <v>Pydna is besieged by Athens</v>
      </c>
      <c r="P417" t="str">
        <v>434</v>
      </c>
      <c r="Q417" t="str">
        <v>Kerkyra seizes Outer Epidamos (City)</v>
      </c>
    </row>
    <row r="418" spans="1:17" x14ac:dyDescent="0.25">
      <c r="A418" t="s">
        <v>417</v>
      </c>
      <c r="B418" t="str" cm="1">
        <f t="array" ref="B418">INDEX(_xlfn.TEXTSPLIT(A418, " "), 1)</f>
        <v>432</v>
      </c>
      <c r="C418" t="str" cm="1">
        <f t="array" ref="C418">INDEX(_xlfn.TEXTSPLIT(B418, "-"), 1)</f>
        <v>432</v>
      </c>
      <c r="D418" t="str" cm="1">
        <f t="array" ref="D418">IFERROR(INDEX(_xlfn.TEXTSPLIT(B418, "-"), 2), "")</f>
        <v/>
      </c>
      <c r="E418" t="str">
        <f t="shared" si="18"/>
        <v>End of "Golden Age" of Athens</v>
      </c>
      <c r="F418" t="str">
        <f t="shared" si="19"/>
        <v/>
      </c>
      <c r="H418" t="b">
        <f t="shared" si="20"/>
        <v>0</v>
      </c>
      <c r="J418" s="3" t="str">
        <v>432</v>
      </c>
      <c r="K418" s="4" t="str">
        <v>End of "Golden Age" of Athens</v>
      </c>
      <c r="P418" t="str">
        <v>434</v>
      </c>
      <c r="Q418" t="str">
        <v>Battle of Leukimme</v>
      </c>
    </row>
    <row r="419" spans="1:17" x14ac:dyDescent="0.25">
      <c r="A419" t="s">
        <v>418</v>
      </c>
      <c r="B419" t="str" cm="1">
        <f t="array" ref="B419">INDEX(_xlfn.TEXTSPLIT(A419, " "), 1)</f>
        <v>431</v>
      </c>
      <c r="C419" t="str" cm="1">
        <f t="array" ref="C419">INDEX(_xlfn.TEXTSPLIT(B419, "-"), 1)</f>
        <v>431</v>
      </c>
      <c r="D419" t="str" cm="1">
        <f t="array" ref="D419">IFERROR(INDEX(_xlfn.TEXTSPLIT(B419, "-"), 2), "")</f>
        <v/>
      </c>
      <c r="E419" t="str">
        <f t="shared" si="18"/>
        <v>Sparta commanded by King Archidamus II prepares to destroy Athens thus starting the Peloponnesian War.</v>
      </c>
      <c r="F419" t="str">
        <f t="shared" si="19"/>
        <v/>
      </c>
      <c r="H419" t="b">
        <f t="shared" si="20"/>
        <v>0</v>
      </c>
      <c r="J419" s="3" t="str">
        <v>431</v>
      </c>
      <c r="K419" s="4" t="str">
        <v>Sparta commanded by King Archidamus II prepares to destroy Athens thus starting the Peloponnesian War.</v>
      </c>
      <c r="P419" t="str">
        <v>434</v>
      </c>
      <c r="Q419" t="str">
        <v>Kerkyra raids Kyllene</v>
      </c>
    </row>
    <row r="420" spans="1:17" x14ac:dyDescent="0.25">
      <c r="A420" t="s">
        <v>419</v>
      </c>
      <c r="B420" t="str" cm="1">
        <f t="array" ref="B420">INDEX(_xlfn.TEXTSPLIT(A420, " "), 1)</f>
        <v>431</v>
      </c>
      <c r="C420" t="str" cm="1">
        <f t="array" ref="C420">INDEX(_xlfn.TEXTSPLIT(B420, "-"), 1)</f>
        <v>431</v>
      </c>
      <c r="D420" t="str" cm="1">
        <f t="array" ref="D420">IFERROR(INDEX(_xlfn.TEXTSPLIT(B420, "-"), 2), "")</f>
        <v/>
      </c>
      <c r="E420" t="str">
        <f t="shared" si="18"/>
        <v>Plataea is besieged by Thebes</v>
      </c>
      <c r="F420" t="str">
        <f t="shared" si="19"/>
        <v/>
      </c>
      <c r="H420" t="b">
        <f t="shared" si="20"/>
        <v>0</v>
      </c>
      <c r="J420" s="3" t="str">
        <v>431</v>
      </c>
      <c r="K420" s="4" t="str">
        <v>Plataea is besieged by Thebes</v>
      </c>
      <c r="P420" t="str">
        <v>434</v>
      </c>
      <c r="Q420" t="str">
        <v>Kerkyra joins Delian League</v>
      </c>
    </row>
    <row r="421" spans="1:17" x14ac:dyDescent="0.25">
      <c r="A421" t="s">
        <v>420</v>
      </c>
      <c r="B421" t="str" cm="1">
        <f t="array" ref="B421">INDEX(_xlfn.TEXTSPLIT(A421, " "), 1)</f>
        <v>431</v>
      </c>
      <c r="C421" t="str" cm="1">
        <f t="array" ref="C421">INDEX(_xlfn.TEXTSPLIT(B421, "-"), 1)</f>
        <v>431</v>
      </c>
      <c r="D421" t="str" cm="1">
        <f t="array" ref="D421">IFERROR(INDEX(_xlfn.TEXTSPLIT(B421, "-"), 2), "")</f>
        <v/>
      </c>
      <c r="E421" t="str">
        <f t="shared" si="18"/>
        <v>Pagae and Atalanta is occupied by Athens</v>
      </c>
      <c r="F421" t="str">
        <f t="shared" si="19"/>
        <v/>
      </c>
      <c r="H421" t="b">
        <f t="shared" si="20"/>
        <v>0</v>
      </c>
      <c r="J421" s="3" t="str">
        <v>431</v>
      </c>
      <c r="K421" s="4" t="str">
        <v>Pagae and Atalanta is occupied by Athens</v>
      </c>
      <c r="P421" t="str">
        <v>433</v>
      </c>
      <c r="Q421" t="str">
        <v>Battle of Sybota</v>
      </c>
    </row>
    <row r="422" spans="1:17" x14ac:dyDescent="0.25">
      <c r="A422" t="s">
        <v>421</v>
      </c>
      <c r="B422" t="str" cm="1">
        <f t="array" ref="B422">INDEX(_xlfn.TEXTSPLIT(A422, " "), 1)</f>
        <v>431</v>
      </c>
      <c r="C422" t="str" cm="1">
        <f t="array" ref="C422">INDEX(_xlfn.TEXTSPLIT(B422, "-"), 1)</f>
        <v>431</v>
      </c>
      <c r="D422" t="str" cm="1">
        <f t="array" ref="D422">IFERROR(INDEX(_xlfn.TEXTSPLIT(B422, "-"), 2), "")</f>
        <v/>
      </c>
      <c r="E422" t="str">
        <f t="shared" si="18"/>
        <v>Aegina is annexed by Athens</v>
      </c>
      <c r="F422" t="str">
        <f t="shared" si="19"/>
        <v/>
      </c>
      <c r="H422" t="b">
        <f t="shared" si="20"/>
        <v>0</v>
      </c>
      <c r="J422" s="3" t="str">
        <v>431</v>
      </c>
      <c r="K422" s="4" t="str">
        <v>Aegina is annexed by Athens</v>
      </c>
      <c r="P422" t="str">
        <v>433</v>
      </c>
      <c r="Q422" t="str">
        <v>Anactorium is annexed by Korinth</v>
      </c>
    </row>
    <row r="423" spans="1:17" x14ac:dyDescent="0.25">
      <c r="A423" t="s">
        <v>422</v>
      </c>
      <c r="B423" t="str" cm="1">
        <f t="array" ref="B423">INDEX(_xlfn.TEXTSPLIT(A423, " "), 1)</f>
        <v>431</v>
      </c>
      <c r="C423" t="str" cm="1">
        <f t="array" ref="C423">INDEX(_xlfn.TEXTSPLIT(B423, "-"), 1)</f>
        <v>431</v>
      </c>
      <c r="D423" t="str" cm="1">
        <f t="array" ref="D423">IFERROR(INDEX(_xlfn.TEXTSPLIT(B423, "-"), 2), "")</f>
        <v/>
      </c>
      <c r="E423" t="str">
        <f t="shared" si="18"/>
        <v>Empedocles, Greek doctor, believes body has Four Temperaments.</v>
      </c>
      <c r="F423" t="str">
        <f t="shared" si="19"/>
        <v/>
      </c>
      <c r="H423" t="b">
        <f t="shared" si="20"/>
        <v>0</v>
      </c>
      <c r="J423" s="3" t="str">
        <v>431</v>
      </c>
      <c r="K423" s="4" t="str">
        <v>Empedocles, Greek doctor, believes body has Four Temperaments.</v>
      </c>
      <c r="P423" t="str">
        <v>432</v>
      </c>
      <c r="Q423" t="str">
        <v>Psaumis dies</v>
      </c>
    </row>
    <row r="424" spans="1:17" x14ac:dyDescent="0.25">
      <c r="A424" t="s">
        <v>423</v>
      </c>
      <c r="B424" t="str" cm="1">
        <f t="array" ref="B424">INDEX(_xlfn.TEXTSPLIT(A424, " "), 1)</f>
        <v>430</v>
      </c>
      <c r="C424" t="str" cm="1">
        <f t="array" ref="C424">INDEX(_xlfn.TEXTSPLIT(B424, "-"), 1)</f>
        <v>430</v>
      </c>
      <c r="D424" t="str" cm="1">
        <f t="array" ref="D424">IFERROR(INDEX(_xlfn.TEXTSPLIT(B424, "-"), 2), "")</f>
        <v/>
      </c>
      <c r="E424" t="str">
        <f t="shared" si="18"/>
        <v>Athens abandons the Siege of Pydna</v>
      </c>
      <c r="F424" t="str">
        <f t="shared" si="19"/>
        <v/>
      </c>
      <c r="H424" t="b">
        <f t="shared" si="20"/>
        <v>0</v>
      </c>
      <c r="J424" s="3" t="str">
        <v>430</v>
      </c>
      <c r="K424" s="4" t="str">
        <v>Athens abandons the Siege of Pydna</v>
      </c>
      <c r="P424" t="str">
        <v>432</v>
      </c>
      <c r="Q424" t="str">
        <v>Potidaea leaves the Delian League and is sieged by Athens</v>
      </c>
    </row>
    <row r="425" spans="1:17" x14ac:dyDescent="0.25">
      <c r="A425" t="s">
        <v>424</v>
      </c>
      <c r="B425" t="str" cm="1">
        <f t="array" ref="B425">INDEX(_xlfn.TEXTSPLIT(A425, " "), 1)</f>
        <v>430</v>
      </c>
      <c r="C425" t="str" cm="1">
        <f t="array" ref="C425">INDEX(_xlfn.TEXTSPLIT(B425, "-"), 1)</f>
        <v>430</v>
      </c>
      <c r="D425" t="str" cm="1">
        <f t="array" ref="D425">IFERROR(INDEX(_xlfn.TEXTSPLIT(B425, "-"), 2), "")</f>
        <v/>
      </c>
      <c r="E425" t="str">
        <f t="shared" si="18"/>
        <v>Herakleion is impressed into the Delian League</v>
      </c>
      <c r="F425" t="str">
        <f t="shared" si="19"/>
        <v/>
      </c>
      <c r="H425" t="b">
        <f t="shared" si="20"/>
        <v>0</v>
      </c>
      <c r="J425" s="3" t="str">
        <v>430</v>
      </c>
      <c r="K425" s="4" t="str">
        <v>Herakleion is impressed into the Delian League</v>
      </c>
      <c r="P425" t="str">
        <v>432</v>
      </c>
      <c r="Q425" t="str">
        <v>Pydna is besieged by Athens</v>
      </c>
    </row>
    <row r="426" spans="1:17" x14ac:dyDescent="0.25">
      <c r="A426" t="s">
        <v>425</v>
      </c>
      <c r="B426" t="str" cm="1">
        <f t="array" ref="B426">INDEX(_xlfn.TEXTSPLIT(A426, " "), 1)</f>
        <v>430</v>
      </c>
      <c r="C426" t="str" cm="1">
        <f t="array" ref="C426">INDEX(_xlfn.TEXTSPLIT(B426, "-"), 1)</f>
        <v>430</v>
      </c>
      <c r="D426" t="str" cm="1">
        <f t="array" ref="D426">IFERROR(INDEX(_xlfn.TEXTSPLIT(B426, "-"), 2), "")</f>
        <v/>
      </c>
      <c r="E426" t="str">
        <f t="shared" si="18"/>
        <v>Spartan Siege of Zakynthos (Local Victory)</v>
      </c>
      <c r="F426" t="str">
        <f t="shared" si="19"/>
        <v/>
      </c>
      <c r="H426" t="b">
        <f t="shared" si="20"/>
        <v>0</v>
      </c>
      <c r="J426" s="3" t="str">
        <v>430</v>
      </c>
      <c r="K426" s="4" t="str">
        <v>Spartan Siege of Zakynthos (Local Victory)</v>
      </c>
      <c r="P426" t="str">
        <v>432</v>
      </c>
      <c r="Q426" t="str">
        <v>End of "Golden Age" of Athens</v>
      </c>
    </row>
    <row r="427" spans="1:17" x14ac:dyDescent="0.25">
      <c r="A427" t="s">
        <v>426</v>
      </c>
      <c r="B427" t="str" cm="1">
        <f t="array" ref="B427">INDEX(_xlfn.TEXTSPLIT(A427, " "), 1)</f>
        <v>430</v>
      </c>
      <c r="C427" t="str" cm="1">
        <f t="array" ref="C427">INDEX(_xlfn.TEXTSPLIT(B427, "-"), 1)</f>
        <v>430</v>
      </c>
      <c r="D427" t="str" cm="1">
        <f t="array" ref="D427">IFERROR(INDEX(_xlfn.TEXTSPLIT(B427, "-"), 2), "")</f>
        <v/>
      </c>
      <c r="E427" t="str">
        <f t="shared" si="18"/>
        <v>Failed peace mission by Athens, bubonic plague year, Sparta takes no prisoners.</v>
      </c>
      <c r="F427" t="str">
        <f t="shared" si="19"/>
        <v/>
      </c>
      <c r="H427" t="b">
        <f t="shared" si="20"/>
        <v>0</v>
      </c>
      <c r="J427" s="3" t="str">
        <v>430</v>
      </c>
      <c r="K427" s="4" t="str">
        <v>Failed peace mission by Athens, bubonic plague year, Sparta takes no prisoners.</v>
      </c>
      <c r="P427" t="str">
        <v>431</v>
      </c>
      <c r="Q427" t="str">
        <v>Sparta commanded by King Archidamus II prepares to destroy Athens thus starting the Peloponnesian War.</v>
      </c>
    </row>
    <row r="428" spans="1:17" x14ac:dyDescent="0.25">
      <c r="A428" t="s">
        <v>427</v>
      </c>
      <c r="B428" t="str" cm="1">
        <f t="array" ref="B428">INDEX(_xlfn.TEXTSPLIT(A428, " "), 1)</f>
        <v>430</v>
      </c>
      <c r="C428" t="str" cm="1">
        <f t="array" ref="C428">INDEX(_xlfn.TEXTSPLIT(B428, "-"), 1)</f>
        <v>430</v>
      </c>
      <c r="D428" t="str" cm="1">
        <f t="array" ref="D428">IFERROR(INDEX(_xlfn.TEXTSPLIT(B428, "-"), 2), "")</f>
        <v/>
      </c>
      <c r="E428" t="str">
        <f t="shared" si="18"/>
        <v>Leucippus, Greek philosopher, believes every natural event has natural cause. Athenian Plague begins in Athens.</v>
      </c>
      <c r="F428" t="str">
        <f t="shared" si="19"/>
        <v/>
      </c>
      <c r="H428" t="b">
        <f t="shared" si="20"/>
        <v>0</v>
      </c>
      <c r="J428" s="3" t="str">
        <v>430</v>
      </c>
      <c r="K428" s="4" t="str">
        <v>Leucippus, Greek philosopher, believes every natural event has natural cause. Athenian Plague begins in Athens.</v>
      </c>
      <c r="P428" t="str">
        <v>431</v>
      </c>
      <c r="Q428" t="str">
        <v>Plataea is besieged by Thebes</v>
      </c>
    </row>
    <row r="429" spans="1:17" x14ac:dyDescent="0.25">
      <c r="A429" t="s">
        <v>428</v>
      </c>
      <c r="B429" t="str" cm="1">
        <f t="array" ref="B429">INDEX(_xlfn.TEXTSPLIT(A429, " "), 1)</f>
        <v>429</v>
      </c>
      <c r="C429" t="str" cm="1">
        <f t="array" ref="C429">INDEX(_xlfn.TEXTSPLIT(B429, "-"), 1)</f>
        <v>429</v>
      </c>
      <c r="D429" t="str" cm="1">
        <f t="array" ref="D429">IFERROR(INDEX(_xlfn.TEXTSPLIT(B429, "-"), 2), "")</f>
        <v/>
      </c>
      <c r="E429" t="str">
        <f t="shared" si="18"/>
        <v>Herakleion is annexed by Macedonia</v>
      </c>
      <c r="F429" t="str">
        <f t="shared" si="19"/>
        <v/>
      </c>
      <c r="H429" t="b">
        <f t="shared" si="20"/>
        <v>0</v>
      </c>
      <c r="J429" s="3" t="str">
        <v>429</v>
      </c>
      <c r="K429" s="4" t="str">
        <v>Herakleion is annexed by Macedonia</v>
      </c>
      <c r="P429" t="str">
        <v>431</v>
      </c>
      <c r="Q429" t="str">
        <v>Pagae and Atalanta is occupied by Athens</v>
      </c>
    </row>
    <row r="430" spans="1:17" x14ac:dyDescent="0.25">
      <c r="A430" t="s">
        <v>429</v>
      </c>
      <c r="B430" t="str" cm="1">
        <f t="array" ref="B430">INDEX(_xlfn.TEXTSPLIT(A430, " "), 1)</f>
        <v>429</v>
      </c>
      <c r="C430" t="str" cm="1">
        <f t="array" ref="C430">INDEX(_xlfn.TEXTSPLIT(B430, "-"), 1)</f>
        <v>429</v>
      </c>
      <c r="D430" t="str" cm="1">
        <f t="array" ref="D430">IFERROR(INDEX(_xlfn.TEXTSPLIT(B430, "-"), 2), "")</f>
        <v/>
      </c>
      <c r="E430" t="str">
        <f t="shared" si="18"/>
        <v>Potidaea is impressed into the Delian League</v>
      </c>
      <c r="F430" t="str">
        <f t="shared" si="19"/>
        <v/>
      </c>
      <c r="H430" t="b">
        <f t="shared" si="20"/>
        <v>0</v>
      </c>
      <c r="J430" s="3" t="str">
        <v>429</v>
      </c>
      <c r="K430" s="4" t="str">
        <v>Potidaea is impressed into the Delian League</v>
      </c>
      <c r="P430" t="str">
        <v>431</v>
      </c>
      <c r="Q430" t="str">
        <v>Aegina is annexed by Athens</v>
      </c>
    </row>
    <row r="431" spans="1:17" x14ac:dyDescent="0.25">
      <c r="A431" t="s">
        <v>430</v>
      </c>
      <c r="B431" t="str" cm="1">
        <f t="array" ref="B431">INDEX(_xlfn.TEXTSPLIT(A431, " "), 1)</f>
        <v>429</v>
      </c>
      <c r="C431" t="str" cm="1">
        <f t="array" ref="C431">INDEX(_xlfn.TEXTSPLIT(B431, "-"), 1)</f>
        <v>429</v>
      </c>
      <c r="D431" t="str" cm="1">
        <f t="array" ref="D431">IFERROR(INDEX(_xlfn.TEXTSPLIT(B431, "-"), 2), "")</f>
        <v/>
      </c>
      <c r="E431" t="str">
        <f t="shared" si="18"/>
        <v>All Chalkidiki cities (Except Mende, Acanthus, Scione, Stagirus and Aphytis) leave the Delian League</v>
      </c>
      <c r="F431" t="str">
        <f t="shared" si="19"/>
        <v/>
      </c>
      <c r="H431" t="b">
        <f t="shared" si="20"/>
        <v>0</v>
      </c>
      <c r="J431" s="3" t="str">
        <v>429</v>
      </c>
      <c r="K431" s="4" t="str">
        <v>All Chalkidiki cities (Except Mende, Acanthus, Scione, Stagirus and Aphytis) leave the Delian League</v>
      </c>
      <c r="P431" t="str">
        <v>431</v>
      </c>
      <c r="Q431" t="str">
        <v>Empedocles, Greek doctor, believes body has Four Temperaments.</v>
      </c>
    </row>
    <row r="432" spans="1:17" x14ac:dyDescent="0.25">
      <c r="A432" t="s">
        <v>431</v>
      </c>
      <c r="B432" t="str" cm="1">
        <f t="array" ref="B432">INDEX(_xlfn.TEXTSPLIT(A432, " "), 1)</f>
        <v>429</v>
      </c>
      <c r="C432" t="str" cm="1">
        <f t="array" ref="C432">INDEX(_xlfn.TEXTSPLIT(B432, "-"), 1)</f>
        <v>429</v>
      </c>
      <c r="D432" t="str" cm="1">
        <f t="array" ref="D432">IFERROR(INDEX(_xlfn.TEXTSPLIT(B432, "-"), 2), "")</f>
        <v/>
      </c>
      <c r="E432" t="str">
        <f t="shared" si="18"/>
        <v>Athens Siege of Kydonia (Local Victory)</v>
      </c>
      <c r="F432" t="str">
        <f t="shared" si="19"/>
        <v/>
      </c>
      <c r="H432" t="b">
        <f t="shared" si="20"/>
        <v>0</v>
      </c>
      <c r="J432" s="3" t="str">
        <v>429</v>
      </c>
      <c r="K432" s="4" t="str">
        <v>Athens Siege of Kydonia (Local Victory)</v>
      </c>
      <c r="P432" t="str">
        <v>430</v>
      </c>
      <c r="Q432" t="str">
        <v>Athens abandons the Siege of Pydna</v>
      </c>
    </row>
    <row r="433" spans="1:17" x14ac:dyDescent="0.25">
      <c r="A433" t="s">
        <v>432</v>
      </c>
      <c r="B433" t="str" cm="1">
        <f t="array" ref="B433">INDEX(_xlfn.TEXTSPLIT(A433, " "), 1)</f>
        <v>429</v>
      </c>
      <c r="C433" t="str" cm="1">
        <f t="array" ref="C433">INDEX(_xlfn.TEXTSPLIT(B433, "-"), 1)</f>
        <v>429</v>
      </c>
      <c r="D433" t="str" cm="1">
        <f t="array" ref="D433">IFERROR(INDEX(_xlfn.TEXTSPLIT(B433, "-"), 2), "")</f>
        <v/>
      </c>
      <c r="E433" t="str">
        <f t="shared" si="18"/>
        <v>Phormio, Athenian admiral, wins the Battle of Chalcis/Rhium.</v>
      </c>
      <c r="F433" t="str">
        <f t="shared" si="19"/>
        <v/>
      </c>
      <c r="H433" t="b">
        <f t="shared" si="20"/>
        <v>0</v>
      </c>
      <c r="J433" s="3" t="str">
        <v>429</v>
      </c>
      <c r="K433" s="4" t="str">
        <v>Phormio, Athenian admiral, wins the Battle of Chalcis/Rhium.</v>
      </c>
      <c r="P433" t="str">
        <v>430</v>
      </c>
      <c r="Q433" t="str">
        <v>Herakleion is impressed into the Delian League</v>
      </c>
    </row>
    <row r="434" spans="1:17" x14ac:dyDescent="0.25">
      <c r="A434" t="s">
        <v>433</v>
      </c>
      <c r="B434" t="str" cm="1">
        <f t="array" ref="B434">INDEX(_xlfn.TEXTSPLIT(A434, " "), 1)</f>
        <v>429</v>
      </c>
      <c r="C434" t="str" cm="1">
        <f t="array" ref="C434">INDEX(_xlfn.TEXTSPLIT(B434, "-"), 1)</f>
        <v>429</v>
      </c>
      <c r="D434" t="str" cm="1">
        <f t="array" ref="D434">IFERROR(INDEX(_xlfn.TEXTSPLIT(B434, "-"), 2), "")</f>
        <v/>
      </c>
      <c r="E434" t="str">
        <f t="shared" si="18"/>
        <v>Pericles dies of Athenian Plague, possibly typhus or bubonic plague.</v>
      </c>
      <c r="F434" t="str">
        <f t="shared" si="19"/>
        <v/>
      </c>
      <c r="H434" t="b">
        <f t="shared" si="20"/>
        <v>0</v>
      </c>
      <c r="J434" s="3" t="str">
        <v>429</v>
      </c>
      <c r="K434" s="4" t="str">
        <v>Pericles dies of Athenian Plague, possibly typhus or bubonic plague.</v>
      </c>
      <c r="P434" t="str">
        <v>430</v>
      </c>
      <c r="Q434" t="str">
        <v>Spartan Siege of Zakynthos (Local Victory)</v>
      </c>
    </row>
    <row r="435" spans="1:17" x14ac:dyDescent="0.25">
      <c r="A435" t="s">
        <v>434</v>
      </c>
      <c r="B435" t="str" cm="1">
        <f t="array" ref="B435">INDEX(_xlfn.TEXTSPLIT(A435, " "), 1)</f>
        <v>429</v>
      </c>
      <c r="C435" t="str" cm="1">
        <f t="array" ref="C435">INDEX(_xlfn.TEXTSPLIT(B435, "-"), 1)</f>
        <v>429</v>
      </c>
      <c r="D435" t="str" cm="1">
        <f t="array" ref="D435">IFERROR(INDEX(_xlfn.TEXTSPLIT(B435, "-"), 2), "")</f>
        <v/>
      </c>
      <c r="E435" t="str">
        <f t="shared" si="18"/>
        <v>Hippocrates, Greek doctor, believes diseases have physical cause.</v>
      </c>
      <c r="F435" t="str">
        <f t="shared" si="19"/>
        <v/>
      </c>
      <c r="H435" t="b">
        <f t="shared" si="20"/>
        <v>0</v>
      </c>
      <c r="J435" s="3" t="str">
        <v>429</v>
      </c>
      <c r="K435" s="4" t="str">
        <v>Hippocrates, Greek doctor, believes diseases have physical cause.</v>
      </c>
      <c r="P435" t="str">
        <v>430</v>
      </c>
      <c r="Q435" t="str">
        <v>Failed peace mission by Athens, bubonic plague year, Sparta takes no prisoners.</v>
      </c>
    </row>
    <row r="436" spans="1:17" x14ac:dyDescent="0.25">
      <c r="A436" t="s">
        <v>435</v>
      </c>
      <c r="B436" t="str" cm="1">
        <f t="array" ref="B436">INDEX(_xlfn.TEXTSPLIT(A436, " "), 1)</f>
        <v>429</v>
      </c>
      <c r="C436" t="str" cm="1">
        <f t="array" ref="C436">INDEX(_xlfn.TEXTSPLIT(B436, "-"), 1)</f>
        <v>429</v>
      </c>
      <c r="D436" t="str" cm="1">
        <f t="array" ref="D436">IFERROR(INDEX(_xlfn.TEXTSPLIT(B436, "-"), 2), "")</f>
        <v/>
      </c>
      <c r="E436" t="str">
        <f t="shared" si="18"/>
        <v>First Battle of Naupaktos (Athenian Victory)</v>
      </c>
      <c r="F436" t="str">
        <f t="shared" si="19"/>
        <v/>
      </c>
      <c r="H436" t="b">
        <f t="shared" si="20"/>
        <v>0</v>
      </c>
      <c r="J436" s="3" t="str">
        <v>429</v>
      </c>
      <c r="K436" s="4" t="str">
        <v>First Battle of Naupaktos (Athenian Victory)</v>
      </c>
      <c r="P436" t="str">
        <v>430</v>
      </c>
      <c r="Q436" t="str">
        <v>Leucippus, Greek philosopher, believes every natural event has natural cause. Athenian Plague begins in Athens.</v>
      </c>
    </row>
    <row r="437" spans="1:17" x14ac:dyDescent="0.25">
      <c r="A437" t="s">
        <v>436</v>
      </c>
      <c r="B437" t="str" cm="1">
        <f t="array" ref="B437">INDEX(_xlfn.TEXTSPLIT(A437, " "), 1)</f>
        <v>428</v>
      </c>
      <c r="C437" t="str" cm="1">
        <f t="array" ref="C437">INDEX(_xlfn.TEXTSPLIT(B437, "-"), 1)</f>
        <v>428</v>
      </c>
      <c r="D437" t="str" cm="1">
        <f t="array" ref="D437">IFERROR(INDEX(_xlfn.TEXTSPLIT(B437, "-"), 2), "")</f>
        <v/>
      </c>
      <c r="E437" t="str">
        <f t="shared" si="18"/>
        <v>Plato born.</v>
      </c>
      <c r="F437" t="str">
        <f t="shared" si="19"/>
        <v/>
      </c>
      <c r="H437" t="b">
        <f t="shared" si="20"/>
        <v>0</v>
      </c>
      <c r="J437" s="3" t="str">
        <v>428</v>
      </c>
      <c r="K437" s="4" t="str">
        <v>Plato born.</v>
      </c>
      <c r="P437" t="str">
        <v>429</v>
      </c>
      <c r="Q437" t="str">
        <v>Herakleion is annexed by Macedonia</v>
      </c>
    </row>
    <row r="438" spans="1:17" x14ac:dyDescent="0.25">
      <c r="A438" t="s">
        <v>437</v>
      </c>
      <c r="B438" t="str" cm="1">
        <f t="array" ref="B438">INDEX(_xlfn.TEXTSPLIT(A438, " "), 1)</f>
        <v>428</v>
      </c>
      <c r="C438" t="str" cm="1">
        <f t="array" ref="C438">INDEX(_xlfn.TEXTSPLIT(B438, "-"), 1)</f>
        <v>428</v>
      </c>
      <c r="D438" t="str" cm="1">
        <f t="array" ref="D438">IFERROR(INDEX(_xlfn.TEXTSPLIT(B438, "-"), 2), "")</f>
        <v/>
      </c>
      <c r="E438" t="str">
        <f t="shared" si="18"/>
        <v>Mytilene and Antissa leave the Delian league and Mytilene is sieged by Athens, Antissa is sieged by Methymna</v>
      </c>
      <c r="F438" t="str">
        <f t="shared" si="19"/>
        <v/>
      </c>
      <c r="H438" t="b">
        <f t="shared" si="20"/>
        <v>0</v>
      </c>
      <c r="J438" s="3" t="str">
        <v>428</v>
      </c>
      <c r="K438" s="4" t="str">
        <v>Mytilene and Antissa leave the Delian league and Mytilene is sieged by Athens, Antissa is sieged by Methymna</v>
      </c>
      <c r="P438" t="str">
        <v>429</v>
      </c>
      <c r="Q438" t="str">
        <v>Potidaea is impressed into the Delian League</v>
      </c>
    </row>
    <row r="439" spans="1:17" x14ac:dyDescent="0.25">
      <c r="A439" t="s">
        <v>438</v>
      </c>
      <c r="B439" t="str" cm="1">
        <f t="array" ref="B439">INDEX(_xlfn.TEXTSPLIT(A439, " "), 1)</f>
        <v>428</v>
      </c>
      <c r="C439" t="str" cm="1">
        <f t="array" ref="C439">INDEX(_xlfn.TEXTSPLIT(B439, "-"), 1)</f>
        <v>428</v>
      </c>
      <c r="D439" t="str" cm="1">
        <f t="array" ref="D439">IFERROR(INDEX(_xlfn.TEXTSPLIT(B439, "-"), 2), "")</f>
        <v/>
      </c>
      <c r="E439" t="str">
        <f t="shared" si="18"/>
        <v>Illios joins the Delian League</v>
      </c>
      <c r="F439" t="str">
        <f t="shared" si="19"/>
        <v/>
      </c>
      <c r="H439" t="b">
        <f t="shared" si="20"/>
        <v>0</v>
      </c>
      <c r="J439" s="3" t="str">
        <v>428</v>
      </c>
      <c r="K439" s="4" t="str">
        <v>Illios joins the Delian League</v>
      </c>
      <c r="P439" t="str">
        <v>429</v>
      </c>
      <c r="Q439" t="str">
        <v>All Chalkidiki cities (Except Mende, Acanthus, Scione, Stagirus and Aphytis) leave the Delian League</v>
      </c>
    </row>
    <row r="440" spans="1:17" x14ac:dyDescent="0.25">
      <c r="A440" t="s">
        <v>439</v>
      </c>
      <c r="B440" t="str" cm="1">
        <f t="array" ref="B440">INDEX(_xlfn.TEXTSPLIT(A440, " "), 1)</f>
        <v>427</v>
      </c>
      <c r="C440" t="str" cm="1">
        <f t="array" ref="C440">INDEX(_xlfn.TEXTSPLIT(B440, "-"), 1)</f>
        <v>427</v>
      </c>
      <c r="D440" t="str" cm="1">
        <f t="array" ref="D440">IFERROR(INDEX(_xlfn.TEXTSPLIT(B440, "-"), 2), "")</f>
        <v/>
      </c>
      <c r="E440" t="str">
        <f t="shared" si="18"/>
        <v>Suppression of Mytilene, Antissa is annexed by Methymna, Mytilene becomes an Athenian Cleurchy, Mytilene Troad joins the Delian League as independent cities</v>
      </c>
      <c r="F440" t="str">
        <f t="shared" si="19"/>
        <v/>
      </c>
      <c r="H440" t="b">
        <f t="shared" si="20"/>
        <v>0</v>
      </c>
      <c r="J440" s="3" t="str">
        <v>427</v>
      </c>
      <c r="K440" s="4" t="str">
        <v>Suppression of Mytilene, Antissa is annexed by Methymna, Mytilene becomes an Athenian Cleurchy, Mytilene Troad joins the Delian League as independent cities</v>
      </c>
      <c r="P440" t="str">
        <v>429</v>
      </c>
      <c r="Q440" t="str">
        <v>Athens Siege of Kydonia (Local Victory)</v>
      </c>
    </row>
    <row r="441" spans="1:17" x14ac:dyDescent="0.25">
      <c r="A441" t="s">
        <v>440</v>
      </c>
      <c r="B441" t="str" cm="1">
        <f t="array" ref="B441">INDEX(_xlfn.TEXTSPLIT(A441, " "), 1)</f>
        <v>427</v>
      </c>
      <c r="C441" t="str" cm="1">
        <f t="array" ref="C441">INDEX(_xlfn.TEXTSPLIT(B441, "-"), 1)</f>
        <v>427</v>
      </c>
      <c r="D441" t="str" cm="1">
        <f t="array" ref="D441">IFERROR(INDEX(_xlfn.TEXTSPLIT(B441, "-"), 2), "")</f>
        <v/>
      </c>
      <c r="E441" t="str">
        <f t="shared" si="18"/>
        <v>Archidamus II dies, Alcidas, Greek admiral sent to help Lesbos, raids Ionia and flees after seeing Athenian might. Athenian Plague returns.</v>
      </c>
      <c r="F441" t="str">
        <f t="shared" si="19"/>
        <v/>
      </c>
      <c r="H441" t="b">
        <f t="shared" si="20"/>
        <v>0</v>
      </c>
      <c r="J441" s="3" t="str">
        <v>427</v>
      </c>
      <c r="K441" s="4" t="str">
        <v>Archidamus II dies, Alcidas, Greek admiral sent to help Lesbos, raids Ionia and flees after seeing Athenian might. Athenian Plague returns.</v>
      </c>
      <c r="P441" t="str">
        <v>429</v>
      </c>
      <c r="Q441" t="str">
        <v>Phormio, Athenian admiral, wins the Battle of Chalcis/Rhium.</v>
      </c>
    </row>
    <row r="442" spans="1:17" x14ac:dyDescent="0.25">
      <c r="A442" t="s">
        <v>441</v>
      </c>
      <c r="B442" t="str" cm="1">
        <f t="array" ref="B442">INDEX(_xlfn.TEXTSPLIT(A442, " "), 1)</f>
        <v>427</v>
      </c>
      <c r="C442" t="str" cm="1">
        <f t="array" ref="C442">INDEX(_xlfn.TEXTSPLIT(B442, "-"), 1)</f>
        <v>427</v>
      </c>
      <c r="D442" t="str" cm="1">
        <f t="array" ref="D442">IFERROR(INDEX(_xlfn.TEXTSPLIT(B442, "-"), 2), "")</f>
        <v/>
      </c>
      <c r="E442" t="str">
        <f t="shared" si="18"/>
        <v>Plataea is impressed into the Boeotian League and by extension, the Peloponnesian League</v>
      </c>
      <c r="F442" t="str">
        <f t="shared" si="19"/>
        <v/>
      </c>
      <c r="H442" t="b">
        <f t="shared" si="20"/>
        <v>0</v>
      </c>
      <c r="J442" s="3" t="str">
        <v>427</v>
      </c>
      <c r="K442" s="4" t="str">
        <v>Plataea is impressed into the Boeotian League and by extension, the Peloponnesian League</v>
      </c>
      <c r="P442" t="str">
        <v>429</v>
      </c>
      <c r="Q442" t="str">
        <v>Pericles dies of Athenian Plague, possibly typhus or bubonic plague.</v>
      </c>
    </row>
    <row r="443" spans="1:17" x14ac:dyDescent="0.25">
      <c r="A443" t="s">
        <v>442</v>
      </c>
      <c r="B443" t="str" cm="1">
        <f t="array" ref="B443">INDEX(_xlfn.TEXTSPLIT(A443, " "), 1)</f>
        <v>427</v>
      </c>
      <c r="C443" t="str" cm="1">
        <f t="array" ref="C443">INDEX(_xlfn.TEXTSPLIT(B443, "-"), 1)</f>
        <v>427</v>
      </c>
      <c r="D443" t="str" cm="1">
        <f t="array" ref="D443">IFERROR(INDEX(_xlfn.TEXTSPLIT(B443, "-"), 2), "")</f>
        <v/>
      </c>
      <c r="E443" t="str">
        <f t="shared" si="18"/>
        <v>Aristophanes, Greek playwright, wins Athenian Prize.</v>
      </c>
      <c r="F443" t="str">
        <f t="shared" si="19"/>
        <v/>
      </c>
      <c r="H443" t="b">
        <f t="shared" si="20"/>
        <v>0</v>
      </c>
      <c r="J443" s="3" t="str">
        <v>427</v>
      </c>
      <c r="K443" s="4" t="str">
        <v>Aristophanes, Greek playwright, wins Athenian Prize.</v>
      </c>
      <c r="P443" t="str">
        <v>429</v>
      </c>
      <c r="Q443" t="str">
        <v>Hippocrates, Greek doctor, believes diseases have physical cause.</v>
      </c>
    </row>
    <row r="444" spans="1:17" x14ac:dyDescent="0.25">
      <c r="A444" t="s">
        <v>443</v>
      </c>
      <c r="B444" t="str" cm="1">
        <f t="array" ref="B444">INDEX(_xlfn.TEXTSPLIT(A444, " "), 1)</f>
        <v>427</v>
      </c>
      <c r="C444" t="str" cm="1">
        <f t="array" ref="C444">INDEX(_xlfn.TEXTSPLIT(B444, "-"), 1)</f>
        <v>427</v>
      </c>
      <c r="D444" t="str" cm="1">
        <f t="array" ref="D444">IFERROR(INDEX(_xlfn.TEXTSPLIT(B444, "-"), 2), "")</f>
        <v/>
      </c>
      <c r="E444" t="str">
        <f t="shared" si="18"/>
        <v>Corcyran Civil War (Democratic Victory)</v>
      </c>
      <c r="F444" t="str">
        <f t="shared" si="19"/>
        <v/>
      </c>
      <c r="H444" t="b">
        <f t="shared" si="20"/>
        <v>0</v>
      </c>
      <c r="J444" s="3" t="str">
        <v>427</v>
      </c>
      <c r="K444" s="4" t="str">
        <v>Corcyran Civil War (Democratic Victory)</v>
      </c>
      <c r="P444" t="str">
        <v>429</v>
      </c>
      <c r="Q444" t="str">
        <v>First Battle of Naupaktos (Athenian Victory)</v>
      </c>
    </row>
    <row r="445" spans="1:17" x14ac:dyDescent="0.25">
      <c r="A445" t="s">
        <v>444</v>
      </c>
      <c r="B445" t="str" cm="1">
        <f t="array" ref="B445">INDEX(_xlfn.TEXTSPLIT(A445, " "), 1)</f>
        <v>427</v>
      </c>
      <c r="C445" t="str" cm="1">
        <f t="array" ref="C445">INDEX(_xlfn.TEXTSPLIT(B445, "-"), 1)</f>
        <v>427</v>
      </c>
      <c r="D445" t="str" cm="1">
        <f t="array" ref="D445">IFERROR(INDEX(_xlfn.TEXTSPLIT(B445, "-"), 2), "")</f>
        <v/>
      </c>
      <c r="E445" t="str">
        <f t="shared" si="18"/>
        <v>First Athenian Intervention in Sicily begins</v>
      </c>
      <c r="F445" t="str">
        <f t="shared" si="19"/>
        <v/>
      </c>
      <c r="H445" t="b">
        <f t="shared" si="20"/>
        <v>0</v>
      </c>
      <c r="J445" s="3" t="str">
        <v>427</v>
      </c>
      <c r="K445" s="4" t="str">
        <v>First Athenian Intervention in Sicily begins</v>
      </c>
      <c r="P445" t="str">
        <v>428</v>
      </c>
      <c r="Q445" t="str">
        <v>Plato born.</v>
      </c>
    </row>
    <row r="446" spans="1:17" x14ac:dyDescent="0.25">
      <c r="A446" t="s">
        <v>445</v>
      </c>
      <c r="B446" t="str" cm="1">
        <f t="array" ref="B446">INDEX(_xlfn.TEXTSPLIT(A446, " "), 1)</f>
        <v>426</v>
      </c>
      <c r="C446" t="str" cm="1">
        <f t="array" ref="C446">INDEX(_xlfn.TEXTSPLIT(B446, "-"), 1)</f>
        <v>426</v>
      </c>
      <c r="D446" t="str" cm="1">
        <f t="array" ref="D446">IFERROR(INDEX(_xlfn.TEXTSPLIT(B446, "-"), 2), "")</f>
        <v/>
      </c>
      <c r="E446" t="str">
        <f t="shared" si="18"/>
        <v>Megara occupies Pegae</v>
      </c>
      <c r="F446" t="str">
        <f t="shared" si="19"/>
        <v/>
      </c>
      <c r="H446" t="b">
        <f t="shared" si="20"/>
        <v>0</v>
      </c>
      <c r="J446" s="3" t="str">
        <v>426</v>
      </c>
      <c r="K446" s="4" t="str">
        <v>Megara occupies Pegae</v>
      </c>
      <c r="P446" t="str">
        <v>428</v>
      </c>
      <c r="Q446" t="str">
        <v>Mytilene and Antissa leave the Delian league and Mytilene is sieged by Athens, Antissa is sieged by Methymna</v>
      </c>
    </row>
    <row r="447" spans="1:17" x14ac:dyDescent="0.25">
      <c r="A447" t="s">
        <v>446</v>
      </c>
      <c r="B447" t="str" cm="1">
        <f t="array" ref="B447">INDEX(_xlfn.TEXTSPLIT(A447, " "), 1)</f>
        <v>426</v>
      </c>
      <c r="C447" t="str" cm="1">
        <f t="array" ref="C447">INDEX(_xlfn.TEXTSPLIT(B447, "-"), 1)</f>
        <v>426</v>
      </c>
      <c r="D447" t="str" cm="1">
        <f t="array" ref="D447">IFERROR(INDEX(_xlfn.TEXTSPLIT(B447, "-"), 2), "")</f>
        <v/>
      </c>
      <c r="E447" t="str">
        <f t="shared" si="18"/>
        <v>Athens sieges Lecus</v>
      </c>
      <c r="F447" t="str">
        <f t="shared" si="19"/>
        <v/>
      </c>
      <c r="H447" t="b">
        <f t="shared" si="20"/>
        <v>0</v>
      </c>
      <c r="J447" s="3" t="str">
        <v>426</v>
      </c>
      <c r="K447" s="4" t="str">
        <v>Athens sieges Lecus</v>
      </c>
      <c r="P447" t="str">
        <v>428</v>
      </c>
      <c r="Q447" t="str">
        <v>Illios joins the Delian League</v>
      </c>
    </row>
    <row r="448" spans="1:17" x14ac:dyDescent="0.25">
      <c r="A448" t="s">
        <v>447</v>
      </c>
      <c r="B448" t="str" cm="1">
        <f t="array" ref="B448">INDEX(_xlfn.TEXTSPLIT(A448, " "), 1)</f>
        <v>426</v>
      </c>
      <c r="C448" t="str" cm="1">
        <f t="array" ref="C448">INDEX(_xlfn.TEXTSPLIT(B448, "-"), 1)</f>
        <v>426</v>
      </c>
      <c r="D448" t="str" cm="1">
        <f t="array" ref="D448">IFERROR(INDEX(_xlfn.TEXTSPLIT(B448, "-"), 2), "")</f>
        <v/>
      </c>
      <c r="E448" t="str">
        <f t="shared" si="18"/>
        <v>Pylos, Messene, Mylae, Aegitium and Tichium are occupied by Athens, Pylos is founded by escaped Helots</v>
      </c>
      <c r="F448" t="str">
        <f t="shared" si="19"/>
        <v/>
      </c>
      <c r="H448" t="b">
        <f t="shared" si="20"/>
        <v>0</v>
      </c>
      <c r="J448" s="3" t="str">
        <v>426</v>
      </c>
      <c r="K448" s="4" t="str">
        <v>Pylos, Messene, Mylae, Aegitium and Tichium are occupied by Athens, Pylos is founded by escaped Helots</v>
      </c>
      <c r="P448" t="str">
        <v>427</v>
      </c>
      <c r="Q448" t="str">
        <v>Suppression of Mytilene, Antissa is annexed by Methymna, Mytilene becomes an Athenian Cleurchy, Mytilene Troad joins the Delian League as independent cities</v>
      </c>
    </row>
    <row r="449" spans="1:17" x14ac:dyDescent="0.25">
      <c r="A449" t="s">
        <v>448</v>
      </c>
      <c r="B449" t="str" cm="1">
        <f t="array" ref="B449">INDEX(_xlfn.TEXTSPLIT(A449, " "), 1)</f>
        <v>426</v>
      </c>
      <c r="C449" t="str" cm="1">
        <f t="array" ref="C449">INDEX(_xlfn.TEXTSPLIT(B449, "-"), 1)</f>
        <v>426</v>
      </c>
      <c r="D449" t="str" cm="1">
        <f t="array" ref="D449">IFERROR(INDEX(_xlfn.TEXTSPLIT(B449, "-"), 2), "")</f>
        <v/>
      </c>
      <c r="E449" t="str">
        <f t="shared" si="18"/>
        <v>Battle of Tanagra</v>
      </c>
      <c r="F449" t="str">
        <f t="shared" si="19"/>
        <v/>
      </c>
      <c r="H449" t="b">
        <f t="shared" si="20"/>
        <v>0</v>
      </c>
      <c r="J449" s="3" t="str">
        <v>426</v>
      </c>
      <c r="K449" s="4" t="str">
        <v>Battle of Tanagra</v>
      </c>
      <c r="P449" t="str">
        <v>427</v>
      </c>
      <c r="Q449" t="str">
        <v>Archidamus II dies, Alcidas, Greek admiral sent to help Lesbos, raids Ionia and flees after seeing Athenian might. Athenian Plague returns.</v>
      </c>
    </row>
    <row r="450" spans="1:17" x14ac:dyDescent="0.25">
      <c r="A450" t="s">
        <v>449</v>
      </c>
      <c r="B450" t="str" cm="1">
        <f t="array" ref="B450">INDEX(_xlfn.TEXTSPLIT(A450, " "), 1)</f>
        <v>426</v>
      </c>
      <c r="C450" t="str" cm="1">
        <f t="array" ref="C450">INDEX(_xlfn.TEXTSPLIT(B450, "-"), 1)</f>
        <v>426</v>
      </c>
      <c r="D450" t="str" cm="1">
        <f t="array" ref="D450">IFERROR(INDEX(_xlfn.TEXTSPLIT(B450, "-"), 2), "")</f>
        <v/>
      </c>
      <c r="E450" t="str">
        <f t="shared" si="18"/>
        <v>Amfissa joins the Peloponnesian League</v>
      </c>
      <c r="F450" t="str">
        <f t="shared" si="19"/>
        <v/>
      </c>
      <c r="H450" t="b">
        <f t="shared" si="20"/>
        <v>0</v>
      </c>
      <c r="J450" s="3" t="str">
        <v>426</v>
      </c>
      <c r="K450" s="4" t="str">
        <v>Amfissa joins the Peloponnesian League</v>
      </c>
      <c r="P450" t="str">
        <v>427</v>
      </c>
      <c r="Q450" t="str">
        <v>Plataea is impressed into the Boeotian League and by extension, the Peloponnesian League</v>
      </c>
    </row>
    <row r="451" spans="1:17" x14ac:dyDescent="0.25">
      <c r="A451" t="s">
        <v>450</v>
      </c>
      <c r="B451" t="str" cm="1">
        <f t="array" ref="B451">INDEX(_xlfn.TEXTSPLIT(A451, " "), 1)</f>
        <v>426</v>
      </c>
      <c r="C451" t="str" cm="1">
        <f t="array" ref="C451">INDEX(_xlfn.TEXTSPLIT(B451, "-"), 1)</f>
        <v>426</v>
      </c>
      <c r="D451" t="str" cm="1">
        <f t="array" ref="D451">IFERROR(INDEX(_xlfn.TEXTSPLIT(B451, "-"), 2), "")</f>
        <v/>
      </c>
      <c r="E451" t="str">
        <f t="shared" ref="E451:E514" si="21">_xlfn.LET(
  _xlpm.szoveg,
  MID(A451, SEARCH(" ", A451) + 1, LEN(A451)),
  IF(ISNUMBER(SEARCH("-",B451)), _xlpm.szoveg &amp; " --&gt;", _xlpm.szoveg)
)</f>
        <v>Ozolian Locris join the Delian League</v>
      </c>
      <c r="F451" t="str">
        <f t="shared" ref="F451:F514" si="22">_xlfn.LET(
  _xlpm.szoveg,
  MID(A451, SEARCH(" ", A451) + 1, LEN(A451)),
  IF(ISNUMBER(SEARCH("-",B451)), "--&gt; " &amp; _xlpm.szoveg, "")
)</f>
        <v/>
      </c>
      <c r="H451" t="b">
        <f t="shared" ref="H451:H514" si="23">ISNUMBER(SEARCH("-", B451))</f>
        <v>0</v>
      </c>
      <c r="J451" s="3" t="str">
        <v>426</v>
      </c>
      <c r="K451" s="4" t="str">
        <v>Ozolian Locris join the Delian League</v>
      </c>
      <c r="P451" t="str">
        <v>427</v>
      </c>
      <c r="Q451" t="str">
        <v>Aristophanes, Greek playwright, wins Athenian Prize.</v>
      </c>
    </row>
    <row r="452" spans="1:17" x14ac:dyDescent="0.25">
      <c r="A452" t="s">
        <v>451</v>
      </c>
      <c r="B452" t="str" cm="1">
        <f t="array" ref="B452">INDEX(_xlfn.TEXTSPLIT(A452, " "), 1)</f>
        <v>426</v>
      </c>
      <c r="C452" t="str" cm="1">
        <f t="array" ref="C452">INDEX(_xlfn.TEXTSPLIT(B452, "-"), 1)</f>
        <v>426</v>
      </c>
      <c r="D452" t="str" cm="1">
        <f t="array" ref="D452">IFERROR(INDEX(_xlfn.TEXTSPLIT(B452, "-"), 2), "")</f>
        <v/>
      </c>
      <c r="E452" t="str">
        <f t="shared" si="21"/>
        <v>Demosthenes, Athenian general, and Cleon, Athenian demagogue, revitalizes Athenian forces, makes bold plans opposed by Nicias, his first military campaign barely succeeds.</v>
      </c>
      <c r="F452" t="str">
        <f t="shared" si="22"/>
        <v/>
      </c>
      <c r="H452" t="b">
        <f t="shared" si="23"/>
        <v>0</v>
      </c>
      <c r="J452" s="3" t="str">
        <v>426</v>
      </c>
      <c r="K452" s="4" t="str">
        <v>Demosthenes, Athenian general, and Cleon, Athenian demagogue, revitalizes Athenian forces, makes bold plans opposed by Nicias, his first military campaign barely succeeds.</v>
      </c>
      <c r="P452" t="str">
        <v>427</v>
      </c>
      <c r="Q452" t="str">
        <v>Corcyran Civil War (Democratic Victory)</v>
      </c>
    </row>
    <row r="453" spans="1:17" x14ac:dyDescent="0.25">
      <c r="A453" t="s">
        <v>452</v>
      </c>
      <c r="B453" t="str" cm="1">
        <f t="array" ref="B453">INDEX(_xlfn.TEXTSPLIT(A453, " "), 1)</f>
        <v>426</v>
      </c>
      <c r="C453" t="str" cm="1">
        <f t="array" ref="C453">INDEX(_xlfn.TEXTSPLIT(B453, "-"), 1)</f>
        <v>426</v>
      </c>
      <c r="D453" t="str" cm="1">
        <f t="array" ref="D453">IFERROR(INDEX(_xlfn.TEXTSPLIT(B453, "-"), 2), "")</f>
        <v/>
      </c>
      <c r="E453" t="str">
        <f t="shared" si="21"/>
        <v>Ambrakia occupies Olpae and Argos</v>
      </c>
      <c r="F453" t="str">
        <f t="shared" si="22"/>
        <v/>
      </c>
      <c r="H453" t="b">
        <f t="shared" si="23"/>
        <v>0</v>
      </c>
      <c r="J453" s="3" t="str">
        <v>426</v>
      </c>
      <c r="K453" s="4" t="str">
        <v>Ambrakia occupies Olpae and Argos</v>
      </c>
      <c r="P453" t="str">
        <v>427</v>
      </c>
      <c r="Q453" t="str">
        <v>First Athenian Intervention in Sicily begins</v>
      </c>
    </row>
    <row r="454" spans="1:17" x14ac:dyDescent="0.25">
      <c r="A454" t="s">
        <v>453</v>
      </c>
      <c r="B454" t="str" cm="1">
        <f t="array" ref="B454">INDEX(_xlfn.TEXTSPLIT(A454, " "), 1)</f>
        <v>426</v>
      </c>
      <c r="C454" t="str" cm="1">
        <f t="array" ref="C454">INDEX(_xlfn.TEXTSPLIT(B454, "-"), 1)</f>
        <v>426</v>
      </c>
      <c r="D454" t="str" cm="1">
        <f t="array" ref="D454">IFERROR(INDEX(_xlfn.TEXTSPLIT(B454, "-"), 2), "")</f>
        <v/>
      </c>
      <c r="E454" t="str">
        <f t="shared" si="21"/>
        <v>Acarnanian League and Amphilochian League are founded and join the Delian League</v>
      </c>
      <c r="F454" t="str">
        <f t="shared" si="22"/>
        <v/>
      </c>
      <c r="H454" t="b">
        <f t="shared" si="23"/>
        <v>0</v>
      </c>
      <c r="J454" s="3" t="str">
        <v>426</v>
      </c>
      <c r="K454" s="4" t="str">
        <v>Acarnanian League and Amphilochian League are founded and join the Delian League</v>
      </c>
      <c r="P454" t="str">
        <v>426</v>
      </c>
      <c r="Q454" t="str">
        <v>Megara occupies Pegae</v>
      </c>
    </row>
    <row r="455" spans="1:17" x14ac:dyDescent="0.25">
      <c r="A455" t="s">
        <v>454</v>
      </c>
      <c r="B455" t="str" cm="1">
        <f t="array" ref="B455">INDEX(_xlfn.TEXTSPLIT(A455, " "), 1)</f>
        <v>425</v>
      </c>
      <c r="C455" t="str" cm="1">
        <f t="array" ref="C455">INDEX(_xlfn.TEXTSPLIT(B455, "-"), 1)</f>
        <v>425</v>
      </c>
      <c r="D455" t="str" cm="1">
        <f t="array" ref="D455">IFERROR(INDEX(_xlfn.TEXTSPLIT(B455, "-"), 2), "")</f>
        <v/>
      </c>
      <c r="E455" t="str">
        <f t="shared" si="21"/>
        <v>Acarnania occupies Olpae and Argos</v>
      </c>
      <c r="F455" t="str">
        <f t="shared" si="22"/>
        <v/>
      </c>
      <c r="H455" t="b">
        <f t="shared" si="23"/>
        <v>0</v>
      </c>
      <c r="J455" s="3" t="str">
        <v>425</v>
      </c>
      <c r="K455" s="4" t="str">
        <v>Acarnania occupies Olpae and Argos</v>
      </c>
      <c r="P455" t="str">
        <v>426</v>
      </c>
      <c r="Q455" t="str">
        <v>Athens sieges Lecus</v>
      </c>
    </row>
    <row r="456" spans="1:17" x14ac:dyDescent="0.25">
      <c r="A456" t="s">
        <v>455</v>
      </c>
      <c r="B456" t="str" cm="1">
        <f t="array" ref="B456">INDEX(_xlfn.TEXTSPLIT(A456, " "), 1)</f>
        <v>425</v>
      </c>
      <c r="C456" t="str" cm="1">
        <f t="array" ref="C456">INDEX(_xlfn.TEXTSPLIT(B456, "-"), 1)</f>
        <v>425</v>
      </c>
      <c r="D456" t="str" cm="1">
        <f t="array" ref="D456">IFERROR(INDEX(_xlfn.TEXTSPLIT(B456, "-"), 2), "")</f>
        <v/>
      </c>
      <c r="E456" t="str">
        <f t="shared" si="21"/>
        <v>Athenian fleet bottles up Spartan navy at Navarino Bay, Nicias resigns.</v>
      </c>
      <c r="F456" t="str">
        <f t="shared" si="22"/>
        <v/>
      </c>
      <c r="H456" t="b">
        <f t="shared" si="23"/>
        <v>0</v>
      </c>
      <c r="J456" s="3" t="str">
        <v>425</v>
      </c>
      <c r="K456" s="4" t="str">
        <v>Athenian fleet bottles up Spartan navy at Navarino Bay, Nicias resigns.</v>
      </c>
      <c r="P456" t="str">
        <v>426</v>
      </c>
      <c r="Q456" t="str">
        <v>Pylos, Messene, Mylae, Aegitium and Tichium are occupied by Athens, Pylos is founded by escaped Helots</v>
      </c>
    </row>
    <row r="457" spans="1:17" x14ac:dyDescent="0.25">
      <c r="A457" t="s">
        <v>456</v>
      </c>
      <c r="B457" t="str" cm="1">
        <f t="array" ref="B457">INDEX(_xlfn.TEXTSPLIT(A457, " "), 1)</f>
        <v>425</v>
      </c>
      <c r="C457" t="str" cm="1">
        <f t="array" ref="C457">INDEX(_xlfn.TEXTSPLIT(B457, "-"), 1)</f>
        <v>425</v>
      </c>
      <c r="D457" t="str" cm="1">
        <f t="array" ref="D457">IFERROR(INDEX(_xlfn.TEXTSPLIT(B457, "-"), 2), "")</f>
        <v/>
      </c>
      <c r="E457" t="str">
        <f t="shared" si="21"/>
        <v>Herakleion is impressed into the Delian League</v>
      </c>
      <c r="F457" t="str">
        <f t="shared" si="22"/>
        <v/>
      </c>
      <c r="H457" t="b">
        <f t="shared" si="23"/>
        <v>0</v>
      </c>
      <c r="J457" s="3" t="str">
        <v>425</v>
      </c>
      <c r="K457" s="4" t="str">
        <v>Herakleion is impressed into the Delian League</v>
      </c>
      <c r="P457" t="str">
        <v>426</v>
      </c>
      <c r="Q457" t="str">
        <v>Battle of Tanagra</v>
      </c>
    </row>
    <row r="458" spans="1:17" x14ac:dyDescent="0.25">
      <c r="A458" t="s">
        <v>457</v>
      </c>
      <c r="B458" t="str" cm="1">
        <f t="array" ref="B458">INDEX(_xlfn.TEXTSPLIT(A458, " "), 1)</f>
        <v>425</v>
      </c>
      <c r="C458" t="str" cm="1">
        <f t="array" ref="C458">INDEX(_xlfn.TEXTSPLIT(B458, "-"), 1)</f>
        <v>425</v>
      </c>
      <c r="D458" t="str" cm="1">
        <f t="array" ref="D458">IFERROR(INDEX(_xlfn.TEXTSPLIT(B458, "-"), 2), "")</f>
        <v/>
      </c>
      <c r="E458" t="str">
        <f t="shared" si="21"/>
        <v>Athens occupies Sphacteria</v>
      </c>
      <c r="F458" t="str">
        <f t="shared" si="22"/>
        <v/>
      </c>
      <c r="H458" t="b">
        <f t="shared" si="23"/>
        <v>0</v>
      </c>
      <c r="J458" s="3" t="str">
        <v>425</v>
      </c>
      <c r="K458" s="4" t="str">
        <v>Athens occupies Sphacteria</v>
      </c>
      <c r="P458" t="str">
        <v>426</v>
      </c>
      <c r="Q458" t="str">
        <v>Amfissa joins the Peloponnesian League</v>
      </c>
    </row>
    <row r="459" spans="1:17" x14ac:dyDescent="0.25">
      <c r="A459" t="s">
        <v>458</v>
      </c>
      <c r="B459" t="str" cm="1">
        <f t="array" ref="B459">INDEX(_xlfn.TEXTSPLIT(A459, " "), 1)</f>
        <v>425</v>
      </c>
      <c r="C459" t="str" cm="1">
        <f t="array" ref="C459">INDEX(_xlfn.TEXTSPLIT(B459, "-"), 1)</f>
        <v>425</v>
      </c>
      <c r="D459" t="str" cm="1">
        <f t="array" ref="D459">IFERROR(INDEX(_xlfn.TEXTSPLIT(B459, "-"), 2), "")</f>
        <v/>
      </c>
      <c r="E459" t="str">
        <f t="shared" si="21"/>
        <v>Morgantina is annexed by Kamarina</v>
      </c>
      <c r="F459" t="str">
        <f t="shared" si="22"/>
        <v/>
      </c>
      <c r="H459" t="b">
        <f t="shared" si="23"/>
        <v>0</v>
      </c>
      <c r="J459" s="3" t="str">
        <v>425</v>
      </c>
      <c r="K459" s="4" t="str">
        <v>Morgantina is annexed by Kamarina</v>
      </c>
      <c r="P459" t="str">
        <v>426</v>
      </c>
      <c r="Q459" t="str">
        <v>Ozolian Locris join the Delian League</v>
      </c>
    </row>
    <row r="460" spans="1:17" x14ac:dyDescent="0.25">
      <c r="A460" t="s">
        <v>459</v>
      </c>
      <c r="B460" t="str" cm="1">
        <f t="array" ref="B460">INDEX(_xlfn.TEXTSPLIT(A460, " "), 1)</f>
        <v>425</v>
      </c>
      <c r="C460" t="str" cm="1">
        <f t="array" ref="C460">INDEX(_xlfn.TEXTSPLIT(B460, "-"), 1)</f>
        <v>425</v>
      </c>
      <c r="D460" t="str" cm="1">
        <f t="array" ref="D460">IFERROR(INDEX(_xlfn.TEXTSPLIT(B460, "-"), 2), "")</f>
        <v/>
      </c>
      <c r="E460" t="str">
        <f t="shared" si="21"/>
        <v>Ozolian Locris joins the Peloponnesian League</v>
      </c>
      <c r="F460" t="str">
        <f t="shared" si="22"/>
        <v/>
      </c>
      <c r="H460" t="b">
        <f t="shared" si="23"/>
        <v>0</v>
      </c>
      <c r="J460" s="3" t="str">
        <v>425</v>
      </c>
      <c r="K460" s="4" t="str">
        <v>Ozolian Locris joins the Peloponnesian League</v>
      </c>
      <c r="P460" t="str">
        <v>426</v>
      </c>
      <c r="Q460" t="str">
        <v>Demosthenes, Athenian general, and Cleon, Athenian demagogue, revitalizes Athenian forces, makes bold plans opposed by Nicias, his first military campaign barely succeeds.</v>
      </c>
    </row>
    <row r="461" spans="1:17" x14ac:dyDescent="0.25">
      <c r="A461" t="s">
        <v>460</v>
      </c>
      <c r="B461" t="str" cm="1">
        <f t="array" ref="B461">INDEX(_xlfn.TEXTSPLIT(A461, " "), 1)</f>
        <v>425</v>
      </c>
      <c r="C461" t="str" cm="1">
        <f t="array" ref="C461">INDEX(_xlfn.TEXTSPLIT(B461, "-"), 1)</f>
        <v>425</v>
      </c>
      <c r="D461" t="str" cm="1">
        <f t="array" ref="D461">IFERROR(INDEX(_xlfn.TEXTSPLIT(B461, "-"), 2), "")</f>
        <v/>
      </c>
      <c r="E461" t="str">
        <f t="shared" si="21"/>
        <v>Athens withdraws from Lecas and Acarnania</v>
      </c>
      <c r="F461" t="str">
        <f t="shared" si="22"/>
        <v/>
      </c>
      <c r="H461" t="b">
        <f t="shared" si="23"/>
        <v>0</v>
      </c>
      <c r="J461" s="3" t="str">
        <v>425</v>
      </c>
      <c r="K461" s="4" t="str">
        <v>Athens withdraws from Lecas and Acarnania</v>
      </c>
      <c r="P461" t="str">
        <v>426</v>
      </c>
      <c r="Q461" t="str">
        <v>Ambrakia occupies Olpae and Argos</v>
      </c>
    </row>
    <row r="462" spans="1:17" x14ac:dyDescent="0.25">
      <c r="A462" t="s">
        <v>461</v>
      </c>
      <c r="B462" t="str" cm="1">
        <f t="array" ref="B462">INDEX(_xlfn.TEXTSPLIT(A462, " "), 1)</f>
        <v>425</v>
      </c>
      <c r="C462" t="str" cm="1">
        <f t="array" ref="C462">INDEX(_xlfn.TEXTSPLIT(B462, "-"), 1)</f>
        <v>425</v>
      </c>
      <c r="D462" t="str" cm="1">
        <f t="array" ref="D462">IFERROR(INDEX(_xlfn.TEXTSPLIT(B462, "-"), 2), "")</f>
        <v/>
      </c>
      <c r="E462" t="str">
        <f t="shared" si="21"/>
        <v>Athens withdraws from Messene and Mylae is impressed into the Delian League</v>
      </c>
      <c r="F462" t="str">
        <f t="shared" si="22"/>
        <v/>
      </c>
      <c r="H462" t="b">
        <f t="shared" si="23"/>
        <v>0</v>
      </c>
      <c r="J462" s="3" t="str">
        <v>425</v>
      </c>
      <c r="K462" s="4" t="str">
        <v>Athens withdraws from Messene and Mylae is impressed into the Delian League</v>
      </c>
      <c r="P462" t="str">
        <v>426</v>
      </c>
      <c r="Q462" t="str">
        <v>Acarnanian League and Amphilochian League are founded and join the Delian League</v>
      </c>
    </row>
    <row r="463" spans="1:17" x14ac:dyDescent="0.25">
      <c r="A463" t="s">
        <v>462</v>
      </c>
      <c r="B463" t="str" cm="1">
        <f t="array" ref="B463">INDEX(_xlfn.TEXTSPLIT(A463, " "), 1)</f>
        <v>424</v>
      </c>
      <c r="C463" t="str" cm="1">
        <f t="array" ref="C463">INDEX(_xlfn.TEXTSPLIT(B463, "-"), 1)</f>
        <v>424</v>
      </c>
      <c r="D463" t="str" cm="1">
        <f t="array" ref="D463">IFERROR(INDEX(_xlfn.TEXTSPLIT(B463, "-"), 2), "")</f>
        <v/>
      </c>
      <c r="E463" t="str">
        <f t="shared" si="21"/>
        <v>Herakleion is annexed by Makedonia</v>
      </c>
      <c r="F463" t="str">
        <f t="shared" si="22"/>
        <v/>
      </c>
      <c r="H463" t="b">
        <f t="shared" si="23"/>
        <v>0</v>
      </c>
      <c r="J463" s="3" t="str">
        <v>424</v>
      </c>
      <c r="K463" s="4" t="str">
        <v>Herakleion is annexed by Makedonia</v>
      </c>
      <c r="P463" t="str">
        <v>425</v>
      </c>
      <c r="Q463" t="str">
        <v>Acarnania occupies Olpae and Argos</v>
      </c>
    </row>
    <row r="464" spans="1:17" x14ac:dyDescent="0.25">
      <c r="A464" t="s">
        <v>463</v>
      </c>
      <c r="B464" t="str" cm="1">
        <f t="array" ref="B464">INDEX(_xlfn.TEXTSPLIT(A464, " "), 1)</f>
        <v>424</v>
      </c>
      <c r="C464" t="str" cm="1">
        <f t="array" ref="C464">INDEX(_xlfn.TEXTSPLIT(B464, "-"), 1)</f>
        <v>424</v>
      </c>
      <c r="D464" t="str" cm="1">
        <f t="array" ref="D464">IFERROR(INDEX(_xlfn.TEXTSPLIT(B464, "-"), 2), "")</f>
        <v/>
      </c>
      <c r="E464" t="str">
        <f t="shared" si="21"/>
        <v>Eion, Akanthus and Amphipolis are besieged by Sparta</v>
      </c>
      <c r="F464" t="str">
        <f t="shared" si="22"/>
        <v/>
      </c>
      <c r="H464" t="b">
        <f t="shared" si="23"/>
        <v>0</v>
      </c>
      <c r="J464" s="3" t="str">
        <v>424</v>
      </c>
      <c r="K464" s="4" t="str">
        <v>Eion, Akanthus and Amphipolis are besieged by Sparta</v>
      </c>
      <c r="P464" t="str">
        <v>425</v>
      </c>
      <c r="Q464" t="str">
        <v>Athenian fleet bottles up Spartan navy at Navarino Bay, Nicias resigns.</v>
      </c>
    </row>
    <row r="465" spans="1:17" x14ac:dyDescent="0.25">
      <c r="A465" t="s">
        <v>464</v>
      </c>
      <c r="B465" t="str" cm="1">
        <f t="array" ref="B465">INDEX(_xlfn.TEXTSPLIT(A465, " "), 1)</f>
        <v>424</v>
      </c>
      <c r="C465" t="str" cm="1">
        <f t="array" ref="C465">INDEX(_xlfn.TEXTSPLIT(B465, "-"), 1)</f>
        <v>424</v>
      </c>
      <c r="D465" t="str" cm="1">
        <f t="array" ref="D465">IFERROR(INDEX(_xlfn.TEXTSPLIT(B465, "-"), 2), "")</f>
        <v/>
      </c>
      <c r="E465" t="str">
        <f t="shared" si="21"/>
        <v>Stagira joins the Peloponnesian League</v>
      </c>
      <c r="F465" t="str">
        <f t="shared" si="22"/>
        <v/>
      </c>
      <c r="H465" t="b">
        <f t="shared" si="23"/>
        <v>0</v>
      </c>
      <c r="J465" s="3" t="str">
        <v>424</v>
      </c>
      <c r="K465" s="4" t="str">
        <v>Stagira joins the Peloponnesian League</v>
      </c>
      <c r="P465" t="str">
        <v>425</v>
      </c>
      <c r="Q465" t="str">
        <v>Herakleion is impressed into the Delian League</v>
      </c>
    </row>
    <row r="466" spans="1:17" x14ac:dyDescent="0.25">
      <c r="A466" t="s">
        <v>465</v>
      </c>
      <c r="B466" t="str" cm="1">
        <f t="array" ref="B466">INDEX(_xlfn.TEXTSPLIT(A466, " "), 1)</f>
        <v>424</v>
      </c>
      <c r="C466" t="str" cm="1">
        <f t="array" ref="C466">INDEX(_xlfn.TEXTSPLIT(B466, "-"), 1)</f>
        <v>424</v>
      </c>
      <c r="D466" t="str" cm="1">
        <f t="array" ref="D466">IFERROR(INDEX(_xlfn.TEXTSPLIT(B466, "-"), 2), "")</f>
        <v/>
      </c>
      <c r="E466" t="str">
        <f t="shared" si="21"/>
        <v>Nisaia, and Siphae are occupied by Athenai</v>
      </c>
      <c r="F466" t="str">
        <f t="shared" si="22"/>
        <v/>
      </c>
      <c r="H466" t="b">
        <f t="shared" si="23"/>
        <v>0</v>
      </c>
      <c r="J466" s="3" t="str">
        <v>424</v>
      </c>
      <c r="K466" s="4" t="str">
        <v>Nisaia, and Siphae are occupied by Athenai</v>
      </c>
      <c r="P466" t="str">
        <v>425</v>
      </c>
      <c r="Q466" t="str">
        <v>Athens occupies Sphacteria</v>
      </c>
    </row>
    <row r="467" spans="1:17" x14ac:dyDescent="0.25">
      <c r="A467" t="s">
        <v>466</v>
      </c>
      <c r="B467" t="str" cm="1">
        <f t="array" ref="B467">INDEX(_xlfn.TEXTSPLIT(A467, " "), 1)</f>
        <v>424</v>
      </c>
      <c r="C467" t="str" cm="1">
        <f t="array" ref="C467">INDEX(_xlfn.TEXTSPLIT(B467, "-"), 1)</f>
        <v>424</v>
      </c>
      <c r="D467" t="str" cm="1">
        <f t="array" ref="D467">IFERROR(INDEX(_xlfn.TEXTSPLIT(B467, "-"), 2), "")</f>
        <v/>
      </c>
      <c r="E467" t="str">
        <f t="shared" si="21"/>
        <v>Thyrea is occupied by Athens</v>
      </c>
      <c r="F467" t="str">
        <f t="shared" si="22"/>
        <v/>
      </c>
      <c r="H467" t="b">
        <f t="shared" si="23"/>
        <v>0</v>
      </c>
      <c r="J467" s="3" t="str">
        <v>424</v>
      </c>
      <c r="K467" s="4" t="str">
        <v>Thyrea is occupied by Athens</v>
      </c>
      <c r="P467" t="str">
        <v>425</v>
      </c>
      <c r="Q467" t="str">
        <v>Morgantina is annexed by Kamarina</v>
      </c>
    </row>
    <row r="468" spans="1:17" x14ac:dyDescent="0.25">
      <c r="A468" t="s">
        <v>467</v>
      </c>
      <c r="B468" t="str" cm="1">
        <f t="array" ref="B468">INDEX(_xlfn.TEXTSPLIT(A468, " "), 1)</f>
        <v>424</v>
      </c>
      <c r="C468" t="str" cm="1">
        <f t="array" ref="C468">INDEX(_xlfn.TEXTSPLIT(B468, "-"), 1)</f>
        <v>424</v>
      </c>
      <c r="D468" t="str" cm="1">
        <f t="array" ref="D468">IFERROR(INDEX(_xlfn.TEXTSPLIT(B468, "-"), 2), "")</f>
        <v/>
      </c>
      <c r="E468" t="str">
        <f t="shared" si="21"/>
        <v>First Athenian Intervention in Sicily ends</v>
      </c>
      <c r="F468" t="str">
        <f t="shared" si="22"/>
        <v/>
      </c>
      <c r="H468" t="b">
        <f t="shared" si="23"/>
        <v>0</v>
      </c>
      <c r="J468" s="3" t="str">
        <v>424</v>
      </c>
      <c r="K468" s="4" t="str">
        <v>First Athenian Intervention in Sicily ends</v>
      </c>
      <c r="P468" t="str">
        <v>425</v>
      </c>
      <c r="Q468" t="str">
        <v>Ozolian Locris joins the Peloponnesian League</v>
      </c>
    </row>
    <row r="469" spans="1:17" x14ac:dyDescent="0.25">
      <c r="A469" t="s">
        <v>468</v>
      </c>
      <c r="B469" t="str" cm="1">
        <f t="array" ref="B469">INDEX(_xlfn.TEXTSPLIT(A469, " "), 1)</f>
        <v>424</v>
      </c>
      <c r="C469" t="str" cm="1">
        <f t="array" ref="C469">INDEX(_xlfn.TEXTSPLIT(B469, "-"), 1)</f>
        <v>424</v>
      </c>
      <c r="D469" t="str" cm="1">
        <f t="array" ref="D469">IFERROR(INDEX(_xlfn.TEXTSPLIT(B469, "-"), 2), "")</f>
        <v/>
      </c>
      <c r="E469" t="str">
        <f t="shared" si="21"/>
        <v>Pagondas of Thebes (in Greece) crushes Athenian army at the Battle of Delium, Brasidas a Spartan general, has a successful campaign in the Chalcidice, Cleon exiles Thucydides for 20 years for arriving late.</v>
      </c>
      <c r="F469" t="str">
        <f t="shared" si="22"/>
        <v/>
      </c>
      <c r="H469" t="b">
        <f t="shared" si="23"/>
        <v>0</v>
      </c>
      <c r="J469" s="3" t="str">
        <v>424</v>
      </c>
      <c r="K469" s="4" t="str">
        <v>Pagondas of Thebes (in Greece) crushes Athenian army at the Battle of Delium, Brasidas a Spartan general, has a successful campaign in the Chalcidice, Cleon exiles Thucydides for 20 years for arriving late.</v>
      </c>
      <c r="P469" t="str">
        <v>425</v>
      </c>
      <c r="Q469" t="str">
        <v>Athens withdraws from Lecas and Acarnania</v>
      </c>
    </row>
    <row r="470" spans="1:17" x14ac:dyDescent="0.25">
      <c r="A470" t="s">
        <v>469</v>
      </c>
      <c r="B470" t="str" cm="1">
        <f t="array" ref="B470">INDEX(_xlfn.TEXTSPLIT(A470, " "), 1)</f>
        <v>423</v>
      </c>
      <c r="C470" t="str" cm="1">
        <f t="array" ref="C470">INDEX(_xlfn.TEXTSPLIT(B470, "-"), 1)</f>
        <v>423</v>
      </c>
      <c r="D470" t="str" cm="1">
        <f t="array" ref="D470">IFERROR(INDEX(_xlfn.TEXTSPLIT(B470, "-"), 2), "")</f>
        <v/>
      </c>
      <c r="E470" t="str">
        <f t="shared" si="21"/>
        <v>Sparta occupied Amphipolis and Scione</v>
      </c>
      <c r="F470" t="str">
        <f t="shared" si="22"/>
        <v/>
      </c>
      <c r="H470" t="b">
        <f t="shared" si="23"/>
        <v>0</v>
      </c>
      <c r="J470" s="3" t="str">
        <v>423</v>
      </c>
      <c r="K470" s="4" t="str">
        <v>Sparta occupied Amphipolis and Scione</v>
      </c>
      <c r="P470" t="str">
        <v>425</v>
      </c>
      <c r="Q470" t="str">
        <v>Athens withdraws from Messene and Mylae is impressed into the Delian League</v>
      </c>
    </row>
    <row r="471" spans="1:17" x14ac:dyDescent="0.25">
      <c r="A471" t="s">
        <v>470</v>
      </c>
      <c r="B471" t="str" cm="1">
        <f t="array" ref="B471">INDEX(_xlfn.TEXTSPLIT(A471, " "), 1)</f>
        <v>423</v>
      </c>
      <c r="C471" t="str" cm="1">
        <f t="array" ref="C471">INDEX(_xlfn.TEXTSPLIT(B471, "-"), 1)</f>
        <v>423</v>
      </c>
      <c r="D471" t="str" cm="1">
        <f t="array" ref="D471">IFERROR(INDEX(_xlfn.TEXTSPLIT(B471, "-"), 2), "")</f>
        <v/>
      </c>
      <c r="E471" t="str">
        <f t="shared" si="21"/>
        <v>Torone is occupied by Makedonia</v>
      </c>
      <c r="F471" t="str">
        <f t="shared" si="22"/>
        <v/>
      </c>
      <c r="H471" t="b">
        <f t="shared" si="23"/>
        <v>0</v>
      </c>
      <c r="J471" s="3" t="str">
        <v>423</v>
      </c>
      <c r="K471" s="4" t="str">
        <v>Torone is occupied by Makedonia</v>
      </c>
      <c r="P471" t="str">
        <v>424</v>
      </c>
      <c r="Q471" t="str">
        <v>Herakleion is annexed by Makedonia</v>
      </c>
    </row>
    <row r="472" spans="1:17" x14ac:dyDescent="0.25">
      <c r="A472" t="s">
        <v>471</v>
      </c>
      <c r="B472" t="str" cm="1">
        <f t="array" ref="B472">INDEX(_xlfn.TEXTSPLIT(A472, " "), 1)</f>
        <v>423</v>
      </c>
      <c r="C472" t="str" cm="1">
        <f t="array" ref="C472">INDEX(_xlfn.TEXTSPLIT(B472, "-"), 1)</f>
        <v>423</v>
      </c>
      <c r="D472" t="str" cm="1">
        <f t="array" ref="D472">IFERROR(INDEX(_xlfn.TEXTSPLIT(B472, "-"), 2), "")</f>
        <v/>
      </c>
      <c r="E472" t="str">
        <f t="shared" si="21"/>
        <v>Akanthus joins the Peloponnesian League</v>
      </c>
      <c r="F472" t="str">
        <f t="shared" si="22"/>
        <v/>
      </c>
      <c r="H472" t="b">
        <f t="shared" si="23"/>
        <v>0</v>
      </c>
      <c r="J472" s="3" t="str">
        <v>423</v>
      </c>
      <c r="K472" s="4" t="str">
        <v>Akanthus joins the Peloponnesian League</v>
      </c>
      <c r="P472" t="str">
        <v>424</v>
      </c>
      <c r="Q472" t="str">
        <v>Eion, Akanthus and Amphipolis are besieged by Sparta</v>
      </c>
    </row>
    <row r="473" spans="1:17" x14ac:dyDescent="0.25">
      <c r="A473" t="s">
        <v>472</v>
      </c>
      <c r="B473" t="str" cm="1">
        <f t="array" ref="B473">INDEX(_xlfn.TEXTSPLIT(A473, " "), 1)</f>
        <v>423</v>
      </c>
      <c r="C473" t="str" cm="1">
        <f t="array" ref="C473">INDEX(_xlfn.TEXTSPLIT(B473, "-"), 1)</f>
        <v>423</v>
      </c>
      <c r="D473" t="str" cm="1">
        <f t="array" ref="D473">IFERROR(INDEX(_xlfn.TEXTSPLIT(B473, "-"), 2), "")</f>
        <v/>
      </c>
      <c r="E473" t="str">
        <f t="shared" si="21"/>
        <v>Truce of Laches supposed to stop Brasidas but doesn't, Nicias commands Athenian forces in retaking Mende.</v>
      </c>
      <c r="F473" t="str">
        <f t="shared" si="22"/>
        <v/>
      </c>
      <c r="H473" t="b">
        <f t="shared" si="23"/>
        <v>0</v>
      </c>
      <c r="J473" s="3" t="str">
        <v>423</v>
      </c>
      <c r="K473" s="4" t="str">
        <v>Truce of Laches supposed to stop Brasidas but doesn't, Nicias commands Athenian forces in retaking Mende.</v>
      </c>
      <c r="P473" t="str">
        <v>424</v>
      </c>
      <c r="Q473" t="str">
        <v>Stagira joins the Peloponnesian League</v>
      </c>
    </row>
    <row r="474" spans="1:17" x14ac:dyDescent="0.25">
      <c r="A474" t="s">
        <v>473</v>
      </c>
      <c r="B474" t="str" cm="1">
        <f t="array" ref="B474">INDEX(_xlfn.TEXTSPLIT(A474, " "), 1)</f>
        <v>423</v>
      </c>
      <c r="C474" t="str" cm="1">
        <f t="array" ref="C474">INDEX(_xlfn.TEXTSPLIT(B474, "-"), 1)</f>
        <v>423</v>
      </c>
      <c r="D474" t="str" cm="1">
        <f t="array" ref="D474">IFERROR(INDEX(_xlfn.TEXTSPLIT(B474, "-"), 2), "")</f>
        <v/>
      </c>
      <c r="E474" t="str">
        <f t="shared" si="21"/>
        <v>Olynthus form the Chalcidian League independent of the Delian League</v>
      </c>
      <c r="F474" t="str">
        <f t="shared" si="22"/>
        <v/>
      </c>
      <c r="H474" t="b">
        <f t="shared" si="23"/>
        <v>0</v>
      </c>
      <c r="J474" s="3" t="str">
        <v>423</v>
      </c>
      <c r="K474" s="4" t="str">
        <v>Olynthus form the Chalcidian League independent of the Delian League</v>
      </c>
      <c r="P474" t="str">
        <v>424</v>
      </c>
      <c r="Q474" t="str">
        <v>Nisaia, and Siphae are occupied by Athenai</v>
      </c>
    </row>
    <row r="475" spans="1:17" x14ac:dyDescent="0.25">
      <c r="A475" t="s">
        <v>474</v>
      </c>
      <c r="B475" t="str" cm="1">
        <f t="array" ref="B475">INDEX(_xlfn.TEXTSPLIT(A475, " "), 1)</f>
        <v>422</v>
      </c>
      <c r="C475" t="str" cm="1">
        <f t="array" ref="C475">INDEX(_xlfn.TEXTSPLIT(B475, "-"), 1)</f>
        <v>422</v>
      </c>
      <c r="D475" t="str" cm="1">
        <f t="array" ref="D475">IFERROR(INDEX(_xlfn.TEXTSPLIT(B475, "-"), 2), "")</f>
        <v/>
      </c>
      <c r="E475" t="str">
        <f t="shared" si="21"/>
        <v>Stagira is besieged by Athens</v>
      </c>
      <c r="F475" t="str">
        <f t="shared" si="22"/>
        <v/>
      </c>
      <c r="H475" t="b">
        <f t="shared" si="23"/>
        <v>0</v>
      </c>
      <c r="J475" s="3" t="str">
        <v>422</v>
      </c>
      <c r="K475" s="4" t="str">
        <v>Stagira is besieged by Athens</v>
      </c>
      <c r="P475" t="str">
        <v>424</v>
      </c>
      <c r="Q475" t="str">
        <v>Thyrea is occupied by Athens</v>
      </c>
    </row>
    <row r="476" spans="1:17" x14ac:dyDescent="0.25">
      <c r="A476" t="s">
        <v>475</v>
      </c>
      <c r="B476" t="str" cm="1">
        <f t="array" ref="B476">INDEX(_xlfn.TEXTSPLIT(A476, " "), 1)</f>
        <v>422</v>
      </c>
      <c r="C476" t="str" cm="1">
        <f t="array" ref="C476">INDEX(_xlfn.TEXTSPLIT(B476, "-"), 1)</f>
        <v>422</v>
      </c>
      <c r="D476" t="str" cm="1">
        <f t="array" ref="D476">IFERROR(INDEX(_xlfn.TEXTSPLIT(B476, "-"), 2), "")</f>
        <v/>
      </c>
      <c r="E476" t="str">
        <f t="shared" si="21"/>
        <v>Neapolis is annexed by Rome</v>
      </c>
      <c r="F476" t="str">
        <f t="shared" si="22"/>
        <v/>
      </c>
      <c r="H476" t="b">
        <f t="shared" si="23"/>
        <v>0</v>
      </c>
      <c r="J476" s="3" t="str">
        <v>422</v>
      </c>
      <c r="K476" s="4" t="str">
        <v>Neapolis is annexed by Rome</v>
      </c>
      <c r="P476" t="str">
        <v>424</v>
      </c>
      <c r="Q476" t="str">
        <v>First Athenian Intervention in Sicily ends</v>
      </c>
    </row>
    <row r="477" spans="1:17" x14ac:dyDescent="0.25">
      <c r="A477" t="s">
        <v>476</v>
      </c>
      <c r="B477" t="str" cm="1">
        <f t="array" ref="B477">INDEX(_xlfn.TEXTSPLIT(A477, " "), 1)</f>
        <v>422</v>
      </c>
      <c r="C477" t="str" cm="1">
        <f t="array" ref="C477">INDEX(_xlfn.TEXTSPLIT(B477, "-"), 1)</f>
        <v>422</v>
      </c>
      <c r="D477" t="str" cm="1">
        <f t="array" ref="D477">IFERROR(INDEX(_xlfn.TEXTSPLIT(B477, "-"), 2), "")</f>
        <v/>
      </c>
      <c r="E477" t="str">
        <f t="shared" si="21"/>
        <v>Torone and Scione are impressed into the Delian League</v>
      </c>
      <c r="F477" t="str">
        <f t="shared" si="22"/>
        <v/>
      </c>
      <c r="H477" t="b">
        <f t="shared" si="23"/>
        <v>0</v>
      </c>
      <c r="J477" s="3" t="str">
        <v>422</v>
      </c>
      <c r="K477" s="4" t="str">
        <v>Torone and Scione are impressed into the Delian League</v>
      </c>
      <c r="P477" t="str">
        <v>424</v>
      </c>
      <c r="Q477" t="str">
        <v>Pagondas of Thebes (in Greece) crushes Athenian army at the Battle of Delium, Brasidas a Spartan general, has a successful campaign in the Chalcidice, Cleon exiles Thucydides for 20 years for arriving late.</v>
      </c>
    </row>
    <row r="478" spans="1:17" x14ac:dyDescent="0.25">
      <c r="A478" t="s">
        <v>477</v>
      </c>
      <c r="B478" t="str" cm="1">
        <f t="array" ref="B478">INDEX(_xlfn.TEXTSPLIT(A478, " "), 1)</f>
        <v>422</v>
      </c>
      <c r="C478" t="str" cm="1">
        <f t="array" ref="C478">INDEX(_xlfn.TEXTSPLIT(B478, "-"), 1)</f>
        <v>422</v>
      </c>
      <c r="D478" t="str" cm="1">
        <f t="array" ref="D478">IFERROR(INDEX(_xlfn.TEXTSPLIT(B478, "-"), 2), "")</f>
        <v/>
      </c>
      <c r="E478" t="str">
        <f t="shared" si="21"/>
        <v>Cleon meets Brasidas outside of Amphipolis, both are killed (Battle of Amphipolis).</v>
      </c>
      <c r="F478" t="str">
        <f t="shared" si="22"/>
        <v/>
      </c>
      <c r="H478" t="b">
        <f t="shared" si="23"/>
        <v>0</v>
      </c>
      <c r="J478" s="3" t="str">
        <v>422</v>
      </c>
      <c r="K478" s="4" t="str">
        <v>Cleon meets Brasidas outside of Amphipolis, both are killed (Battle of Amphipolis).</v>
      </c>
      <c r="P478" t="str">
        <v>423</v>
      </c>
      <c r="Q478" t="str">
        <v>Sparta occupied Amphipolis and Scione</v>
      </c>
    </row>
    <row r="479" spans="1:17" x14ac:dyDescent="0.25">
      <c r="A479" t="s">
        <v>478</v>
      </c>
      <c r="B479" t="str" cm="1">
        <f t="array" ref="B479">INDEX(_xlfn.TEXTSPLIT(A479, " "), 1)</f>
        <v>422</v>
      </c>
      <c r="C479" t="str" cm="1">
        <f t="array" ref="C479">INDEX(_xlfn.TEXTSPLIT(B479, "-"), 1)</f>
        <v>422</v>
      </c>
      <c r="D479" t="str" cm="1">
        <f t="array" ref="D479">IFERROR(INDEX(_xlfn.TEXTSPLIT(B479, "-"), 2), "")</f>
        <v/>
      </c>
      <c r="E479" t="str">
        <f t="shared" si="21"/>
        <v>Syracuse annexes the now weak Leontini</v>
      </c>
      <c r="F479" t="str">
        <f t="shared" si="22"/>
        <v/>
      </c>
      <c r="H479" t="b">
        <f t="shared" si="23"/>
        <v>0</v>
      </c>
      <c r="J479" s="3" t="str">
        <v>422</v>
      </c>
      <c r="K479" s="4" t="str">
        <v>Syracuse annexes the now weak Leontini</v>
      </c>
      <c r="P479" t="str">
        <v>423</v>
      </c>
      <c r="Q479" t="str">
        <v>Torone is occupied by Makedonia</v>
      </c>
    </row>
    <row r="480" spans="1:17" x14ac:dyDescent="0.25">
      <c r="A480" t="s">
        <v>479</v>
      </c>
      <c r="B480" t="str" cm="1">
        <f t="array" ref="B480">INDEX(_xlfn.TEXTSPLIT(A480, " "), 1)</f>
        <v>421</v>
      </c>
      <c r="C480" t="str" cm="1">
        <f t="array" ref="C480">INDEX(_xlfn.TEXTSPLIT(B480, "-"), 1)</f>
        <v>421</v>
      </c>
      <c r="D480" t="str" cm="1">
        <f t="array" ref="D480">IFERROR(INDEX(_xlfn.TEXTSPLIT(B480, "-"), 2), "")</f>
        <v/>
      </c>
      <c r="E480" t="str">
        <f t="shared" si="21"/>
        <v>Peace of Nicias brings temporary end to war, but Alcibiades, a nephew of Pericles, makes anti-Sparta alliance.</v>
      </c>
      <c r="F480" t="str">
        <f t="shared" si="22"/>
        <v/>
      </c>
      <c r="H480" t="b">
        <f t="shared" si="23"/>
        <v>0</v>
      </c>
      <c r="J480" s="3" t="str">
        <v>421</v>
      </c>
      <c r="K480" s="4" t="str">
        <v>Peace of Nicias brings temporary end to war, but Alcibiades, a nephew of Pericles, makes anti-Sparta alliance.</v>
      </c>
      <c r="P480" t="str">
        <v>423</v>
      </c>
      <c r="Q480" t="str">
        <v>Akanthus joins the Peloponnesian League</v>
      </c>
    </row>
    <row r="481" spans="1:17" x14ac:dyDescent="0.25">
      <c r="A481" t="s">
        <v>480</v>
      </c>
      <c r="B481" t="str" cm="1">
        <f t="array" ref="B481">INDEX(_xlfn.TEXTSPLIT(A481, " "), 1)</f>
        <v>421</v>
      </c>
      <c r="C481" t="str" cm="1">
        <f t="array" ref="C481">INDEX(_xlfn.TEXTSPLIT(B481, "-"), 1)</f>
        <v>421</v>
      </c>
      <c r="D481" t="str" cm="1">
        <f t="array" ref="D481">IFERROR(INDEX(_xlfn.TEXTSPLIT(B481, "-"), 2), "")</f>
        <v/>
      </c>
      <c r="E481" t="str">
        <f t="shared" si="21"/>
        <v>Herakleion is impressed into the Delian League</v>
      </c>
      <c r="F481" t="str">
        <f t="shared" si="22"/>
        <v/>
      </c>
      <c r="H481" t="b">
        <f t="shared" si="23"/>
        <v>0</v>
      </c>
      <c r="J481" s="3" t="str">
        <v>421</v>
      </c>
      <c r="K481" s="4" t="str">
        <v>Herakleion is impressed into the Delian League</v>
      </c>
      <c r="P481" t="str">
        <v>423</v>
      </c>
      <c r="Q481" t="str">
        <v>Truce of Laches supposed to stop Brasidas but doesn't, Nicias commands Athenian forces in retaking Mende.</v>
      </c>
    </row>
    <row r="482" spans="1:17" x14ac:dyDescent="0.25">
      <c r="A482" t="s">
        <v>481</v>
      </c>
      <c r="B482" t="str" cm="1">
        <f t="array" ref="B482">INDEX(_xlfn.TEXTSPLIT(A482, " "), 1)</f>
        <v>421</v>
      </c>
      <c r="C482" t="str" cm="1">
        <f t="array" ref="C482">INDEX(_xlfn.TEXTSPLIT(B482, "-"), 1)</f>
        <v>421</v>
      </c>
      <c r="D482" t="str" cm="1">
        <f t="array" ref="D482">IFERROR(INDEX(_xlfn.TEXTSPLIT(B482, "-"), 2), "")</f>
        <v/>
      </c>
      <c r="E482" t="str">
        <f t="shared" si="21"/>
        <v>Cumae is annexed by Oscans</v>
      </c>
      <c r="F482" t="str">
        <f t="shared" si="22"/>
        <v/>
      </c>
      <c r="H482" t="b">
        <f t="shared" si="23"/>
        <v>0</v>
      </c>
      <c r="J482" s="3" t="str">
        <v>421</v>
      </c>
      <c r="K482" s="4" t="str">
        <v>Cumae is annexed by Oscans</v>
      </c>
      <c r="P482" t="str">
        <v>423</v>
      </c>
      <c r="Q482" t="str">
        <v>Olynthus form the Chalcidian League independent of the Delian League</v>
      </c>
    </row>
    <row r="483" spans="1:17" x14ac:dyDescent="0.25">
      <c r="A483" t="s">
        <v>482</v>
      </c>
      <c r="B483" t="str" cm="1">
        <f t="array" ref="B483">INDEX(_xlfn.TEXTSPLIT(A483, " "), 1)</f>
        <v>421</v>
      </c>
      <c r="C483" t="str" cm="1">
        <f t="array" ref="C483">INDEX(_xlfn.TEXTSPLIT(B483, "-"), 1)</f>
        <v>421</v>
      </c>
      <c r="D483" t="str" cm="1">
        <f t="array" ref="D483">IFERROR(INDEX(_xlfn.TEXTSPLIT(B483, "-"), 2), "")</f>
        <v/>
      </c>
      <c r="E483" t="str">
        <f t="shared" si="21"/>
        <v>Athens abandons the Siege of Stagira</v>
      </c>
      <c r="F483" t="str">
        <f t="shared" si="22"/>
        <v/>
      </c>
      <c r="H483" t="b">
        <f t="shared" si="23"/>
        <v>0</v>
      </c>
      <c r="J483" s="3" t="str">
        <v>421</v>
      </c>
      <c r="K483" s="4" t="str">
        <v>Athens abandons the Siege of Stagira</v>
      </c>
      <c r="P483" t="str">
        <v>422</v>
      </c>
      <c r="Q483" t="str">
        <v>Stagira is besieged by Athens</v>
      </c>
    </row>
    <row r="484" spans="1:17" x14ac:dyDescent="0.25">
      <c r="A484" t="s">
        <v>483</v>
      </c>
      <c r="B484" t="str" cm="1">
        <f t="array" ref="B484">INDEX(_xlfn.TEXTSPLIT(A484, " "), 1)</f>
        <v>421</v>
      </c>
      <c r="C484" t="str" cm="1">
        <f t="array" ref="C484">INDEX(_xlfn.TEXTSPLIT(B484, "-"), 1)</f>
        <v>421</v>
      </c>
      <c r="D484" t="str" cm="1">
        <f t="array" ref="D484">IFERROR(INDEX(_xlfn.TEXTSPLIT(B484, "-"), 2), "")</f>
        <v/>
      </c>
      <c r="E484" t="str">
        <f t="shared" si="21"/>
        <v>Delphi declares independence from Phocis</v>
      </c>
      <c r="F484" t="str">
        <f t="shared" si="22"/>
        <v/>
      </c>
      <c r="H484" t="b">
        <f t="shared" si="23"/>
        <v>0</v>
      </c>
      <c r="J484" s="3" t="str">
        <v>421</v>
      </c>
      <c r="K484" s="4" t="str">
        <v>Delphi declares independence from Phocis</v>
      </c>
      <c r="P484" t="str">
        <v>422</v>
      </c>
      <c r="Q484" t="str">
        <v>Neapolis is annexed by Rome</v>
      </c>
    </row>
    <row r="485" spans="1:17" x14ac:dyDescent="0.25">
      <c r="A485" t="s">
        <v>484</v>
      </c>
      <c r="B485" t="str" cm="1">
        <f t="array" ref="B485">INDEX(_xlfn.TEXTSPLIT(A485, " "), 1)</f>
        <v>421</v>
      </c>
      <c r="C485" t="str" cm="1">
        <f t="array" ref="C485">INDEX(_xlfn.TEXTSPLIT(B485, "-"), 1)</f>
        <v>421</v>
      </c>
      <c r="D485" t="str" cm="1">
        <f t="array" ref="D485">IFERROR(INDEX(_xlfn.TEXTSPLIT(B485, "-"), 2), "")</f>
        <v/>
      </c>
      <c r="E485" t="str">
        <f t="shared" si="21"/>
        <v>Argulus, Apollonia, Potidaea, Akanthus, Stageira and others join the Chalcidian League</v>
      </c>
      <c r="F485" t="str">
        <f t="shared" si="22"/>
        <v/>
      </c>
      <c r="H485" t="b">
        <f t="shared" si="23"/>
        <v>0</v>
      </c>
      <c r="J485" s="3" t="str">
        <v>421</v>
      </c>
      <c r="K485" s="4" t="str">
        <v>Argulus, Apollonia, Potidaea, Akanthus, Stageira and others join the Chalcidian League</v>
      </c>
      <c r="P485" t="str">
        <v>422</v>
      </c>
      <c r="Q485" t="str">
        <v>Torone and Scione are impressed into the Delian League</v>
      </c>
    </row>
    <row r="486" spans="1:17" x14ac:dyDescent="0.25">
      <c r="A486" t="s">
        <v>485</v>
      </c>
      <c r="B486" t="str" cm="1">
        <f t="array" ref="B486">INDEX(_xlfn.TEXTSPLIT(A486, " "), 1)</f>
        <v>420</v>
      </c>
      <c r="C486" t="str" cm="1">
        <f t="array" ref="C486">INDEX(_xlfn.TEXTSPLIT(B486, "-"), 1)</f>
        <v>420</v>
      </c>
      <c r="D486" t="str" cm="1">
        <f t="array" ref="D486">IFERROR(INDEX(_xlfn.TEXTSPLIT(B486, "-"), 2), "")</f>
        <v/>
      </c>
      <c r="E486" t="str">
        <f t="shared" si="21"/>
        <v>Mantineia, Argos, Elis, Sicyon and Achaea betray Sparta and switch to the Delian League</v>
      </c>
      <c r="F486" t="str">
        <f t="shared" si="22"/>
        <v/>
      </c>
      <c r="H486" t="b">
        <f t="shared" si="23"/>
        <v>0</v>
      </c>
      <c r="J486" s="3" t="str">
        <v>420</v>
      </c>
      <c r="K486" s="4" t="str">
        <v>Mantineia, Argos, Elis, Sicyon and Achaea betray Sparta and switch to the Delian League</v>
      </c>
      <c r="P486" t="str">
        <v>422</v>
      </c>
      <c r="Q486" t="str">
        <v>Cleon meets Brasidas outside of Amphipolis, both are killed (Battle of Amphipolis).</v>
      </c>
    </row>
    <row r="487" spans="1:17" x14ac:dyDescent="0.25">
      <c r="A487" t="s">
        <v>486</v>
      </c>
      <c r="B487" t="str" cm="1">
        <f t="array" ref="B487">INDEX(_xlfn.TEXTSPLIT(A487, " "), 1)</f>
        <v>419</v>
      </c>
      <c r="C487" t="str" cm="1">
        <f t="array" ref="C487">INDEX(_xlfn.TEXTSPLIT(B487, "-"), 1)</f>
        <v>419</v>
      </c>
      <c r="D487" t="str" cm="1">
        <f t="array" ref="D487">IFERROR(INDEX(_xlfn.TEXTSPLIT(B487, "-"), 2), "")</f>
        <v/>
      </c>
      <c r="E487" t="str">
        <f t="shared" si="21"/>
        <v>Athens occupies Epidauros</v>
      </c>
      <c r="F487" t="str">
        <f t="shared" si="22"/>
        <v/>
      </c>
      <c r="H487" t="b">
        <f t="shared" si="23"/>
        <v>0</v>
      </c>
      <c r="J487" s="3" t="str">
        <v>419</v>
      </c>
      <c r="K487" s="4" t="str">
        <v>Athens occupies Epidauros</v>
      </c>
      <c r="P487" t="str">
        <v>422</v>
      </c>
      <c r="Q487" t="str">
        <v>Syracuse annexes the now weak Leontini</v>
      </c>
    </row>
    <row r="488" spans="1:17" x14ac:dyDescent="0.25">
      <c r="A488" t="s">
        <v>487</v>
      </c>
      <c r="B488" t="str" cm="1">
        <f t="array" ref="B488">INDEX(_xlfn.TEXTSPLIT(A488, " "), 1)</f>
        <v>419</v>
      </c>
      <c r="C488" t="str" cm="1">
        <f t="array" ref="C488">INDEX(_xlfn.TEXTSPLIT(B488, "-"), 1)</f>
        <v>419</v>
      </c>
      <c r="D488" t="str" cm="1">
        <f t="array" ref="D488">IFERROR(INDEX(_xlfn.TEXTSPLIT(B488, "-"), 2), "")</f>
        <v/>
      </c>
      <c r="E488" t="str">
        <f t="shared" si="21"/>
        <v>King Agis II of Sparta attacks Argos, makes treaty.</v>
      </c>
      <c r="F488" t="str">
        <f t="shared" si="22"/>
        <v/>
      </c>
      <c r="H488" t="b">
        <f t="shared" si="23"/>
        <v>0</v>
      </c>
      <c r="J488" s="3" t="str">
        <v>419</v>
      </c>
      <c r="K488" s="4" t="str">
        <v>King Agis II of Sparta attacks Argos, makes treaty.</v>
      </c>
      <c r="P488" t="str">
        <v>421</v>
      </c>
      <c r="Q488" t="str">
        <v>Peace of Nicias brings temporary end to war, but Alcibiades, a nephew of Pericles, makes anti-Sparta alliance.</v>
      </c>
    </row>
    <row r="489" spans="1:17" x14ac:dyDescent="0.25">
      <c r="A489" t="s">
        <v>488</v>
      </c>
      <c r="B489" t="str" cm="1">
        <f t="array" ref="B489">INDEX(_xlfn.TEXTSPLIT(A489, " "), 1)</f>
        <v>418</v>
      </c>
      <c r="C489" t="str" cm="1">
        <f t="array" ref="C489">INDEX(_xlfn.TEXTSPLIT(B489, "-"), 1)</f>
        <v>418</v>
      </c>
      <c r="D489" t="str" cm="1">
        <f t="array" ref="D489">IFERROR(INDEX(_xlfn.TEXTSPLIT(B489, "-"), 2), "")</f>
        <v/>
      </c>
      <c r="E489" t="str">
        <f t="shared" si="21"/>
        <v>Battle of Mantinea, greatest land battle of war, gives Sparta victory over Argos, which violated treaty, Alcibiades thrown out, alliance ended.</v>
      </c>
      <c r="F489" t="str">
        <f t="shared" si="22"/>
        <v/>
      </c>
      <c r="H489" t="b">
        <f t="shared" si="23"/>
        <v>0</v>
      </c>
      <c r="J489" s="3" t="str">
        <v>418</v>
      </c>
      <c r="K489" s="4" t="str">
        <v>Battle of Mantinea, greatest land battle of war, gives Sparta victory over Argos, which violated treaty, Alcibiades thrown out, alliance ended.</v>
      </c>
      <c r="P489" t="str">
        <v>421</v>
      </c>
      <c r="Q489" t="str">
        <v>Herakleion is impressed into the Delian League</v>
      </c>
    </row>
    <row r="490" spans="1:17" x14ac:dyDescent="0.25">
      <c r="A490" t="s">
        <v>489</v>
      </c>
      <c r="B490" t="str" cm="1">
        <f t="array" ref="B490">INDEX(_xlfn.TEXTSPLIT(A490, " "), 1)</f>
        <v>418</v>
      </c>
      <c r="C490" t="str" cm="1">
        <f t="array" ref="C490">INDEX(_xlfn.TEXTSPLIT(B490, "-"), 1)</f>
        <v>418</v>
      </c>
      <c r="D490" t="str" cm="1">
        <f t="array" ref="D490">IFERROR(INDEX(_xlfn.TEXTSPLIT(B490, "-"), 2), "")</f>
        <v/>
      </c>
      <c r="E490" t="str">
        <f t="shared" si="21"/>
        <v>Orchmenos is occupied by Argos</v>
      </c>
      <c r="F490" t="str">
        <f t="shared" si="22"/>
        <v/>
      </c>
      <c r="H490" t="b">
        <f t="shared" si="23"/>
        <v>0</v>
      </c>
      <c r="J490" s="3" t="str">
        <v>418</v>
      </c>
      <c r="K490" s="4" t="str">
        <v>Orchmenos is occupied by Argos</v>
      </c>
      <c r="P490" t="str">
        <v>421</v>
      </c>
      <c r="Q490" t="str">
        <v>Cumae is annexed by Oscans</v>
      </c>
    </row>
    <row r="491" spans="1:17" x14ac:dyDescent="0.25">
      <c r="A491" t="s">
        <v>490</v>
      </c>
      <c r="B491" t="str" cm="1">
        <f t="array" ref="B491">INDEX(_xlfn.TEXTSPLIT(A491, " "), 1)</f>
        <v>417</v>
      </c>
      <c r="C491" t="str" cm="1">
        <f t="array" ref="C491">INDEX(_xlfn.TEXTSPLIT(B491, "-"), 1)</f>
        <v>417</v>
      </c>
      <c r="D491" t="str" cm="1">
        <f t="array" ref="D491">IFERROR(INDEX(_xlfn.TEXTSPLIT(B491, "-"), 2), "")</f>
        <v/>
      </c>
      <c r="E491" t="str">
        <f t="shared" si="21"/>
        <v>Orchmenos is given to Boeotia</v>
      </c>
      <c r="F491" t="str">
        <f t="shared" si="22"/>
        <v/>
      </c>
      <c r="H491" t="b">
        <f t="shared" si="23"/>
        <v>0</v>
      </c>
      <c r="J491" s="3" t="str">
        <v>417</v>
      </c>
      <c r="K491" s="4" t="str">
        <v>Orchmenos is given to Boeotia</v>
      </c>
      <c r="P491" t="str">
        <v>421</v>
      </c>
      <c r="Q491" t="str">
        <v>Athens abandons the Siege of Stagira</v>
      </c>
    </row>
    <row r="492" spans="1:17" x14ac:dyDescent="0.25">
      <c r="A492" t="s">
        <v>491</v>
      </c>
      <c r="B492" t="str" cm="1">
        <f t="array" ref="B492">INDEX(_xlfn.TEXTSPLIT(A492, " "), 1)</f>
        <v>417</v>
      </c>
      <c r="C492" t="str" cm="1">
        <f t="array" ref="C492">INDEX(_xlfn.TEXTSPLIT(B492, "-"), 1)</f>
        <v>417</v>
      </c>
      <c r="D492" t="str" cm="1">
        <f t="array" ref="D492">IFERROR(INDEX(_xlfn.TEXTSPLIT(B492, "-"), 2), "")</f>
        <v/>
      </c>
      <c r="E492" t="str">
        <f t="shared" si="21"/>
        <v>Sicyon joins the Peloponnesian League</v>
      </c>
      <c r="F492" t="str">
        <f t="shared" si="22"/>
        <v/>
      </c>
      <c r="H492" t="b">
        <f t="shared" si="23"/>
        <v>0</v>
      </c>
      <c r="J492" s="3" t="str">
        <v>417</v>
      </c>
      <c r="K492" s="4" t="str">
        <v>Sicyon joins the Peloponnesian League</v>
      </c>
      <c r="P492" t="str">
        <v>421</v>
      </c>
      <c r="Q492" t="str">
        <v>Delphi declares independence from Phocis</v>
      </c>
    </row>
    <row r="493" spans="1:17" x14ac:dyDescent="0.25">
      <c r="A493" t="s">
        <v>492</v>
      </c>
      <c r="B493" t="str" cm="1">
        <f t="array" ref="B493">INDEX(_xlfn.TEXTSPLIT(A493, " "), 1)</f>
        <v>417</v>
      </c>
      <c r="C493" t="str" cm="1">
        <f t="array" ref="C493">INDEX(_xlfn.TEXTSPLIT(B493, "-"), 1)</f>
        <v>417</v>
      </c>
      <c r="D493" t="str" cm="1">
        <f t="array" ref="D493">IFERROR(INDEX(_xlfn.TEXTSPLIT(B493, "-"), 2), "")</f>
        <v/>
      </c>
      <c r="E493" t="str">
        <f t="shared" si="21"/>
        <v>Epidauros is occupied by Sparta</v>
      </c>
      <c r="F493" t="str">
        <f t="shared" si="22"/>
        <v/>
      </c>
      <c r="H493" t="b">
        <f t="shared" si="23"/>
        <v>0</v>
      </c>
      <c r="J493" s="3" t="str">
        <v>417</v>
      </c>
      <c r="K493" s="4" t="str">
        <v>Epidauros is occupied by Sparta</v>
      </c>
      <c r="P493" t="str">
        <v>421</v>
      </c>
      <c r="Q493" t="str">
        <v>Argulus, Apollonia, Potidaea, Akanthus, Stageira and others join the Chalcidian League</v>
      </c>
    </row>
    <row r="494" spans="1:17" x14ac:dyDescent="0.25">
      <c r="A494" t="s">
        <v>493</v>
      </c>
      <c r="B494" t="str" cm="1">
        <f t="array" ref="B494">INDEX(_xlfn.TEXTSPLIT(A494, " "), 1)</f>
        <v>416</v>
      </c>
      <c r="C494" t="str" cm="1">
        <f t="array" ref="C494">INDEX(_xlfn.TEXTSPLIT(B494, "-"), 1)</f>
        <v>416</v>
      </c>
      <c r="D494" t="str" cm="1">
        <f t="array" ref="D494">IFERROR(INDEX(_xlfn.TEXTSPLIT(B494, "-"), 2), "")</f>
        <v/>
      </c>
      <c r="E494" t="str">
        <f t="shared" si="21"/>
        <v>Melos is besieged by Athens</v>
      </c>
      <c r="F494" t="str">
        <f t="shared" si="22"/>
        <v/>
      </c>
      <c r="H494" t="b">
        <f t="shared" si="23"/>
        <v>0</v>
      </c>
      <c r="J494" s="3" t="str">
        <v>416</v>
      </c>
      <c r="K494" s="4" t="str">
        <v>Melos is besieged by Athens</v>
      </c>
      <c r="P494" t="str">
        <v>420</v>
      </c>
      <c r="Q494" t="str">
        <v>Mantineia, Argos, Elis, Sicyon and Achaea betray Sparta and switch to the Delian League</v>
      </c>
    </row>
    <row r="495" spans="1:17" x14ac:dyDescent="0.25">
      <c r="A495" t="s">
        <v>494</v>
      </c>
      <c r="B495" t="str" cm="1">
        <f t="array" ref="B495">INDEX(_xlfn.TEXTSPLIT(A495, " "), 1)</f>
        <v>416</v>
      </c>
      <c r="C495" t="str" cm="1">
        <f t="array" ref="C495">INDEX(_xlfn.TEXTSPLIT(B495, "-"), 1)</f>
        <v>416</v>
      </c>
      <c r="D495" t="str" cm="1">
        <f t="array" ref="D495">IFERROR(INDEX(_xlfn.TEXTSPLIT(B495, "-"), 2), "")</f>
        <v/>
      </c>
      <c r="E495" t="str">
        <f t="shared" si="21"/>
        <v>Alcibiades makes plans, is restored to power.</v>
      </c>
      <c r="F495" t="str">
        <f t="shared" si="22"/>
        <v/>
      </c>
      <c r="H495" t="b">
        <f t="shared" si="23"/>
        <v>0</v>
      </c>
      <c r="J495" s="3" t="str">
        <v>416</v>
      </c>
      <c r="K495" s="4" t="str">
        <v>Alcibiades makes plans, is restored to power.</v>
      </c>
      <c r="P495" t="str">
        <v>419</v>
      </c>
      <c r="Q495" t="str">
        <v>Athens occupies Epidauros</v>
      </c>
    </row>
    <row r="496" spans="1:17" x14ac:dyDescent="0.25">
      <c r="A496" t="s">
        <v>495</v>
      </c>
      <c r="B496" t="str" cm="1">
        <f t="array" ref="B496">INDEX(_xlfn.TEXTSPLIT(A496, " "), 1)</f>
        <v>416</v>
      </c>
      <c r="C496" t="str" cm="1">
        <f t="array" ref="C496">INDEX(_xlfn.TEXTSPLIT(B496, "-"), 1)</f>
        <v>416</v>
      </c>
      <c r="D496" t="str" cm="1">
        <f t="array" ref="D496">IFERROR(INDEX(_xlfn.TEXTSPLIT(B496, "-"), 2), "")</f>
        <v/>
      </c>
      <c r="E496" t="str">
        <f t="shared" si="21"/>
        <v>Selinus annexes Segesta's frontier provinces</v>
      </c>
      <c r="F496" t="str">
        <f t="shared" si="22"/>
        <v/>
      </c>
      <c r="H496" t="b">
        <f t="shared" si="23"/>
        <v>0</v>
      </c>
      <c r="J496" s="3" t="str">
        <v>416</v>
      </c>
      <c r="K496" s="4" t="str">
        <v>Selinus annexes Segesta's frontier provinces</v>
      </c>
      <c r="P496" t="str">
        <v>419</v>
      </c>
      <c r="Q496" t="str">
        <v>King Agis II of Sparta attacks Argos, makes treaty.</v>
      </c>
    </row>
    <row r="497" spans="1:17" x14ac:dyDescent="0.25">
      <c r="A497" t="s">
        <v>496</v>
      </c>
      <c r="B497" t="str" cm="1">
        <f t="array" ref="B497">INDEX(_xlfn.TEXTSPLIT(A497, " "), 1)</f>
        <v>416</v>
      </c>
      <c r="C497" t="str" cm="1">
        <f t="array" ref="C497">INDEX(_xlfn.TEXTSPLIT(B497, "-"), 1)</f>
        <v>416</v>
      </c>
      <c r="D497" t="str" cm="1">
        <f t="array" ref="D497">IFERROR(INDEX(_xlfn.TEXTSPLIT(B497, "-"), 2), "")</f>
        <v/>
      </c>
      <c r="E497" t="str">
        <f t="shared" si="21"/>
        <v>Massacre of the Melians.</v>
      </c>
      <c r="F497" t="str">
        <f t="shared" si="22"/>
        <v/>
      </c>
      <c r="H497" t="b">
        <f t="shared" si="23"/>
        <v>0</v>
      </c>
      <c r="J497" s="3" t="str">
        <v>416</v>
      </c>
      <c r="K497" s="4" t="str">
        <v>Massacre of the Melians.</v>
      </c>
      <c r="P497" t="str">
        <v>418</v>
      </c>
      <c r="Q497" t="str">
        <v>Battle of Mantinea, greatest land battle of war, gives Sparta victory over Argos, which violated treaty, Alcibiades thrown out, alliance ended.</v>
      </c>
    </row>
    <row r="498" spans="1:17" x14ac:dyDescent="0.25">
      <c r="A498" t="s">
        <v>497</v>
      </c>
      <c r="B498" t="str" cm="1">
        <f t="array" ref="B498">INDEX(_xlfn.TEXTSPLIT(A498, " "), 1)</f>
        <v>415</v>
      </c>
      <c r="C498" t="str" cm="1">
        <f t="array" ref="C498">INDEX(_xlfn.TEXTSPLIT(B498, "-"), 1)</f>
        <v>415</v>
      </c>
      <c r="D498" t="str" cm="1">
        <f t="array" ref="D498">IFERROR(INDEX(_xlfn.TEXTSPLIT(B498, "-"), 2), "")</f>
        <v/>
      </c>
      <c r="E498" t="str">
        <f t="shared" si="21"/>
        <v>Hermai statues are mutilated in Athens, Alcibiades accused, asks for inquiry, told to set sail for battle (Sicilian Expedition), is condemned to death in absentia, he defects to Sparta.</v>
      </c>
      <c r="F498" t="str">
        <f t="shared" si="22"/>
        <v/>
      </c>
      <c r="H498" t="b">
        <f t="shared" si="23"/>
        <v>0</v>
      </c>
      <c r="J498" s="3" t="str">
        <v>415</v>
      </c>
      <c r="K498" s="4" t="str">
        <v>Hermai statues are mutilated in Athens, Alcibiades accused, asks for inquiry, told to set sail for battle (Sicilian Expedition), is condemned to death in absentia, he defects to Sparta.</v>
      </c>
      <c r="P498" t="str">
        <v>418</v>
      </c>
      <c r="Q498" t="str">
        <v>Orchmenos is occupied by Argos</v>
      </c>
    </row>
    <row r="499" spans="1:17" x14ac:dyDescent="0.25">
      <c r="A499" t="s">
        <v>498</v>
      </c>
      <c r="B499" t="str" cm="1">
        <f t="array" ref="B499">INDEX(_xlfn.TEXTSPLIT(A499, " "), 1)</f>
        <v>415</v>
      </c>
      <c r="C499" t="str" cm="1">
        <f t="array" ref="C499">INDEX(_xlfn.TEXTSPLIT(B499, "-"), 1)</f>
        <v>415</v>
      </c>
      <c r="D499" t="str" cm="1">
        <f t="array" ref="D499">IFERROR(INDEX(_xlfn.TEXTSPLIT(B499, "-"), 2), "")</f>
        <v/>
      </c>
      <c r="E499" t="str">
        <f t="shared" si="21"/>
        <v>Many Syracusan cities rebel</v>
      </c>
      <c r="F499" t="str">
        <f t="shared" si="22"/>
        <v/>
      </c>
      <c r="H499" t="b">
        <f t="shared" si="23"/>
        <v>0</v>
      </c>
      <c r="J499" s="3" t="str">
        <v>415</v>
      </c>
      <c r="K499" s="4" t="str">
        <v>Many Syracusan cities rebel</v>
      </c>
      <c r="P499" t="str">
        <v>417</v>
      </c>
      <c r="Q499" t="str">
        <v>Orchmenos is given to Boeotia</v>
      </c>
    </row>
    <row r="500" spans="1:17" x14ac:dyDescent="0.25">
      <c r="A500" t="s">
        <v>499</v>
      </c>
      <c r="B500" t="str" cm="1">
        <f t="array" ref="B500">INDEX(_xlfn.TEXTSPLIT(A500, " "), 1)</f>
        <v>415-413</v>
      </c>
      <c r="C500" t="str" cm="1">
        <f t="array" ref="C500">INDEX(_xlfn.TEXTSPLIT(B500, "-"), 1)</f>
        <v>415</v>
      </c>
      <c r="D500" t="str" cm="1">
        <f t="array" ref="D500">IFERROR(INDEX(_xlfn.TEXTSPLIT(B500, "-"), 2), "")</f>
        <v>413</v>
      </c>
      <c r="E500" t="str">
        <f t="shared" si="21"/>
        <v>Siege of Syracuse --&gt;</v>
      </c>
      <c r="F500" t="str">
        <f t="shared" si="22"/>
        <v>--&gt; Siege of Syracuse</v>
      </c>
      <c r="H500" t="b">
        <f t="shared" si="23"/>
        <v>1</v>
      </c>
      <c r="J500" s="3" t="str">
        <v>415</v>
      </c>
      <c r="K500" s="4" t="str">
        <v>Siege of Syracuse --&gt;</v>
      </c>
      <c r="P500" t="str">
        <v>417</v>
      </c>
      <c r="Q500" t="str">
        <v>Sicyon joins the Peloponnesian League</v>
      </c>
    </row>
    <row r="501" spans="1:17" x14ac:dyDescent="0.25">
      <c r="A501" t="s">
        <v>500</v>
      </c>
      <c r="B501" t="str" cm="1">
        <f t="array" ref="B501">INDEX(_xlfn.TEXTSPLIT(A501, " "), 1)</f>
        <v>414-413</v>
      </c>
      <c r="C501" t="str" cm="1">
        <f t="array" ref="C501">INDEX(_xlfn.TEXTSPLIT(B501, "-"), 1)</f>
        <v>414</v>
      </c>
      <c r="D501" t="str" cm="1">
        <f t="array" ref="D501">IFERROR(INDEX(_xlfn.TEXTSPLIT(B501, "-"), 2), "")</f>
        <v>413</v>
      </c>
      <c r="E501" t="str">
        <f t="shared" si="21"/>
        <v>Metapontion allies with Athens --&gt;</v>
      </c>
      <c r="F501" t="str">
        <f t="shared" si="22"/>
        <v>--&gt; Metapontion allies with Athens</v>
      </c>
      <c r="H501" t="b">
        <f t="shared" si="23"/>
        <v>1</v>
      </c>
      <c r="J501" s="3" t="str">
        <v>414</v>
      </c>
      <c r="K501" s="4" t="str">
        <v>Metapontion allies with Athens --&gt;</v>
      </c>
      <c r="P501" t="str">
        <v>417</v>
      </c>
      <c r="Q501" t="str">
        <v>Epidauros is occupied by Sparta</v>
      </c>
    </row>
    <row r="502" spans="1:17" x14ac:dyDescent="0.25">
      <c r="A502" t="s">
        <v>501</v>
      </c>
      <c r="B502" t="str" cm="1">
        <f t="array" ref="B502">INDEX(_xlfn.TEXTSPLIT(A502, " "), 1)</f>
        <v>414</v>
      </c>
      <c r="C502" t="str" cm="1">
        <f t="array" ref="C502">INDEX(_xlfn.TEXTSPLIT(B502, "-"), 1)</f>
        <v>414</v>
      </c>
      <c r="D502" t="str" cm="1">
        <f t="array" ref="D502">IFERROR(INDEX(_xlfn.TEXTSPLIT(B502, "-"), 2), "")</f>
        <v/>
      </c>
      <c r="E502" t="str">
        <f t="shared" si="21"/>
        <v>Lamachus, Athenian commander killed at Syracuse.</v>
      </c>
      <c r="F502" t="str">
        <f t="shared" si="22"/>
        <v/>
      </c>
      <c r="H502" t="b">
        <f t="shared" si="23"/>
        <v>0</v>
      </c>
      <c r="J502" s="3" t="str">
        <v>414</v>
      </c>
      <c r="K502" s="4" t="str">
        <v>Lamachus, Athenian commander killed at Syracuse.</v>
      </c>
      <c r="P502" t="str">
        <v>416</v>
      </c>
      <c r="Q502" t="str">
        <v>Melos is besieged by Athens</v>
      </c>
    </row>
    <row r="503" spans="1:17" x14ac:dyDescent="0.25">
      <c r="A503" t="s">
        <v>502</v>
      </c>
      <c r="B503" t="str" cm="1">
        <f t="array" ref="B503">INDEX(_xlfn.TEXTSPLIT(A503, " "), 1)</f>
        <v>413</v>
      </c>
      <c r="C503" t="str" cm="1">
        <f t="array" ref="C503">INDEX(_xlfn.TEXTSPLIT(B503, "-"), 1)</f>
        <v>413</v>
      </c>
      <c r="D503" t="str" cm="1">
        <f t="array" ref="D503">IFERROR(INDEX(_xlfn.TEXTSPLIT(B503, "-"), 2), "")</f>
        <v/>
      </c>
      <c r="E503" t="str">
        <f t="shared" si="21"/>
        <v>Nicias and Demosthenes killed at Syracuse</v>
      </c>
      <c r="F503" t="str">
        <f t="shared" si="22"/>
        <v/>
      </c>
      <c r="H503" t="b">
        <f t="shared" si="23"/>
        <v>0</v>
      </c>
      <c r="J503" s="3" t="str">
        <v>413</v>
      </c>
      <c r="K503" s="4" t="str">
        <v>Nicias and Demosthenes killed at Syracuse</v>
      </c>
      <c r="P503" t="str">
        <v>416</v>
      </c>
      <c r="Q503" t="str">
        <v>Alcibiades makes plans, is restored to power.</v>
      </c>
    </row>
    <row r="504" spans="1:17" x14ac:dyDescent="0.25">
      <c r="A504" t="s">
        <v>503</v>
      </c>
      <c r="B504" t="str" cm="1">
        <f t="array" ref="B504">INDEX(_xlfn.TEXTSPLIT(A504, " "), 1)</f>
        <v>413</v>
      </c>
      <c r="C504" t="str" cm="1">
        <f t="array" ref="C504">INDEX(_xlfn.TEXTSPLIT(B504, "-"), 1)</f>
        <v>413</v>
      </c>
      <c r="D504" t="str" cm="1">
        <f t="array" ref="D504">IFERROR(INDEX(_xlfn.TEXTSPLIT(B504, "-"), 2), "")</f>
        <v/>
      </c>
      <c r="E504" t="str">
        <f t="shared" si="21"/>
        <v>Leontini and Kamarina are vassalized by Syracuse</v>
      </c>
      <c r="F504" t="str">
        <f t="shared" si="22"/>
        <v/>
      </c>
      <c r="H504" t="b">
        <f t="shared" si="23"/>
        <v>0</v>
      </c>
      <c r="J504" s="3" t="str">
        <v>413</v>
      </c>
      <c r="K504" s="4" t="str">
        <v>Leontini and Kamarina are vassalized by Syracuse</v>
      </c>
      <c r="P504" t="str">
        <v>416</v>
      </c>
      <c r="Q504" t="str">
        <v>Selinus annexes Segesta's frontier provinces</v>
      </c>
    </row>
    <row r="505" spans="1:17" x14ac:dyDescent="0.25">
      <c r="A505" t="s">
        <v>504</v>
      </c>
      <c r="B505" t="str" cm="1">
        <f t="array" ref="B505">INDEX(_xlfn.TEXTSPLIT(A505, " "), 1)</f>
        <v>413</v>
      </c>
      <c r="C505" t="str" cm="1">
        <f t="array" ref="C505">INDEX(_xlfn.TEXTSPLIT(B505, "-"), 1)</f>
        <v>413</v>
      </c>
      <c r="D505" t="str" cm="1">
        <f t="array" ref="D505">IFERROR(INDEX(_xlfn.TEXTSPLIT(B505, "-"), 2), "")</f>
        <v/>
      </c>
      <c r="E505" t="str">
        <f t="shared" si="21"/>
        <v>Herakleion is annexed by Makedonia</v>
      </c>
      <c r="F505" t="str">
        <f t="shared" si="22"/>
        <v/>
      </c>
      <c r="H505" t="b">
        <f t="shared" si="23"/>
        <v>0</v>
      </c>
      <c r="J505" s="3" t="str">
        <v>413</v>
      </c>
      <c r="K505" s="4" t="str">
        <v>Herakleion is annexed by Makedonia</v>
      </c>
      <c r="P505" t="str">
        <v>416</v>
      </c>
      <c r="Q505" t="str">
        <v>Massacre of the Melians.</v>
      </c>
    </row>
    <row r="506" spans="1:17" x14ac:dyDescent="0.25">
      <c r="A506" t="s">
        <v>505</v>
      </c>
      <c r="B506" t="str" cm="1">
        <f t="array" ref="B506">INDEX(_xlfn.TEXTSPLIT(A506, " "), 1)</f>
        <v>413</v>
      </c>
      <c r="C506" t="str" cm="1">
        <f t="array" ref="C506">INDEX(_xlfn.TEXTSPLIT(B506, "-"), 1)</f>
        <v>413</v>
      </c>
      <c r="D506" t="str" cm="1">
        <f t="array" ref="D506">IFERROR(INDEX(_xlfn.TEXTSPLIT(B506, "-"), 2), "")</f>
        <v/>
      </c>
      <c r="E506" t="str">
        <f t="shared" si="21"/>
        <v>Miletus and Khios betray Athens and join the Peloponnesian League</v>
      </c>
      <c r="F506" t="str">
        <f t="shared" si="22"/>
        <v/>
      </c>
      <c r="H506" t="b">
        <f t="shared" si="23"/>
        <v>0</v>
      </c>
      <c r="J506" s="3" t="str">
        <v>413</v>
      </c>
      <c r="K506" s="4" t="str">
        <v>Miletus and Khios betray Athens and join the Peloponnesian League</v>
      </c>
      <c r="P506" t="str">
        <v>415</v>
      </c>
      <c r="Q506" t="str">
        <v>Hermai statues are mutilated in Athens, Alcibiades accused, asks for inquiry, told to set sail for battle (Sicilian Expedition), is condemned to death in absentia, he defects to Sparta.</v>
      </c>
    </row>
    <row r="507" spans="1:17" x14ac:dyDescent="0.25">
      <c r="A507" t="s">
        <v>506</v>
      </c>
      <c r="B507" t="str" cm="1">
        <f t="array" ref="B507">INDEX(_xlfn.TEXTSPLIT(A507, " "), 1)</f>
        <v>412</v>
      </c>
      <c r="C507" t="str" cm="1">
        <f t="array" ref="C507">INDEX(_xlfn.TEXTSPLIT(B507, "-"), 1)</f>
        <v>412</v>
      </c>
      <c r="D507" t="str" cm="1">
        <f t="array" ref="D507">IFERROR(INDEX(_xlfn.TEXTSPLIT(B507, "-"), 2), "")</f>
        <v/>
      </c>
      <c r="E507" t="str">
        <f t="shared" si="21"/>
        <v>Alcibiades is expelled from Sparta, conspires to come back to Athens.</v>
      </c>
      <c r="F507" t="str">
        <f t="shared" si="22"/>
        <v/>
      </c>
      <c r="H507" t="b">
        <f t="shared" si="23"/>
        <v>0</v>
      </c>
      <c r="J507" s="3" t="str">
        <v>412</v>
      </c>
      <c r="K507" s="4" t="str">
        <v>Alcibiades is expelled from Sparta, conspires to come back to Athens.</v>
      </c>
      <c r="P507" t="str">
        <v>415</v>
      </c>
      <c r="Q507" t="str">
        <v>Many Syracusan cities rebel</v>
      </c>
    </row>
    <row r="508" spans="1:17" x14ac:dyDescent="0.25">
      <c r="A508" t="s">
        <v>507</v>
      </c>
      <c r="B508" t="str" cm="1">
        <f t="array" ref="B508">INDEX(_xlfn.TEXTSPLIT(A508, " "), 1)</f>
        <v>412</v>
      </c>
      <c r="C508" t="str" cm="1">
        <f t="array" ref="C508">INDEX(_xlfn.TEXTSPLIT(B508, "-"), 1)</f>
        <v>412</v>
      </c>
      <c r="D508" t="str" cm="1">
        <f t="array" ref="D508">IFERROR(INDEX(_xlfn.TEXTSPLIT(B508, "-"), 2), "")</f>
        <v/>
      </c>
      <c r="E508" t="str">
        <f t="shared" si="21"/>
        <v>Methymna is occupied by Sparta</v>
      </c>
      <c r="F508" t="str">
        <f t="shared" si="22"/>
        <v/>
      </c>
      <c r="H508" t="b">
        <f t="shared" si="23"/>
        <v>0</v>
      </c>
      <c r="J508" s="3" t="str">
        <v>412</v>
      </c>
      <c r="K508" s="4" t="str">
        <v>Methymna is occupied by Sparta</v>
      </c>
      <c r="P508" t="str">
        <v>415</v>
      </c>
      <c r="Q508" t="str">
        <v>Siege of Syracuse --&gt;</v>
      </c>
    </row>
    <row r="509" spans="1:17" x14ac:dyDescent="0.25">
      <c r="A509" t="s">
        <v>508</v>
      </c>
      <c r="B509" t="str" cm="1">
        <f t="array" ref="B509">INDEX(_xlfn.TEXTSPLIT(A509, " "), 1)</f>
        <v>412</v>
      </c>
      <c r="C509" t="str" cm="1">
        <f t="array" ref="C509">INDEX(_xlfn.TEXTSPLIT(B509, "-"), 1)</f>
        <v>412</v>
      </c>
      <c r="D509" t="str" cm="1">
        <f t="array" ref="D509">IFERROR(INDEX(_xlfn.TEXTSPLIT(B509, "-"), 2), "")</f>
        <v/>
      </c>
      <c r="E509" t="str">
        <f t="shared" si="21"/>
        <v>Klazomenai and Kyzikus betray Athens and join the Peloponnesian League</v>
      </c>
      <c r="F509" t="str">
        <f t="shared" si="22"/>
        <v/>
      </c>
      <c r="H509" t="b">
        <f t="shared" si="23"/>
        <v>0</v>
      </c>
      <c r="J509" s="3" t="str">
        <v>412</v>
      </c>
      <c r="K509" s="4" t="str">
        <v>Klazomenai and Kyzikus betray Athens and join the Peloponnesian League</v>
      </c>
      <c r="P509" t="str">
        <v>414</v>
      </c>
      <c r="Q509" t="str">
        <v>Metapontion allies with Athens --&gt;</v>
      </c>
    </row>
    <row r="510" spans="1:17" x14ac:dyDescent="0.25">
      <c r="A510" t="s">
        <v>509</v>
      </c>
      <c r="B510" t="str" cm="1">
        <f t="array" ref="B510">INDEX(_xlfn.TEXTSPLIT(A510, " "), 1)</f>
        <v>412</v>
      </c>
      <c r="C510" t="str" cm="1">
        <f t="array" ref="C510">INDEX(_xlfn.TEXTSPLIT(B510, "-"), 1)</f>
        <v>412</v>
      </c>
      <c r="D510" t="str" cm="1">
        <f t="array" ref="D510">IFERROR(INDEX(_xlfn.TEXTSPLIT(B510, "-"), 2), "")</f>
        <v/>
      </c>
      <c r="E510" t="str">
        <f t="shared" si="21"/>
        <v>Chios is sieged by Athens</v>
      </c>
      <c r="F510" t="str">
        <f t="shared" si="22"/>
        <v/>
      </c>
      <c r="H510" t="b">
        <f t="shared" si="23"/>
        <v>0</v>
      </c>
      <c r="J510" s="3" t="str">
        <v>412</v>
      </c>
      <c r="K510" s="4" t="str">
        <v>Chios is sieged by Athens</v>
      </c>
      <c r="P510" t="str">
        <v>414</v>
      </c>
      <c r="Q510" t="str">
        <v>Lamachus, Athenian commander killed at Syracuse.</v>
      </c>
    </row>
    <row r="511" spans="1:17" x14ac:dyDescent="0.25">
      <c r="A511" t="s">
        <v>510</v>
      </c>
      <c r="B511" t="str" cm="1">
        <f t="array" ref="B511">INDEX(_xlfn.TEXTSPLIT(A511, " "), 1)</f>
        <v>412</v>
      </c>
      <c r="C511" t="str" cm="1">
        <f t="array" ref="C511">INDEX(_xlfn.TEXTSPLIT(B511, "-"), 1)</f>
        <v>412</v>
      </c>
      <c r="D511" t="str" cm="1">
        <f t="array" ref="D511">IFERROR(INDEX(_xlfn.TEXTSPLIT(B511, "-"), 2), "")</f>
        <v/>
      </c>
      <c r="E511" t="str">
        <f t="shared" si="21"/>
        <v>Aygrion dies and is succeeded by Aygris</v>
      </c>
      <c r="F511" t="str">
        <f t="shared" si="22"/>
        <v/>
      </c>
      <c r="H511" t="b">
        <f t="shared" si="23"/>
        <v>0</v>
      </c>
      <c r="J511" s="3" t="str">
        <v>412</v>
      </c>
      <c r="K511" s="4" t="str">
        <v>Aygrion dies and is succeeded by Aygris</v>
      </c>
      <c r="P511" t="str">
        <v>413</v>
      </c>
      <c r="Q511" t="str">
        <v>Nicias and Demosthenes killed at Syracuse</v>
      </c>
    </row>
    <row r="512" spans="1:17" x14ac:dyDescent="0.25">
      <c r="A512" t="s">
        <v>511</v>
      </c>
      <c r="B512" t="str" cm="1">
        <f t="array" ref="B512">INDEX(_xlfn.TEXTSPLIT(A512, " "), 1)</f>
        <v>411</v>
      </c>
      <c r="C512" t="str" cm="1">
        <f t="array" ref="C512">INDEX(_xlfn.TEXTSPLIT(B512, "-"), 1)</f>
        <v>411</v>
      </c>
      <c r="D512" t="str" cm="1">
        <f t="array" ref="D512">IFERROR(INDEX(_xlfn.TEXTSPLIT(B512, "-"), 2), "")</f>
        <v/>
      </c>
      <c r="E512" t="str">
        <f t="shared" si="21"/>
        <v>Sparta allies with Persia</v>
      </c>
      <c r="F512" t="str">
        <f t="shared" si="22"/>
        <v/>
      </c>
      <c r="H512" t="b">
        <f t="shared" si="23"/>
        <v>0</v>
      </c>
      <c r="J512" s="3" t="str">
        <v>411</v>
      </c>
      <c r="K512" s="4" t="str">
        <v>Sparta allies with Persia</v>
      </c>
      <c r="P512" t="str">
        <v>413</v>
      </c>
      <c r="Q512" t="str">
        <v>Leontini and Kamarina are vassalized by Syracuse</v>
      </c>
    </row>
    <row r="513" spans="1:17" x14ac:dyDescent="0.25">
      <c r="A513" t="s">
        <v>512</v>
      </c>
      <c r="B513" t="str" cm="1">
        <f t="array" ref="B513">INDEX(_xlfn.TEXTSPLIT(A513, " "), 1)</f>
        <v>411</v>
      </c>
      <c r="C513" t="str" cm="1">
        <f t="array" ref="C513">INDEX(_xlfn.TEXTSPLIT(B513, "-"), 1)</f>
        <v>411</v>
      </c>
      <c r="D513" t="str" cm="1">
        <f t="array" ref="D513">IFERROR(INDEX(_xlfn.TEXTSPLIT(B513, "-"), 2), "")</f>
        <v/>
      </c>
      <c r="E513" t="str">
        <f t="shared" si="21"/>
        <v>Aspendos is annexed by Persia</v>
      </c>
      <c r="F513" t="str">
        <f t="shared" si="22"/>
        <v/>
      </c>
      <c r="H513" t="b">
        <f t="shared" si="23"/>
        <v>0</v>
      </c>
      <c r="J513" s="3" t="str">
        <v>411</v>
      </c>
      <c r="K513" s="4" t="str">
        <v>Aspendos is annexed by Persia</v>
      </c>
      <c r="P513" t="str">
        <v>413</v>
      </c>
      <c r="Q513" t="str">
        <v>Herakleion is annexed by Makedonia</v>
      </c>
    </row>
    <row r="514" spans="1:17" x14ac:dyDescent="0.25">
      <c r="A514" t="s">
        <v>513</v>
      </c>
      <c r="B514" t="str" cm="1">
        <f t="array" ref="B514">INDEX(_xlfn.TEXTSPLIT(A514, " "), 1)</f>
        <v>411</v>
      </c>
      <c r="C514" t="str" cm="1">
        <f t="array" ref="C514">INDEX(_xlfn.TEXTSPLIT(B514, "-"), 1)</f>
        <v>411</v>
      </c>
      <c r="D514" t="str" cm="1">
        <f t="array" ref="D514">IFERROR(INDEX(_xlfn.TEXTSPLIT(B514, "-"), 2), "")</f>
        <v/>
      </c>
      <c r="E514" t="str">
        <f t="shared" si="21"/>
        <v>Kyzikus and Klazomenai are impressed into the Delian League</v>
      </c>
      <c r="F514" t="str">
        <f t="shared" si="22"/>
        <v/>
      </c>
      <c r="H514" t="b">
        <f t="shared" si="23"/>
        <v>0</v>
      </c>
      <c r="J514" s="3" t="str">
        <v>411</v>
      </c>
      <c r="K514" s="4" t="str">
        <v>Kyzikus and Klazomenai are impressed into the Delian League</v>
      </c>
      <c r="P514" t="str">
        <v>413</v>
      </c>
      <c r="Q514" t="str">
        <v>Miletus and Khios betray Athens and join the Peloponnesian League</v>
      </c>
    </row>
    <row r="515" spans="1:17" x14ac:dyDescent="0.25">
      <c r="A515" t="s">
        <v>514</v>
      </c>
      <c r="B515" t="str" cm="1">
        <f t="array" ref="B515">INDEX(_xlfn.TEXTSPLIT(A515, " "), 1)</f>
        <v>411</v>
      </c>
      <c r="C515" t="str" cm="1">
        <f t="array" ref="C515">INDEX(_xlfn.TEXTSPLIT(B515, "-"), 1)</f>
        <v>411</v>
      </c>
      <c r="D515" t="str" cm="1">
        <f t="array" ref="D515">IFERROR(INDEX(_xlfn.TEXTSPLIT(B515, "-"), 2), "")</f>
        <v/>
      </c>
      <c r="E515" t="str">
        <f t="shared" ref="E515:E578" si="24">_xlfn.LET(
  _xlpm.szoveg,
  MID(A515, SEARCH(" ", A515) + 1, LEN(A515)),
  IF(ISNUMBER(SEARCH("-",B515)), _xlpm.szoveg &amp; " --&gt;", _xlpm.szoveg)
)</f>
        <v>Oropos is occupied by Boeotia</v>
      </c>
      <c r="F515" t="str">
        <f t="shared" ref="F515:F578" si="25">_xlfn.LET(
  _xlpm.szoveg,
  MID(A515, SEARCH(" ", A515) + 1, LEN(A515)),
  IF(ISNUMBER(SEARCH("-",B515)), "--&gt; " &amp; _xlpm.szoveg, "")
)</f>
        <v/>
      </c>
      <c r="H515" t="b">
        <f t="shared" ref="H515:H578" si="26">ISNUMBER(SEARCH("-", B515))</f>
        <v>0</v>
      </c>
      <c r="J515" s="3" t="str">
        <v>411</v>
      </c>
      <c r="K515" s="4" t="str">
        <v>Oropos is occupied by Boeotia</v>
      </c>
      <c r="P515" t="str">
        <v>413</v>
      </c>
      <c r="Q515" t="str">
        <v>--&gt; Siege of Syracuse</v>
      </c>
    </row>
    <row r="516" spans="1:17" x14ac:dyDescent="0.25">
      <c r="A516" t="s">
        <v>515</v>
      </c>
      <c r="B516" t="str" cm="1">
        <f t="array" ref="B516">INDEX(_xlfn.TEXTSPLIT(A516, " "), 1)</f>
        <v>411</v>
      </c>
      <c r="C516" t="str" cm="1">
        <f t="array" ref="C516">INDEX(_xlfn.TEXTSPLIT(B516, "-"), 1)</f>
        <v>411</v>
      </c>
      <c r="D516" t="str" cm="1">
        <f t="array" ref="D516">IFERROR(INDEX(_xlfn.TEXTSPLIT(B516, "-"), 2), "")</f>
        <v/>
      </c>
      <c r="E516" t="str">
        <f t="shared" si="24"/>
        <v>Illios is annexes by Lampsacus</v>
      </c>
      <c r="F516" t="str">
        <f t="shared" si="25"/>
        <v/>
      </c>
      <c r="H516" t="b">
        <f t="shared" si="26"/>
        <v>0</v>
      </c>
      <c r="J516" s="3" t="str">
        <v>411</v>
      </c>
      <c r="K516" s="4" t="str">
        <v>Illios is annexes by Lampsacus</v>
      </c>
      <c r="P516" t="str">
        <v>413</v>
      </c>
      <c r="Q516" t="str">
        <v>--&gt; Metapontion allies with Athens</v>
      </c>
    </row>
    <row r="517" spans="1:17" x14ac:dyDescent="0.25">
      <c r="A517" t="s">
        <v>516</v>
      </c>
      <c r="B517" t="str" cm="1">
        <f t="array" ref="B517">INDEX(_xlfn.TEXTSPLIT(A517, " "), 1)</f>
        <v>411</v>
      </c>
      <c r="C517" t="str" cm="1">
        <f t="array" ref="C517">INDEX(_xlfn.TEXTSPLIT(B517, "-"), 1)</f>
        <v>411</v>
      </c>
      <c r="D517" t="str" cm="1">
        <f t="array" ref="D517">IFERROR(INDEX(_xlfn.TEXTSPLIT(B517, "-"), 2), "")</f>
        <v/>
      </c>
      <c r="E517" t="str">
        <f t="shared" si="24"/>
        <v>Athens abandons the Siege of Chios</v>
      </c>
      <c r="F517" t="str">
        <f t="shared" si="25"/>
        <v/>
      </c>
      <c r="H517" t="b">
        <f t="shared" si="26"/>
        <v>0</v>
      </c>
      <c r="J517" s="3" t="str">
        <v>411</v>
      </c>
      <c r="K517" s="4" t="str">
        <v>Athens abandons the Siege of Chios</v>
      </c>
      <c r="P517" t="str">
        <v>412</v>
      </c>
      <c r="Q517" t="str">
        <v>Alcibiades is expelled from Sparta, conspires to come back to Athens.</v>
      </c>
    </row>
    <row r="518" spans="1:17" x14ac:dyDescent="0.25">
      <c r="A518" t="s">
        <v>517</v>
      </c>
      <c r="B518" t="str" cm="1">
        <f t="array" ref="B518">INDEX(_xlfn.TEXTSPLIT(A518, " "), 1)</f>
        <v>411</v>
      </c>
      <c r="C518" t="str" cm="1">
        <f t="array" ref="C518">INDEX(_xlfn.TEXTSPLIT(B518, "-"), 1)</f>
        <v>411</v>
      </c>
      <c r="D518" t="str" cm="1">
        <f t="array" ref="D518">IFERROR(INDEX(_xlfn.TEXTSPLIT(B518, "-"), 2), "")</f>
        <v/>
      </c>
      <c r="E518" t="str">
        <f t="shared" si="24"/>
        <v>Sparta leaves Methymna</v>
      </c>
      <c r="F518" t="str">
        <f t="shared" si="25"/>
        <v/>
      </c>
      <c r="H518" t="b">
        <f t="shared" si="26"/>
        <v>0</v>
      </c>
      <c r="J518" s="3" t="str">
        <v>411</v>
      </c>
      <c r="K518" s="4" t="str">
        <v>Sparta leaves Methymna</v>
      </c>
      <c r="P518" t="str">
        <v>412</v>
      </c>
      <c r="Q518" t="str">
        <v>Methymna is occupied by Sparta</v>
      </c>
    </row>
    <row r="519" spans="1:17" x14ac:dyDescent="0.25">
      <c r="A519" t="s">
        <v>518</v>
      </c>
      <c r="B519" t="str" cm="1">
        <f t="array" ref="B519">INDEX(_xlfn.TEXTSPLIT(A519, " "), 1)</f>
        <v>411</v>
      </c>
      <c r="C519" t="str" cm="1">
        <f t="array" ref="C519">INDEX(_xlfn.TEXTSPLIT(B519, "-"), 1)</f>
        <v>411</v>
      </c>
      <c r="D519" t="str" cm="1">
        <f t="array" ref="D519">IFERROR(INDEX(_xlfn.TEXTSPLIT(B519, "-"), 2), "")</f>
        <v/>
      </c>
      <c r="E519" t="str">
        <f t="shared" si="24"/>
        <v>Euboea, Byzantium, Abydos, Andros, Antandrus, Lampsacus, Chalcedon and Rodos betray Athens and join the Peloponnesian League</v>
      </c>
      <c r="F519" t="str">
        <f t="shared" si="25"/>
        <v/>
      </c>
      <c r="H519" t="b">
        <f t="shared" si="26"/>
        <v>0</v>
      </c>
      <c r="J519" s="3" t="str">
        <v>411</v>
      </c>
      <c r="K519" s="4" t="str">
        <v>Euboea, Byzantium, Abydos, Andros, Antandrus, Lampsacus, Chalcedon and Rodos betray Athens and join the Peloponnesian League</v>
      </c>
      <c r="P519" t="str">
        <v>412</v>
      </c>
      <c r="Q519" t="str">
        <v>Klazomenai and Kyzikus betray Athens and join the Peloponnesian League</v>
      </c>
    </row>
    <row r="520" spans="1:17" x14ac:dyDescent="0.25">
      <c r="A520" t="s">
        <v>519</v>
      </c>
      <c r="B520" t="str" cm="1">
        <f t="array" ref="B520">INDEX(_xlfn.TEXTSPLIT(A520, " "), 1)</f>
        <v>411</v>
      </c>
      <c r="C520" t="str" cm="1">
        <f t="array" ref="C520">INDEX(_xlfn.TEXTSPLIT(B520, "-"), 1)</f>
        <v>411</v>
      </c>
      <c r="D520" t="str" cm="1">
        <f t="array" ref="D520">IFERROR(INDEX(_xlfn.TEXTSPLIT(B520, "-"), 2), "")</f>
        <v/>
      </c>
      <c r="E520" t="str">
        <f t="shared" si="24"/>
        <v>Abydos is overthrown by Dercylidas</v>
      </c>
      <c r="F520" t="str">
        <f t="shared" si="25"/>
        <v/>
      </c>
      <c r="H520" t="b">
        <f t="shared" si="26"/>
        <v>0</v>
      </c>
      <c r="J520" s="3" t="str">
        <v>411</v>
      </c>
      <c r="K520" s="4" t="str">
        <v>Abydos is overthrown by Dercylidas</v>
      </c>
      <c r="P520" t="str">
        <v>412</v>
      </c>
      <c r="Q520" t="str">
        <v>Chios is sieged by Athens</v>
      </c>
    </row>
    <row r="521" spans="1:17" x14ac:dyDescent="0.25">
      <c r="A521" t="s">
        <v>520</v>
      </c>
      <c r="B521" t="str" cm="1">
        <f t="array" ref="B521">INDEX(_xlfn.TEXTSPLIT(A521, " "), 1)</f>
        <v>411</v>
      </c>
      <c r="C521" t="str" cm="1">
        <f t="array" ref="C521">INDEX(_xlfn.TEXTSPLIT(B521, "-"), 1)</f>
        <v>411</v>
      </c>
      <c r="D521" t="str" cm="1">
        <f t="array" ref="D521">IFERROR(INDEX(_xlfn.TEXTSPLIT(B521, "-"), 2), "")</f>
        <v/>
      </c>
      <c r="E521" t="str">
        <f t="shared" si="24"/>
        <v>Selinus attacks Segesta once again and aggravates Carthage</v>
      </c>
      <c r="F521" t="str">
        <f t="shared" si="25"/>
        <v/>
      </c>
      <c r="H521" t="b">
        <f t="shared" si="26"/>
        <v>0</v>
      </c>
      <c r="J521" s="3" t="str">
        <v>411</v>
      </c>
      <c r="K521" s="4" t="str">
        <v>Selinus attacks Segesta once again and aggravates Carthage</v>
      </c>
      <c r="P521" t="str">
        <v>412</v>
      </c>
      <c r="Q521" t="str">
        <v>Aygrion dies and is succeeded by Aygris</v>
      </c>
    </row>
    <row r="522" spans="1:17" x14ac:dyDescent="0.25">
      <c r="A522" t="s">
        <v>521</v>
      </c>
      <c r="B522" t="str" cm="1">
        <f t="array" ref="B522">INDEX(_xlfn.TEXTSPLIT(A522, " "), 1)</f>
        <v>411</v>
      </c>
      <c r="C522" t="str" cm="1">
        <f t="array" ref="C522">INDEX(_xlfn.TEXTSPLIT(B522, "-"), 1)</f>
        <v>411</v>
      </c>
      <c r="D522" t="str" cm="1">
        <f t="array" ref="D522">IFERROR(INDEX(_xlfn.TEXTSPLIT(B522, "-"), 2), "")</f>
        <v/>
      </c>
      <c r="E522" t="str">
        <f t="shared" si="24"/>
        <v>Athens is overthrown by the Four Hundred</v>
      </c>
      <c r="F522" t="str">
        <f t="shared" si="25"/>
        <v/>
      </c>
      <c r="H522" t="b">
        <f t="shared" si="26"/>
        <v>0</v>
      </c>
      <c r="J522" s="3" t="str">
        <v>411</v>
      </c>
      <c r="K522" s="4" t="str">
        <v>Athens is overthrown by the Four Hundred</v>
      </c>
      <c r="P522" t="str">
        <v>411</v>
      </c>
      <c r="Q522" t="str">
        <v>Sparta allies with Persia</v>
      </c>
    </row>
    <row r="523" spans="1:17" x14ac:dyDescent="0.25">
      <c r="A523" t="s">
        <v>522</v>
      </c>
      <c r="B523" t="str" cm="1">
        <f t="array" ref="B523">INDEX(_xlfn.TEXTSPLIT(A523, " "), 1)</f>
        <v>410</v>
      </c>
      <c r="C523" t="str" cm="1">
        <f t="array" ref="C523">INDEX(_xlfn.TEXTSPLIT(B523, "-"), 1)</f>
        <v>410</v>
      </c>
      <c r="D523" t="str" cm="1">
        <f t="array" ref="D523">IFERROR(INDEX(_xlfn.TEXTSPLIT(B523, "-"), 2), "")</f>
        <v/>
      </c>
      <c r="E523" t="str">
        <f t="shared" si="24"/>
        <v>After several successes, Athenian demagogue Cleophon rejects Spartan peace offers.</v>
      </c>
      <c r="F523" t="str">
        <f t="shared" si="25"/>
        <v/>
      </c>
      <c r="H523" t="b">
        <f t="shared" si="26"/>
        <v>0</v>
      </c>
      <c r="J523" s="3" t="str">
        <v>410</v>
      </c>
      <c r="K523" s="4" t="str">
        <v>After several successes, Athenian demagogue Cleophon rejects Spartan peace offers.</v>
      </c>
      <c r="P523" t="str">
        <v>411</v>
      </c>
      <c r="Q523" t="str">
        <v>Aspendos is annexed by Persia</v>
      </c>
    </row>
    <row r="524" spans="1:17" x14ac:dyDescent="0.25">
      <c r="A524" t="s">
        <v>523</v>
      </c>
      <c r="B524" t="str" cm="1">
        <f t="array" ref="B524">INDEX(_xlfn.TEXTSPLIT(A524, " "), 1)</f>
        <v>410</v>
      </c>
      <c r="C524" t="str" cm="1">
        <f t="array" ref="C524">INDEX(_xlfn.TEXTSPLIT(B524, "-"), 1)</f>
        <v>410</v>
      </c>
      <c r="D524" t="str" cm="1">
        <f t="array" ref="D524">IFERROR(INDEX(_xlfn.TEXTSPLIT(B524, "-"), 2), "")</f>
        <v/>
      </c>
      <c r="E524" t="str">
        <f t="shared" si="24"/>
        <v>Segesta is annexed by Carthage</v>
      </c>
      <c r="F524" t="str">
        <f t="shared" si="25"/>
        <v/>
      </c>
      <c r="H524" t="b">
        <f t="shared" si="26"/>
        <v>0</v>
      </c>
      <c r="J524" s="3" t="str">
        <v>410</v>
      </c>
      <c r="K524" s="4" t="str">
        <v>Segesta is annexed by Carthage</v>
      </c>
      <c r="P524" t="str">
        <v>411</v>
      </c>
      <c r="Q524" t="str">
        <v>Kyzikus and Klazomenai are impressed into the Delian League</v>
      </c>
    </row>
    <row r="525" spans="1:17" x14ac:dyDescent="0.25">
      <c r="A525" t="s">
        <v>524</v>
      </c>
      <c r="B525" t="str" cm="1">
        <f t="array" ref="B525">INDEX(_xlfn.TEXTSPLIT(A525, " "), 1)</f>
        <v>410</v>
      </c>
      <c r="C525" t="str" cm="1">
        <f t="array" ref="C525">INDEX(_xlfn.TEXTSPLIT(B525, "-"), 1)</f>
        <v>410</v>
      </c>
      <c r="D525" t="str" cm="1">
        <f t="array" ref="D525">IFERROR(INDEX(_xlfn.TEXTSPLIT(B525, "-"), 2), "")</f>
        <v/>
      </c>
      <c r="E525" t="str">
        <f t="shared" si="24"/>
        <v>Four Hundred are overthrown by Athens</v>
      </c>
      <c r="F525" t="str">
        <f t="shared" si="25"/>
        <v/>
      </c>
      <c r="H525" t="b">
        <f t="shared" si="26"/>
        <v>0</v>
      </c>
      <c r="J525" s="3" t="str">
        <v>410</v>
      </c>
      <c r="K525" s="4" t="str">
        <v>Four Hundred are overthrown by Athens</v>
      </c>
      <c r="P525" t="str">
        <v>411</v>
      </c>
      <c r="Q525" t="str">
        <v>Oropos is occupied by Boeotia</v>
      </c>
    </row>
    <row r="526" spans="1:17" x14ac:dyDescent="0.25">
      <c r="A526" t="s">
        <v>525</v>
      </c>
      <c r="B526" t="str" cm="1">
        <f t="array" ref="B526">INDEX(_xlfn.TEXTSPLIT(A526, " "), 1)</f>
        <v>409</v>
      </c>
      <c r="C526" t="str" cm="1">
        <f t="array" ref="C526">INDEX(_xlfn.TEXTSPLIT(B526, "-"), 1)</f>
        <v>409</v>
      </c>
      <c r="D526" t="str" cm="1">
        <f t="array" ref="D526">IFERROR(INDEX(_xlfn.TEXTSPLIT(B526, "-"), 2), "")</f>
        <v/>
      </c>
      <c r="E526" t="str">
        <f t="shared" si="24"/>
        <v>Antandrus is annexed by Persia</v>
      </c>
      <c r="F526" t="str">
        <f t="shared" si="25"/>
        <v/>
      </c>
      <c r="H526" t="b">
        <f t="shared" si="26"/>
        <v>0</v>
      </c>
      <c r="J526" s="3" t="str">
        <v>409</v>
      </c>
      <c r="K526" s="4" t="str">
        <v>Antandrus is annexed by Persia</v>
      </c>
      <c r="P526" t="str">
        <v>411</v>
      </c>
      <c r="Q526" t="str">
        <v>Illios is annexes by Lampsacus</v>
      </c>
    </row>
    <row r="527" spans="1:17" x14ac:dyDescent="0.25">
      <c r="A527" t="s">
        <v>526</v>
      </c>
      <c r="B527" t="str" cm="1">
        <f t="array" ref="B527">INDEX(_xlfn.TEXTSPLIT(A527, " "), 1)</f>
        <v>409</v>
      </c>
      <c r="C527" t="str" cm="1">
        <f t="array" ref="C527">INDEX(_xlfn.TEXTSPLIT(B527, "-"), 1)</f>
        <v>409</v>
      </c>
      <c r="D527" t="str" cm="1">
        <f t="array" ref="D527">IFERROR(INDEX(_xlfn.TEXTSPLIT(B527, "-"), 2), "")</f>
        <v/>
      </c>
      <c r="E527" t="str">
        <f t="shared" si="24"/>
        <v>Abydos is besieged by Athens</v>
      </c>
      <c r="F527" t="str">
        <f t="shared" si="25"/>
        <v/>
      </c>
      <c r="H527" t="b">
        <f t="shared" si="26"/>
        <v>0</v>
      </c>
      <c r="J527" s="3" t="str">
        <v>409</v>
      </c>
      <c r="K527" s="4" t="str">
        <v>Abydos is besieged by Athens</v>
      </c>
      <c r="P527" t="str">
        <v>411</v>
      </c>
      <c r="Q527" t="str">
        <v>Athens abandons the Siege of Chios</v>
      </c>
    </row>
    <row r="528" spans="1:17" x14ac:dyDescent="0.25">
      <c r="A528" t="s">
        <v>527</v>
      </c>
      <c r="B528" t="str" cm="1">
        <f t="array" ref="B528">INDEX(_xlfn.TEXTSPLIT(A528, " "), 1)</f>
        <v>409</v>
      </c>
      <c r="C528" t="str" cm="1">
        <f t="array" ref="C528">INDEX(_xlfn.TEXTSPLIT(B528, "-"), 1)</f>
        <v>409</v>
      </c>
      <c r="D528" t="str" cm="1">
        <f t="array" ref="D528">IFERROR(INDEX(_xlfn.TEXTSPLIT(B528, "-"), 2), "")</f>
        <v/>
      </c>
      <c r="E528" t="str">
        <f t="shared" si="24"/>
        <v>Sparta sieges Klazomenai</v>
      </c>
      <c r="F528" t="str">
        <f t="shared" si="25"/>
        <v/>
      </c>
      <c r="H528" t="b">
        <f t="shared" si="26"/>
        <v>0</v>
      </c>
      <c r="J528" s="3" t="str">
        <v>409</v>
      </c>
      <c r="K528" s="4" t="str">
        <v>Sparta sieges Klazomenai</v>
      </c>
      <c r="P528" t="str">
        <v>411</v>
      </c>
      <c r="Q528" t="str">
        <v>Sparta leaves Methymna</v>
      </c>
    </row>
    <row r="529" spans="1:17" x14ac:dyDescent="0.25">
      <c r="A529" t="s">
        <v>528</v>
      </c>
      <c r="B529" t="str" cm="1">
        <f t="array" ref="B529">INDEX(_xlfn.TEXTSPLIT(A529, " "), 1)</f>
        <v>409</v>
      </c>
      <c r="C529" t="str" cm="1">
        <f t="array" ref="C529">INDEX(_xlfn.TEXTSPLIT(B529, "-"), 1)</f>
        <v>409</v>
      </c>
      <c r="D529" t="str" cm="1">
        <f t="array" ref="D529">IFERROR(INDEX(_xlfn.TEXTSPLIT(B529, "-"), 2), "")</f>
        <v/>
      </c>
      <c r="E529" t="str">
        <f t="shared" si="24"/>
        <v>Selinus and Himera are sacked by Carthage</v>
      </c>
      <c r="F529" t="str">
        <f t="shared" si="25"/>
        <v/>
      </c>
      <c r="H529" t="b">
        <f t="shared" si="26"/>
        <v>0</v>
      </c>
      <c r="J529" s="3" t="str">
        <v>409</v>
      </c>
      <c r="K529" s="4" t="str">
        <v>Selinus and Himera are sacked by Carthage</v>
      </c>
      <c r="P529" t="str">
        <v>411</v>
      </c>
      <c r="Q529" t="str">
        <v>Euboea, Byzantium, Abydos, Andros, Antandrus, Lampsacus, Chalcedon and Rodos betray Athens and join the Peloponnesian League</v>
      </c>
    </row>
    <row r="530" spans="1:17" x14ac:dyDescent="0.25">
      <c r="A530" t="s">
        <v>529</v>
      </c>
      <c r="B530" t="str" cm="1">
        <f t="array" ref="B530">INDEX(_xlfn.TEXTSPLIT(A530, " "), 1)</f>
        <v>409</v>
      </c>
      <c r="C530" t="str" cm="1">
        <f t="array" ref="C530">INDEX(_xlfn.TEXTSPLIT(B530, "-"), 1)</f>
        <v>409</v>
      </c>
      <c r="D530" t="str" cm="1">
        <f t="array" ref="D530">IFERROR(INDEX(_xlfn.TEXTSPLIT(B530, "-"), 2), "")</f>
        <v/>
      </c>
      <c r="E530" t="str">
        <f t="shared" si="24"/>
        <v>Byzantium recaptured by Alcibiades for Athens.</v>
      </c>
      <c r="F530" t="str">
        <f t="shared" si="25"/>
        <v/>
      </c>
      <c r="H530" t="b">
        <f t="shared" si="26"/>
        <v>0</v>
      </c>
      <c r="J530" s="3" t="str">
        <v>409</v>
      </c>
      <c r="K530" s="4" t="str">
        <v>Byzantium recaptured by Alcibiades for Athens.</v>
      </c>
      <c r="P530" t="str">
        <v>411</v>
      </c>
      <c r="Q530" t="str">
        <v>Abydos is overthrown by Dercylidas</v>
      </c>
    </row>
    <row r="531" spans="1:17" x14ac:dyDescent="0.25">
      <c r="A531" t="s">
        <v>530</v>
      </c>
      <c r="B531" t="str" cm="1">
        <f t="array" ref="B531">INDEX(_xlfn.TEXTSPLIT(A531, " "), 1)</f>
        <v>408</v>
      </c>
      <c r="C531" t="str" cm="1">
        <f t="array" ref="C531">INDEX(_xlfn.TEXTSPLIT(B531, "-"), 1)</f>
        <v>408</v>
      </c>
      <c r="D531" t="str" cm="1">
        <f t="array" ref="D531">IFERROR(INDEX(_xlfn.TEXTSPLIT(B531, "-"), 2), "")</f>
        <v/>
      </c>
      <c r="E531" t="str">
        <f t="shared" si="24"/>
        <v>The 3 poleis of Rodos unite and build a new capital called Rodos</v>
      </c>
      <c r="F531" t="str">
        <f t="shared" si="25"/>
        <v/>
      </c>
      <c r="H531" t="b">
        <f t="shared" si="26"/>
        <v>0</v>
      </c>
      <c r="J531" s="3" t="str">
        <v>408</v>
      </c>
      <c r="K531" s="4" t="str">
        <v>The 3 poleis of Rodos unite and build a new capital called Rodos</v>
      </c>
      <c r="P531" t="str">
        <v>411</v>
      </c>
      <c r="Q531" t="str">
        <v>Selinus attacks Segesta once again and aggravates Carthage</v>
      </c>
    </row>
    <row r="532" spans="1:17" x14ac:dyDescent="0.25">
      <c r="A532" t="s">
        <v>531</v>
      </c>
      <c r="B532" t="str" cm="1">
        <f t="array" ref="B532">INDEX(_xlfn.TEXTSPLIT(A532, " "), 1)</f>
        <v>408</v>
      </c>
      <c r="C532" t="str" cm="1">
        <f t="array" ref="C532">INDEX(_xlfn.TEXTSPLIT(B532, "-"), 1)</f>
        <v>408</v>
      </c>
      <c r="D532" t="str" cm="1">
        <f t="array" ref="D532">IFERROR(INDEX(_xlfn.TEXTSPLIT(B532, "-"), 2), "")</f>
        <v/>
      </c>
      <c r="E532" t="str">
        <f t="shared" si="24"/>
        <v>Athens besieges Paleopoli</v>
      </c>
      <c r="F532" t="str">
        <f t="shared" si="25"/>
        <v/>
      </c>
      <c r="H532" t="b">
        <f t="shared" si="26"/>
        <v>0</v>
      </c>
      <c r="J532" s="3" t="str">
        <v>408</v>
      </c>
      <c r="K532" s="4" t="str">
        <v>Athens besieges Paleopoli</v>
      </c>
      <c r="P532" t="str">
        <v>411</v>
      </c>
      <c r="Q532" t="str">
        <v>Athens is overthrown by the Four Hundred</v>
      </c>
    </row>
    <row r="533" spans="1:17" x14ac:dyDescent="0.25">
      <c r="A533" t="s">
        <v>532</v>
      </c>
      <c r="B533" t="str" cm="1">
        <f t="array" ref="B533">INDEX(_xlfn.TEXTSPLIT(A533, " "), 1)</f>
        <v>408</v>
      </c>
      <c r="C533" t="str" cm="1">
        <f t="array" ref="C533">INDEX(_xlfn.TEXTSPLIT(B533, "-"), 1)</f>
        <v>408</v>
      </c>
      <c r="D533" t="str" cm="1">
        <f t="array" ref="D533">IFERROR(INDEX(_xlfn.TEXTSPLIT(B533, "-"), 2), "")</f>
        <v/>
      </c>
      <c r="E533" t="str">
        <f t="shared" si="24"/>
        <v>Athens abandons Siege of Abydos</v>
      </c>
      <c r="F533" t="str">
        <f t="shared" si="25"/>
        <v/>
      </c>
      <c r="H533" t="b">
        <f t="shared" si="26"/>
        <v>0</v>
      </c>
      <c r="J533" s="3" t="str">
        <v>408</v>
      </c>
      <c r="K533" s="4" t="str">
        <v>Athens abandons Siege of Abydos</v>
      </c>
      <c r="P533" t="str">
        <v>410</v>
      </c>
      <c r="Q533" t="str">
        <v>After several successes, Athenian demagogue Cleophon rejects Spartan peace offers.</v>
      </c>
    </row>
    <row r="534" spans="1:17" x14ac:dyDescent="0.25">
      <c r="A534" t="s">
        <v>533</v>
      </c>
      <c r="B534" t="str" cm="1">
        <f t="array" ref="B534">INDEX(_xlfn.TEXTSPLIT(A534, " "), 1)</f>
        <v>408</v>
      </c>
      <c r="C534" t="str" cm="1">
        <f t="array" ref="C534">INDEX(_xlfn.TEXTSPLIT(B534, "-"), 1)</f>
        <v>408</v>
      </c>
      <c r="D534" t="str" cm="1">
        <f t="array" ref="D534">IFERROR(INDEX(_xlfn.TEXTSPLIT(B534, "-"), 2), "")</f>
        <v/>
      </c>
      <c r="E534" t="str">
        <f t="shared" si="24"/>
        <v>Sparta abandons the Siege of Klazomenai</v>
      </c>
      <c r="F534" t="str">
        <f t="shared" si="25"/>
        <v/>
      </c>
      <c r="H534" t="b">
        <f t="shared" si="26"/>
        <v>0</v>
      </c>
      <c r="J534" s="3" t="str">
        <v>408</v>
      </c>
      <c r="K534" s="4" t="str">
        <v>Sparta abandons the Siege of Klazomenai</v>
      </c>
      <c r="P534" t="str">
        <v>410</v>
      </c>
      <c r="Q534" t="str">
        <v>Segesta is annexed by Carthage</v>
      </c>
    </row>
    <row r="535" spans="1:17" x14ac:dyDescent="0.25">
      <c r="A535" t="s">
        <v>534</v>
      </c>
      <c r="B535" t="str" cm="1">
        <f t="array" ref="B535">INDEX(_xlfn.TEXTSPLIT(A535, " "), 1)</f>
        <v>408</v>
      </c>
      <c r="C535" t="str" cm="1">
        <f t="array" ref="C535">INDEX(_xlfn.TEXTSPLIT(B535, "-"), 1)</f>
        <v>408</v>
      </c>
      <c r="D535" t="str" cm="1">
        <f t="array" ref="D535">IFERROR(INDEX(_xlfn.TEXTSPLIT(B535, "-"), 2), "")</f>
        <v/>
      </c>
      <c r="E535" t="str">
        <f t="shared" si="24"/>
        <v>Alcibiades reenters Athens in triumph, Lysander, a Spartan commander, has fleet built at Ephesus.</v>
      </c>
      <c r="F535" t="str">
        <f t="shared" si="25"/>
        <v/>
      </c>
      <c r="H535" t="b">
        <f t="shared" si="26"/>
        <v>0</v>
      </c>
      <c r="J535" s="3" t="str">
        <v>408</v>
      </c>
      <c r="K535" s="4" t="str">
        <v>Alcibiades reenters Athens in triumph, Lysander, a Spartan commander, has fleet built at Ephesus.</v>
      </c>
      <c r="P535" t="str">
        <v>410</v>
      </c>
      <c r="Q535" t="str">
        <v>Four Hundred are overthrown by Athens</v>
      </c>
    </row>
    <row r="536" spans="1:17" x14ac:dyDescent="0.25">
      <c r="A536" t="s">
        <v>535</v>
      </c>
      <c r="B536" t="str" cm="1">
        <f t="array" ref="B536">INDEX(_xlfn.TEXTSPLIT(A536, " "), 1)</f>
        <v>407</v>
      </c>
      <c r="C536" t="str" cm="1">
        <f t="array" ref="C536">INDEX(_xlfn.TEXTSPLIT(B536, "-"), 1)</f>
        <v>407</v>
      </c>
      <c r="D536" t="str" cm="1">
        <f t="array" ref="D536">IFERROR(INDEX(_xlfn.TEXTSPLIT(B536, "-"), 2), "")</f>
        <v/>
      </c>
      <c r="E536" t="str">
        <f t="shared" si="24"/>
        <v>Thermae is founded by Carthage</v>
      </c>
      <c r="F536" t="str">
        <f t="shared" si="25"/>
        <v/>
      </c>
      <c r="H536" t="b">
        <f t="shared" si="26"/>
        <v>0</v>
      </c>
      <c r="J536" s="3" t="str">
        <v>407</v>
      </c>
      <c r="K536" s="4" t="str">
        <v>Thermae is founded by Carthage</v>
      </c>
      <c r="P536" t="str">
        <v>409</v>
      </c>
      <c r="Q536" t="str">
        <v>Antandrus is annexed by Persia</v>
      </c>
    </row>
    <row r="537" spans="1:17" x14ac:dyDescent="0.25">
      <c r="A537" t="s">
        <v>536</v>
      </c>
      <c r="B537" t="str" cm="1">
        <f t="array" ref="B537">INDEX(_xlfn.TEXTSPLIT(A537, " "), 1)</f>
        <v>407</v>
      </c>
      <c r="C537" t="str" cm="1">
        <f t="array" ref="C537">INDEX(_xlfn.TEXTSPLIT(B537, "-"), 1)</f>
        <v>407</v>
      </c>
      <c r="D537" t="str" cm="1">
        <f t="array" ref="D537">IFERROR(INDEX(_xlfn.TEXTSPLIT(B537, "-"), 2), "")</f>
        <v/>
      </c>
      <c r="E537" t="str">
        <f t="shared" si="24"/>
        <v>Athens abandons the Siege of Paleopoli</v>
      </c>
      <c r="F537" t="str">
        <f t="shared" si="25"/>
        <v/>
      </c>
      <c r="H537" t="b">
        <f t="shared" si="26"/>
        <v>0</v>
      </c>
      <c r="J537" s="3" t="str">
        <v>407</v>
      </c>
      <c r="K537" s="4" t="str">
        <v>Athens abandons the Siege of Paleopoli</v>
      </c>
      <c r="P537" t="str">
        <v>409</v>
      </c>
      <c r="Q537" t="str">
        <v>Abydos is besieged by Athens</v>
      </c>
    </row>
    <row r="538" spans="1:17" x14ac:dyDescent="0.25">
      <c r="A538" t="s">
        <v>537</v>
      </c>
      <c r="B538" t="str" cm="1">
        <f t="array" ref="B538">INDEX(_xlfn.TEXTSPLIT(A538, " "), 1)</f>
        <v>407</v>
      </c>
      <c r="C538" t="str" cm="1">
        <f t="array" ref="C538">INDEX(_xlfn.TEXTSPLIT(B538, "-"), 1)</f>
        <v>407</v>
      </c>
      <c r="D538" t="str" cm="1">
        <f t="array" ref="D538">IFERROR(INDEX(_xlfn.TEXTSPLIT(B538, "-"), 2), "")</f>
        <v/>
      </c>
      <c r="E538" t="str">
        <f t="shared" si="24"/>
        <v>Lysander begins destruction of Athenian fleet, Alcibiades stripped of power.</v>
      </c>
      <c r="F538" t="str">
        <f t="shared" si="25"/>
        <v/>
      </c>
      <c r="H538" t="b">
        <f t="shared" si="26"/>
        <v>0</v>
      </c>
      <c r="J538" s="3" t="str">
        <v>407</v>
      </c>
      <c r="K538" s="4" t="str">
        <v>Lysander begins destruction of Athenian fleet, Alcibiades stripped of power.</v>
      </c>
      <c r="P538" t="str">
        <v>409</v>
      </c>
      <c r="Q538" t="str">
        <v>Sparta sieges Klazomenai</v>
      </c>
    </row>
    <row r="539" spans="1:17" x14ac:dyDescent="0.25">
      <c r="A539" t="s">
        <v>538</v>
      </c>
      <c r="B539" t="str" cm="1">
        <f t="array" ref="B539">INDEX(_xlfn.TEXTSPLIT(A539, " "), 1)</f>
        <v>406</v>
      </c>
      <c r="C539" t="str" cm="1">
        <f t="array" ref="C539">INDEX(_xlfn.TEXTSPLIT(B539, "-"), 1)</f>
        <v>406</v>
      </c>
      <c r="D539" t="str" cm="1">
        <f t="array" ref="D539">IFERROR(INDEX(_xlfn.TEXTSPLIT(B539, "-"), 2), "")</f>
        <v/>
      </c>
      <c r="E539" t="str">
        <f t="shared" si="24"/>
        <v>Sparta sieges Methymna</v>
      </c>
      <c r="F539" t="str">
        <f t="shared" si="25"/>
        <v/>
      </c>
      <c r="H539" t="b">
        <f t="shared" si="26"/>
        <v>0</v>
      </c>
      <c r="J539" s="3" t="str">
        <v>406</v>
      </c>
      <c r="K539" s="4" t="str">
        <v>Sparta sieges Methymna</v>
      </c>
      <c r="P539" t="str">
        <v>409</v>
      </c>
      <c r="Q539" t="str">
        <v>Selinus and Himera are sacked by Carthage</v>
      </c>
    </row>
    <row r="540" spans="1:17" x14ac:dyDescent="0.25">
      <c r="A540" t="s">
        <v>539</v>
      </c>
      <c r="B540" t="str" cm="1">
        <f t="array" ref="B540">INDEX(_xlfn.TEXTSPLIT(A540, " "), 1)</f>
        <v>406</v>
      </c>
      <c r="C540" t="str" cm="1">
        <f t="array" ref="C540">INDEX(_xlfn.TEXTSPLIT(B540, "-"), 1)</f>
        <v>406</v>
      </c>
      <c r="D540" t="str" cm="1">
        <f t="array" ref="D540">IFERROR(INDEX(_xlfn.TEXTSPLIT(B540, "-"), 2), "")</f>
        <v/>
      </c>
      <c r="E540" t="str">
        <f t="shared" si="24"/>
        <v>Akragas is sacked by Carthage</v>
      </c>
      <c r="F540" t="str">
        <f t="shared" si="25"/>
        <v/>
      </c>
      <c r="H540" t="b">
        <f t="shared" si="26"/>
        <v>0</v>
      </c>
      <c r="J540" s="3" t="str">
        <v>406</v>
      </c>
      <c r="K540" s="4" t="str">
        <v>Akragas is sacked by Carthage</v>
      </c>
      <c r="P540" t="str">
        <v>409</v>
      </c>
      <c r="Q540" t="str">
        <v>Byzantium recaptured by Alcibiades for Athens.</v>
      </c>
    </row>
    <row r="541" spans="1:17" x14ac:dyDescent="0.25">
      <c r="A541" t="s">
        <v>540</v>
      </c>
      <c r="B541" t="str" cm="1">
        <f t="array" ref="B541">INDEX(_xlfn.TEXTSPLIT(A541, " "), 1)</f>
        <v>406</v>
      </c>
      <c r="C541" t="str" cm="1">
        <f t="array" ref="C541">INDEX(_xlfn.TEXTSPLIT(B541, "-"), 1)</f>
        <v>406</v>
      </c>
      <c r="D541" t="str" cm="1">
        <f t="array" ref="D541">IFERROR(INDEX(_xlfn.TEXTSPLIT(B541, "-"), 2), "")</f>
        <v/>
      </c>
      <c r="E541" t="str">
        <f t="shared" si="24"/>
        <v>Callicratides, Spartan naval commander, loses Battle of Arginusae over blockade of Mitylene harbor, Sparta sues for peace, rejected by Cleophon.</v>
      </c>
      <c r="F541" t="str">
        <f t="shared" si="25"/>
        <v/>
      </c>
      <c r="H541" t="b">
        <f t="shared" si="26"/>
        <v>0</v>
      </c>
      <c r="J541" s="3" t="str">
        <v>406</v>
      </c>
      <c r="K541" s="4" t="str">
        <v>Callicratides, Spartan naval commander, loses Battle of Arginusae over blockade of Mitylene harbor, Sparta sues for peace, rejected by Cleophon.</v>
      </c>
      <c r="P541" t="str">
        <v>408</v>
      </c>
      <c r="Q541" t="str">
        <v>The 3 poleis of Rodos unite and build a new capital called Rodos</v>
      </c>
    </row>
    <row r="542" spans="1:17" x14ac:dyDescent="0.25">
      <c r="A542" t="s">
        <v>541</v>
      </c>
      <c r="B542" t="str" cm="1">
        <f t="array" ref="B542">INDEX(_xlfn.TEXTSPLIT(A542, " "), 1)</f>
        <v>405</v>
      </c>
      <c r="C542" t="str" cm="1">
        <f t="array" ref="C542">INDEX(_xlfn.TEXTSPLIT(B542, "-"), 1)</f>
        <v>405</v>
      </c>
      <c r="D542" t="str" cm="1">
        <f t="array" ref="D542">IFERROR(INDEX(_xlfn.TEXTSPLIT(B542, "-"), 2), "")</f>
        <v/>
      </c>
      <c r="E542" t="str">
        <f t="shared" si="24"/>
        <v>Methymna is impressed into the Peloponnesian League</v>
      </c>
      <c r="F542" t="str">
        <f t="shared" si="25"/>
        <v/>
      </c>
      <c r="H542" t="b">
        <f t="shared" si="26"/>
        <v>0</v>
      </c>
      <c r="J542" s="3" t="str">
        <v>405</v>
      </c>
      <c r="K542" s="4" t="str">
        <v>Methymna is impressed into the Peloponnesian League</v>
      </c>
      <c r="P542" t="str">
        <v>408</v>
      </c>
      <c r="Q542" t="str">
        <v>Athens besieges Paleopoli</v>
      </c>
    </row>
    <row r="543" spans="1:17" x14ac:dyDescent="0.25">
      <c r="A543" t="s">
        <v>542</v>
      </c>
      <c r="B543" t="str" cm="1">
        <f t="array" ref="B543">INDEX(_xlfn.TEXTSPLIT(A543, " "), 1)</f>
        <v>405</v>
      </c>
      <c r="C543" t="str" cm="1">
        <f t="array" ref="C543">INDEX(_xlfn.TEXTSPLIT(B543, "-"), 1)</f>
        <v>405</v>
      </c>
      <c r="D543" t="str" cm="1">
        <f t="array" ref="D543">IFERROR(INDEX(_xlfn.TEXTSPLIT(B543, "-"), 2), "")</f>
        <v/>
      </c>
      <c r="E543" t="str">
        <f t="shared" si="24"/>
        <v>Syracuse is overthrown by Dionysius the Elder</v>
      </c>
      <c r="F543" t="str">
        <f t="shared" si="25"/>
        <v/>
      </c>
      <c r="H543" t="b">
        <f t="shared" si="26"/>
        <v>0</v>
      </c>
      <c r="J543" s="3" t="str">
        <v>405</v>
      </c>
      <c r="K543" s="4" t="str">
        <v>Syracuse is overthrown by Dionysius the Elder</v>
      </c>
      <c r="P543" t="str">
        <v>408</v>
      </c>
      <c r="Q543" t="str">
        <v>Athens abandons Siege of Abydos</v>
      </c>
    </row>
    <row r="544" spans="1:17" x14ac:dyDescent="0.25">
      <c r="A544" t="s">
        <v>543</v>
      </c>
      <c r="B544" t="str" cm="1">
        <f t="array" ref="B544">INDEX(_xlfn.TEXTSPLIT(A544, " "), 1)</f>
        <v>405</v>
      </c>
      <c r="C544" t="str" cm="1">
        <f t="array" ref="C544">INDEX(_xlfn.TEXTSPLIT(B544, "-"), 1)</f>
        <v>405</v>
      </c>
      <c r="D544" t="str" cm="1">
        <f t="array" ref="D544">IFERROR(INDEX(_xlfn.TEXTSPLIT(B544, "-"), 2), "")</f>
        <v/>
      </c>
      <c r="E544" t="str">
        <f t="shared" si="24"/>
        <v>Melos is annexed by Sparta</v>
      </c>
      <c r="F544" t="str">
        <f t="shared" si="25"/>
        <v/>
      </c>
      <c r="H544" t="b">
        <f t="shared" si="26"/>
        <v>0</v>
      </c>
      <c r="J544" s="3" t="str">
        <v>405</v>
      </c>
      <c r="K544" s="4" t="str">
        <v>Melos is annexed by Sparta</v>
      </c>
      <c r="P544" t="str">
        <v>408</v>
      </c>
      <c r="Q544" t="str">
        <v>Sparta abandons the Siege of Klazomenai</v>
      </c>
    </row>
    <row r="545" spans="1:17" x14ac:dyDescent="0.25">
      <c r="A545" t="s">
        <v>544</v>
      </c>
      <c r="B545" t="str" cm="1">
        <f t="array" ref="B545">INDEX(_xlfn.TEXTSPLIT(A545, " "), 1)</f>
        <v>405</v>
      </c>
      <c r="C545" t="str" cm="1">
        <f t="array" ref="C545">INDEX(_xlfn.TEXTSPLIT(B545, "-"), 1)</f>
        <v>405</v>
      </c>
      <c r="D545" t="str" cm="1">
        <f t="array" ref="D545">IFERROR(INDEX(_xlfn.TEXTSPLIT(B545, "-"), 2), "")</f>
        <v/>
      </c>
      <c r="E545" t="str">
        <f t="shared" si="24"/>
        <v>Gela, Kamarina and Akrillai is sacked by Carthage</v>
      </c>
      <c r="F545" t="str">
        <f t="shared" si="25"/>
        <v/>
      </c>
      <c r="H545" t="b">
        <f t="shared" si="26"/>
        <v>0</v>
      </c>
      <c r="J545" s="3" t="str">
        <v>405</v>
      </c>
      <c r="K545" s="4" t="str">
        <v>Gela, Kamarina and Akrillai is sacked by Carthage</v>
      </c>
      <c r="P545" t="str">
        <v>408</v>
      </c>
      <c r="Q545" t="str">
        <v>Alcibiades reenters Athens in triumph, Lysander, a Spartan commander, has fleet built at Ephesus.</v>
      </c>
    </row>
    <row r="546" spans="1:17" x14ac:dyDescent="0.25">
      <c r="A546" t="s">
        <v>545</v>
      </c>
      <c r="B546" t="str" cm="1">
        <f t="array" ref="B546">INDEX(_xlfn.TEXTSPLIT(A546, " "), 1)</f>
        <v>405</v>
      </c>
      <c r="C546" t="str" cm="1">
        <f t="array" ref="C546">INDEX(_xlfn.TEXTSPLIT(B546, "-"), 1)</f>
        <v>405</v>
      </c>
      <c r="D546" t="str" cm="1">
        <f t="array" ref="D546">IFERROR(INDEX(_xlfn.TEXTSPLIT(B546, "-"), 2), "")</f>
        <v/>
      </c>
      <c r="E546" t="str">
        <f t="shared" si="24"/>
        <v>Carthage allow the people of the sacked cities to return as Carthaginian subjects and rebuild their cities</v>
      </c>
      <c r="F546" t="str">
        <f t="shared" si="25"/>
        <v/>
      </c>
      <c r="H546" t="b">
        <f t="shared" si="26"/>
        <v>0</v>
      </c>
      <c r="J546" s="3" t="str">
        <v>405</v>
      </c>
      <c r="K546" s="4" t="str">
        <v>Carthage allow the people of the sacked cities to return as Carthaginian subjects and rebuild their cities</v>
      </c>
      <c r="P546" t="str">
        <v>407</v>
      </c>
      <c r="Q546" t="str">
        <v>Thermae is founded by Carthage</v>
      </c>
    </row>
    <row r="547" spans="1:17" x14ac:dyDescent="0.25">
      <c r="A547" t="s">
        <v>546</v>
      </c>
      <c r="B547" t="str" cm="1">
        <f t="array" ref="B547">INDEX(_xlfn.TEXTSPLIT(A547, " "), 1)</f>
        <v>405</v>
      </c>
      <c r="C547" t="str" cm="1">
        <f t="array" ref="C547">INDEX(_xlfn.TEXTSPLIT(B547, "-"), 1)</f>
        <v>405</v>
      </c>
      <c r="D547" t="str" cm="1">
        <f t="array" ref="D547">IFERROR(INDEX(_xlfn.TEXTSPLIT(B547, "-"), 2), "")</f>
        <v/>
      </c>
      <c r="E547" t="str">
        <f t="shared" si="24"/>
        <v>Leontini and Morgantina declare independence from Syracuse</v>
      </c>
      <c r="F547" t="str">
        <f t="shared" si="25"/>
        <v/>
      </c>
      <c r="H547" t="b">
        <f t="shared" si="26"/>
        <v>0</v>
      </c>
      <c r="J547" s="3" t="str">
        <v>405</v>
      </c>
      <c r="K547" s="4" t="str">
        <v>Leontini and Morgantina declare independence from Syracuse</v>
      </c>
      <c r="P547" t="str">
        <v>407</v>
      </c>
      <c r="Q547" t="str">
        <v>Athens abandons the Siege of Paleopoli</v>
      </c>
    </row>
    <row r="548" spans="1:17" x14ac:dyDescent="0.25">
      <c r="A548" t="s">
        <v>547</v>
      </c>
      <c r="B548" t="str" cm="1">
        <f t="array" ref="B548">INDEX(_xlfn.TEXTSPLIT(A548, " "), 1)</f>
        <v>405</v>
      </c>
      <c r="C548" t="str" cm="1">
        <f t="array" ref="C548">INDEX(_xlfn.TEXTSPLIT(B548, "-"), 1)</f>
        <v>405</v>
      </c>
      <c r="D548" t="str" cm="1">
        <f t="array" ref="D548">IFERROR(INDEX(_xlfn.TEXTSPLIT(B548, "-"), 2), "")</f>
        <v/>
      </c>
      <c r="E548" t="str">
        <f t="shared" si="24"/>
        <v>Carthage annexes Elymi, Sicel and Sican territory</v>
      </c>
      <c r="F548" t="str">
        <f t="shared" si="25"/>
        <v/>
      </c>
      <c r="H548" t="b">
        <f t="shared" si="26"/>
        <v>0</v>
      </c>
      <c r="J548" s="3" t="str">
        <v>405</v>
      </c>
      <c r="K548" s="4" t="str">
        <v>Carthage annexes Elymi, Sicel and Sican territory</v>
      </c>
      <c r="P548" t="str">
        <v>407</v>
      </c>
      <c r="Q548" t="str">
        <v>Lysander begins destruction of Athenian fleet, Alcibiades stripped of power.</v>
      </c>
    </row>
    <row r="549" spans="1:17" x14ac:dyDescent="0.25">
      <c r="A549" t="s">
        <v>548</v>
      </c>
      <c r="B549" t="str" cm="1">
        <f t="array" ref="B549">INDEX(_xlfn.TEXTSPLIT(A549, " "), 1)</f>
        <v>405</v>
      </c>
      <c r="C549" t="str" cm="1">
        <f t="array" ref="C549">INDEX(_xlfn.TEXTSPLIT(B549, "-"), 1)</f>
        <v>405</v>
      </c>
      <c r="D549" t="str" cm="1">
        <f t="array" ref="D549">IFERROR(INDEX(_xlfn.TEXTSPLIT(B549, "-"), 2), "")</f>
        <v/>
      </c>
      <c r="E549" t="str">
        <f t="shared" si="24"/>
        <v>The naval Battle of Aegospotami in which Lysander captures the Athenian fleet, Spartan king Pausanias besieges Athens, Cleophon executed, Corinth and Thebes demand destruction of Athens.</v>
      </c>
      <c r="F549" t="str">
        <f t="shared" si="25"/>
        <v/>
      </c>
      <c r="H549" t="b">
        <f t="shared" si="26"/>
        <v>0</v>
      </c>
      <c r="J549" s="3" t="str">
        <v>405</v>
      </c>
      <c r="K549" s="4" t="str">
        <v>The naval Battle of Aegospotami in which Lysander captures the Athenian fleet, Spartan king Pausanias besieges Athens, Cleophon executed, Corinth and Thebes demand destruction of Athens.</v>
      </c>
      <c r="P549" t="str">
        <v>406</v>
      </c>
      <c r="Q549" t="str">
        <v>Sparta sieges Methymna</v>
      </c>
    </row>
    <row r="550" spans="1:17" x14ac:dyDescent="0.25">
      <c r="A550" t="s">
        <v>549</v>
      </c>
      <c r="B550" t="str" cm="1">
        <f t="array" ref="B550">INDEX(_xlfn.TEXTSPLIT(A550, " "), 1)</f>
        <v>405</v>
      </c>
      <c r="C550" t="str" cm="1">
        <f t="array" ref="C550">INDEX(_xlfn.TEXTSPLIT(B550, "-"), 1)</f>
        <v>405</v>
      </c>
      <c r="D550" t="str" cm="1">
        <f t="array" ref="D550">IFERROR(INDEX(_xlfn.TEXTSPLIT(B550, "-"), 2), "")</f>
        <v/>
      </c>
      <c r="E550" t="str">
        <f t="shared" si="24"/>
        <v>Klazomenai and Ephesus betray Athens and join the Peloponnesian League. All Carthaginian subjects (Except Ziz, their islands, Motya, Solus, Elymi, Segesta, and Entella) gain independence</v>
      </c>
      <c r="F550" t="str">
        <f t="shared" si="25"/>
        <v/>
      </c>
      <c r="H550" t="b">
        <f t="shared" si="26"/>
        <v>0</v>
      </c>
      <c r="J550" s="3" t="str">
        <v>405</v>
      </c>
      <c r="K550" s="4" t="str">
        <v>Klazomenai and Ephesus betray Athens and join the Peloponnesian League. All Carthaginian subjects (Except Ziz, their islands, Motya, Solus, Elymi, Segesta, and Entella) gain independence</v>
      </c>
      <c r="P550" t="str">
        <v>406</v>
      </c>
      <c r="Q550" t="str">
        <v>Akragas is sacked by Carthage</v>
      </c>
    </row>
    <row r="551" spans="1:17" x14ac:dyDescent="0.25">
      <c r="A551" t="s">
        <v>550</v>
      </c>
      <c r="B551" t="str" cm="1">
        <f t="array" ref="B551">INDEX(_xlfn.TEXTSPLIT(A551, " "), 1)</f>
        <v>404</v>
      </c>
      <c r="C551" t="str" cm="1">
        <f t="array" ref="C551">INDEX(_xlfn.TEXTSPLIT(B551, "-"), 1)</f>
        <v>404</v>
      </c>
      <c r="D551" t="str" cm="1">
        <f t="array" ref="D551">IFERROR(INDEX(_xlfn.TEXTSPLIT(B551, "-"), 2), "")</f>
        <v/>
      </c>
      <c r="E551" t="str">
        <f t="shared" si="24"/>
        <v>Athens capitulates April 25. Theramenes secures terms, prevents total destruction of Athens, Theramenes and Alcibiades are killed.</v>
      </c>
      <c r="F551" t="str">
        <f t="shared" si="25"/>
        <v/>
      </c>
      <c r="H551" t="b">
        <f t="shared" si="26"/>
        <v>0</v>
      </c>
      <c r="J551" s="3" t="str">
        <v>404</v>
      </c>
      <c r="K551" s="4" t="str">
        <v>Athens capitulates April 25. Theramenes secures terms, prevents total destruction of Athens, Theramenes and Alcibiades are killed.</v>
      </c>
      <c r="P551" t="str">
        <v>406</v>
      </c>
      <c r="Q551" t="str">
        <v>Callicratides, Spartan naval commander, loses Battle of Arginusae over blockade of Mitylene harbor, Sparta sues for peace, rejected by Cleophon.</v>
      </c>
    </row>
    <row r="552" spans="1:17" x14ac:dyDescent="0.25">
      <c r="A552" t="s">
        <v>551</v>
      </c>
      <c r="B552" t="str" cm="1">
        <f t="array" ref="B552">INDEX(_xlfn.TEXTSPLIT(A552, " "), 1)</f>
        <v>404</v>
      </c>
      <c r="C552" t="str" cm="1">
        <f t="array" ref="C552">INDEX(_xlfn.TEXTSPLIT(B552, "-"), 1)</f>
        <v>404</v>
      </c>
      <c r="D552" t="str" cm="1">
        <f t="array" ref="D552">IFERROR(INDEX(_xlfn.TEXTSPLIT(B552, "-"), 2), "")</f>
        <v/>
      </c>
      <c r="E552" t="str">
        <f t="shared" si="24"/>
        <v>Delian League is dissolved</v>
      </c>
      <c r="F552" t="str">
        <f t="shared" si="25"/>
        <v/>
      </c>
      <c r="H552" t="b">
        <f t="shared" si="26"/>
        <v>0</v>
      </c>
      <c r="J552" s="3" t="str">
        <v>404</v>
      </c>
      <c r="K552" s="4" t="str">
        <v>Delian League is dissolved</v>
      </c>
      <c r="P552" t="str">
        <v>405</v>
      </c>
      <c r="Q552" t="str">
        <v>Methymna is impressed into the Peloponnesian League</v>
      </c>
    </row>
    <row r="553" spans="1:17" x14ac:dyDescent="0.25">
      <c r="A553" t="s">
        <v>552</v>
      </c>
      <c r="B553" t="str" cm="1">
        <f t="array" ref="B553">INDEX(_xlfn.TEXTSPLIT(A553, " "), 1)</f>
        <v>404</v>
      </c>
      <c r="C553" t="str" cm="1">
        <f t="array" ref="C553">INDEX(_xlfn.TEXTSPLIT(B553, "-"), 1)</f>
        <v>404</v>
      </c>
      <c r="D553" t="str" cm="1">
        <f t="array" ref="D553">IFERROR(INDEX(_xlfn.TEXTSPLIT(B553, "-"), 2), "")</f>
        <v/>
      </c>
      <c r="E553" t="str">
        <f t="shared" si="24"/>
        <v>Korinth leaves the Peloponnesian League</v>
      </c>
      <c r="F553" t="str">
        <f t="shared" si="25"/>
        <v/>
      </c>
      <c r="H553" t="b">
        <f t="shared" si="26"/>
        <v>0</v>
      </c>
      <c r="J553" s="3" t="str">
        <v>404</v>
      </c>
      <c r="K553" s="4" t="str">
        <v>Korinth leaves the Peloponnesian League</v>
      </c>
      <c r="P553" t="str">
        <v>405</v>
      </c>
      <c r="Q553" t="str">
        <v>Syracuse is overthrown by Dionysius the Elder</v>
      </c>
    </row>
    <row r="554" spans="1:17" x14ac:dyDescent="0.25">
      <c r="A554" t="s">
        <v>553</v>
      </c>
      <c r="B554" t="str" cm="1">
        <f t="array" ref="B554">INDEX(_xlfn.TEXTSPLIT(A554, " "), 1)</f>
        <v>404</v>
      </c>
      <c r="C554" t="str" cm="1">
        <f t="array" ref="C554">INDEX(_xlfn.TEXTSPLIT(B554, "-"), 1)</f>
        <v>404</v>
      </c>
      <c r="D554" t="str" cm="1">
        <f t="array" ref="D554">IFERROR(INDEX(_xlfn.TEXTSPLIT(B554, "-"), 2), "")</f>
        <v/>
      </c>
      <c r="E554" t="str">
        <f t="shared" si="24"/>
        <v>Entella is overthrown by mercenaries loyal to Carthage</v>
      </c>
      <c r="F554" t="str">
        <f t="shared" si="25"/>
        <v/>
      </c>
      <c r="H554" t="b">
        <f t="shared" si="26"/>
        <v>0</v>
      </c>
      <c r="J554" s="3" t="str">
        <v>404</v>
      </c>
      <c r="K554" s="4" t="str">
        <v>Entella is overthrown by mercenaries loyal to Carthage</v>
      </c>
      <c r="P554" t="str">
        <v>405</v>
      </c>
      <c r="Q554" t="str">
        <v>Melos is annexed by Sparta</v>
      </c>
    </row>
    <row r="555" spans="1:17" x14ac:dyDescent="0.25">
      <c r="A555" t="s">
        <v>554</v>
      </c>
      <c r="B555" t="str" cm="1">
        <f t="array" ref="B555">INDEX(_xlfn.TEXTSPLIT(A555, " "), 1)</f>
        <v>404</v>
      </c>
      <c r="C555" t="str" cm="1">
        <f t="array" ref="C555">INDEX(_xlfn.TEXTSPLIT(B555, "-"), 1)</f>
        <v>404</v>
      </c>
      <c r="D555" t="str" cm="1">
        <f t="array" ref="D555">IFERROR(INDEX(_xlfn.TEXTSPLIT(B555, "-"), 2), "")</f>
        <v/>
      </c>
      <c r="E555" t="str">
        <f t="shared" si="24"/>
        <v>Aygris becomes a Syracusan Subject</v>
      </c>
      <c r="F555" t="str">
        <f t="shared" si="25"/>
        <v/>
      </c>
      <c r="H555" t="b">
        <f t="shared" si="26"/>
        <v>0</v>
      </c>
      <c r="J555" s="3" t="str">
        <v>404</v>
      </c>
      <c r="K555" s="4" t="str">
        <v>Aygris becomes a Syracusan Subject</v>
      </c>
      <c r="P555" t="str">
        <v>405</v>
      </c>
      <c r="Q555" t="str">
        <v>Gela, Kamarina and Akrillai is sacked by Carthage</v>
      </c>
    </row>
    <row r="556" spans="1:17" x14ac:dyDescent="0.25">
      <c r="A556" t="s">
        <v>555</v>
      </c>
      <c r="B556" t="str" cm="1">
        <f t="array" ref="B556">INDEX(_xlfn.TEXTSPLIT(A556, " "), 1)</f>
        <v>404</v>
      </c>
      <c r="C556" t="str" cm="1">
        <f t="array" ref="C556">INDEX(_xlfn.TEXTSPLIT(B556, "-"), 1)</f>
        <v>404</v>
      </c>
      <c r="D556" t="str" cm="1">
        <f t="array" ref="D556">IFERROR(INDEX(_xlfn.TEXTSPLIT(B556, "-"), 2), "")</f>
        <v/>
      </c>
      <c r="E556" t="str">
        <f t="shared" si="24"/>
        <v>Nafpaktos is annexed by Ozolian Locris</v>
      </c>
      <c r="F556" t="str">
        <f t="shared" si="25"/>
        <v/>
      </c>
      <c r="H556" t="b">
        <f t="shared" si="26"/>
        <v>0</v>
      </c>
      <c r="J556" s="3" t="str">
        <v>404</v>
      </c>
      <c r="K556" s="4" t="str">
        <v>Nafpaktos is annexed by Ozolian Locris</v>
      </c>
      <c r="P556" t="str">
        <v>405</v>
      </c>
      <c r="Q556" t="str">
        <v>Carthage allow the people of the sacked cities to return as Carthaginian subjects and rebuild their cities</v>
      </c>
    </row>
    <row r="557" spans="1:17" x14ac:dyDescent="0.25">
      <c r="A557" t="s">
        <v>556</v>
      </c>
      <c r="B557" t="str" cm="1">
        <f t="array" ref="B557">INDEX(_xlfn.TEXTSPLIT(A557, " "), 1)</f>
        <v>404</v>
      </c>
      <c r="C557" t="str" cm="1">
        <f t="array" ref="C557">INDEX(_xlfn.TEXTSPLIT(B557, "-"), 1)</f>
        <v>404</v>
      </c>
      <c r="D557" t="str" cm="1">
        <f t="array" ref="D557">IFERROR(INDEX(_xlfn.TEXTSPLIT(B557, "-"), 2), "")</f>
        <v/>
      </c>
      <c r="E557" t="str">
        <f t="shared" si="24"/>
        <v>Athens is overthrown by the Thirty</v>
      </c>
      <c r="F557" t="str">
        <f t="shared" si="25"/>
        <v/>
      </c>
      <c r="H557" t="b">
        <f t="shared" si="26"/>
        <v>0</v>
      </c>
      <c r="J557" s="3" t="str">
        <v>404</v>
      </c>
      <c r="K557" s="4" t="str">
        <v>Athens is overthrown by the Thirty</v>
      </c>
      <c r="P557" t="str">
        <v>405</v>
      </c>
      <c r="Q557" t="str">
        <v>Leontini and Morgantina declare independence from Syracuse</v>
      </c>
    </row>
    <row r="558" spans="1:17" x14ac:dyDescent="0.25">
      <c r="A558" t="s">
        <v>557</v>
      </c>
      <c r="B558" t="str" cm="1">
        <f t="array" ref="B558">INDEX(_xlfn.TEXTSPLIT(A558, " "), 1)</f>
        <v>404</v>
      </c>
      <c r="C558" t="str" cm="1">
        <f t="array" ref="C558">INDEX(_xlfn.TEXTSPLIT(B558, "-"), 1)</f>
        <v>404</v>
      </c>
      <c r="D558" t="str" cm="1">
        <f t="array" ref="D558">IFERROR(INDEX(_xlfn.TEXTSPLIT(B558, "-"), 2), "")</f>
        <v/>
      </c>
      <c r="E558" t="str">
        <f t="shared" si="24"/>
        <v>Athens joins the Peloponnesian League</v>
      </c>
      <c r="F558" t="str">
        <f t="shared" si="25"/>
        <v/>
      </c>
      <c r="H558" t="b">
        <f t="shared" si="26"/>
        <v>0</v>
      </c>
      <c r="J558" s="3" t="str">
        <v>404</v>
      </c>
      <c r="K558" s="4" t="str">
        <v>Athens joins the Peloponnesian League</v>
      </c>
      <c r="P558" t="str">
        <v>405</v>
      </c>
      <c r="Q558" t="str">
        <v>Carthage annexes Elymi, Sicel and Sican territory</v>
      </c>
    </row>
    <row r="559" spans="1:17" x14ac:dyDescent="0.25">
      <c r="A559" t="s">
        <v>558</v>
      </c>
      <c r="B559" t="str" cm="1">
        <f t="array" ref="B559">INDEX(_xlfn.TEXTSPLIT(A559, " "), 1)</f>
        <v>403</v>
      </c>
      <c r="C559" t="str" cm="1">
        <f t="array" ref="C559">INDEX(_xlfn.TEXTSPLIT(B559, "-"), 1)</f>
        <v>403</v>
      </c>
      <c r="D559" t="str" cm="1">
        <f t="array" ref="D559">IFERROR(INDEX(_xlfn.TEXTSPLIT(B559, "-"), 2), "")</f>
        <v/>
      </c>
      <c r="E559" t="str">
        <f t="shared" si="24"/>
        <v>Aeimnestus, who is loyal to Dionysius, overthrows Castrugiuvanni</v>
      </c>
      <c r="F559" t="str">
        <f t="shared" si="25"/>
        <v/>
      </c>
      <c r="H559" t="b">
        <f t="shared" si="26"/>
        <v>0</v>
      </c>
      <c r="J559" s="3" t="str">
        <v>403</v>
      </c>
      <c r="K559" s="4" t="str">
        <v>Aeimnestus, who is loyal to Dionysius, overthrows Castrugiuvanni</v>
      </c>
      <c r="P559" t="str">
        <v>405</v>
      </c>
      <c r="Q559" t="str">
        <v>The naval Battle of Aegospotami in which Lysander captures the Athenian fleet, Spartan king Pausanias besieges Athens, Cleophon executed, Corinth and Thebes demand destruction of Athens.</v>
      </c>
    </row>
    <row r="560" spans="1:17" x14ac:dyDescent="0.25">
      <c r="A560" t="s">
        <v>559</v>
      </c>
      <c r="B560" t="str" cm="1">
        <f t="array" ref="B560">INDEX(_xlfn.TEXTSPLIT(A560, " "), 1)</f>
        <v>403</v>
      </c>
      <c r="C560" t="str" cm="1">
        <f t="array" ref="C560">INDEX(_xlfn.TEXTSPLIT(B560, "-"), 1)</f>
        <v>403</v>
      </c>
      <c r="D560" t="str" cm="1">
        <f t="array" ref="D560">IFERROR(INDEX(_xlfn.TEXTSPLIT(B560, "-"), 2), "")</f>
        <v/>
      </c>
      <c r="E560" t="str">
        <f t="shared" si="24"/>
        <v>Aetna is overthrown by mercenaries loyal to Dionysius</v>
      </c>
      <c r="F560" t="str">
        <f t="shared" si="25"/>
        <v/>
      </c>
      <c r="H560" t="b">
        <f t="shared" si="26"/>
        <v>0</v>
      </c>
      <c r="J560" s="3" t="str">
        <v>403</v>
      </c>
      <c r="K560" s="4" t="str">
        <v>Aetna is overthrown by mercenaries loyal to Dionysius</v>
      </c>
      <c r="P560" t="str">
        <v>405</v>
      </c>
      <c r="Q560" t="str">
        <v>Klazomenai and Ephesus betray Athens and join the Peloponnesian League. All Carthaginian subjects (Except Ziz, their islands, Motya, Solus, Elymi, Segesta, and Entella) gain independence</v>
      </c>
    </row>
    <row r="561" spans="1:17" x14ac:dyDescent="0.25">
      <c r="A561" t="s">
        <v>560</v>
      </c>
      <c r="B561" t="str" cm="1">
        <f t="array" ref="B561">INDEX(_xlfn.TEXTSPLIT(A561, " "), 1)</f>
        <v>403</v>
      </c>
      <c r="C561" t="str" cm="1">
        <f t="array" ref="C561">INDEX(_xlfn.TEXTSPLIT(B561, "-"), 1)</f>
        <v>403</v>
      </c>
      <c r="D561" t="str" cm="1">
        <f t="array" ref="D561">IFERROR(INDEX(_xlfn.TEXTSPLIT(B561, "-"), 2), "")</f>
        <v/>
      </c>
      <c r="E561" t="str">
        <f t="shared" si="24"/>
        <v>Dionysius destroys Naxos and Catania and Sicels split Naxos with Syracuse, Catania is ruled by Campanian mercenaries loyal to Dionysius</v>
      </c>
      <c r="F561" t="str">
        <f t="shared" si="25"/>
        <v/>
      </c>
      <c r="H561" t="b">
        <f t="shared" si="26"/>
        <v>0</v>
      </c>
      <c r="J561" s="3" t="str">
        <v>403</v>
      </c>
      <c r="K561" s="4" t="str">
        <v>Dionysius destroys Naxos and Catania and Sicels split Naxos with Syracuse, Catania is ruled by Campanian mercenaries loyal to Dionysius</v>
      </c>
      <c r="P561" t="str">
        <v>404</v>
      </c>
      <c r="Q561" t="str">
        <v>Athens capitulates April 25. Theramenes secures terms, prevents total destruction of Athens, Theramenes and Alcibiades are killed.</v>
      </c>
    </row>
    <row r="562" spans="1:17" x14ac:dyDescent="0.25">
      <c r="A562" t="s">
        <v>561</v>
      </c>
      <c r="B562" t="str" cm="1">
        <f t="array" ref="B562">INDEX(_xlfn.TEXTSPLIT(A562, " "), 1)</f>
        <v>403</v>
      </c>
      <c r="C562" t="str" cm="1">
        <f t="array" ref="C562">INDEX(_xlfn.TEXTSPLIT(B562, "-"), 1)</f>
        <v>403</v>
      </c>
      <c r="D562" t="str" cm="1">
        <f t="array" ref="D562">IFERROR(INDEX(_xlfn.TEXTSPLIT(B562, "-"), 2), "")</f>
        <v/>
      </c>
      <c r="E562" t="str">
        <f t="shared" si="24"/>
        <v>Athens overthrows the Thirty</v>
      </c>
      <c r="F562" t="str">
        <f t="shared" si="25"/>
        <v/>
      </c>
      <c r="H562" t="b">
        <f t="shared" si="26"/>
        <v>0</v>
      </c>
      <c r="J562" s="3" t="str">
        <v>403</v>
      </c>
      <c r="K562" s="4" t="str">
        <v>Athens overthrows the Thirty</v>
      </c>
      <c r="P562" t="str">
        <v>404</v>
      </c>
      <c r="Q562" t="str">
        <v>Delian League is dissolved</v>
      </c>
    </row>
    <row r="563" spans="1:17" x14ac:dyDescent="0.25">
      <c r="A563" t="s">
        <v>562</v>
      </c>
      <c r="B563" t="str" cm="1">
        <f t="array" ref="B563">INDEX(_xlfn.TEXTSPLIT(A563, " "), 1)</f>
        <v>403</v>
      </c>
      <c r="C563" t="str" cm="1">
        <f t="array" ref="C563">INDEX(_xlfn.TEXTSPLIT(B563, "-"), 1)</f>
        <v>403</v>
      </c>
      <c r="D563" t="str" cm="1">
        <f t="array" ref="D563">IFERROR(INDEX(_xlfn.TEXTSPLIT(B563, "-"), 2), "")</f>
        <v/>
      </c>
      <c r="E563" t="str">
        <f t="shared" si="24"/>
        <v>Athens leaves the Peloponnesian League and refounds the Delian League</v>
      </c>
      <c r="F563" t="str">
        <f t="shared" si="25"/>
        <v/>
      </c>
      <c r="H563" t="b">
        <f t="shared" si="26"/>
        <v>0</v>
      </c>
      <c r="J563" s="3" t="str">
        <v>403</v>
      </c>
      <c r="K563" s="4" t="str">
        <v>Athens leaves the Peloponnesian League and refounds the Delian League</v>
      </c>
      <c r="P563" t="str">
        <v>404</v>
      </c>
      <c r="Q563" t="str">
        <v>Korinth leaves the Peloponnesian League</v>
      </c>
    </row>
    <row r="564" spans="1:17" x14ac:dyDescent="0.25">
      <c r="A564" t="s">
        <v>563</v>
      </c>
      <c r="B564" t="str" cm="1">
        <f t="array" ref="B564">INDEX(_xlfn.TEXTSPLIT(A564, " "), 1)</f>
        <v>402</v>
      </c>
      <c r="C564" t="str" cm="1">
        <f t="array" ref="C564">INDEX(_xlfn.TEXTSPLIT(B564, "-"), 1)</f>
        <v>402</v>
      </c>
      <c r="D564" t="str" cm="1">
        <f t="array" ref="D564">IFERROR(INDEX(_xlfn.TEXTSPLIT(B564, "-"), 2), "")</f>
        <v/>
      </c>
      <c r="E564" t="str">
        <f t="shared" si="24"/>
        <v>Elis leaves the Peloponnesian League and is subsequently sieged by Sparta</v>
      </c>
      <c r="F564" t="str">
        <f t="shared" si="25"/>
        <v/>
      </c>
      <c r="H564" t="b">
        <f t="shared" si="26"/>
        <v>0</v>
      </c>
      <c r="J564" s="3" t="str">
        <v>402</v>
      </c>
      <c r="K564" s="4" t="str">
        <v>Elis leaves the Peloponnesian League and is subsequently sieged by Sparta</v>
      </c>
      <c r="P564" t="str">
        <v>404</v>
      </c>
      <c r="Q564" t="str">
        <v>Entella is overthrown by mercenaries loyal to Carthage</v>
      </c>
    </row>
    <row r="565" spans="1:17" x14ac:dyDescent="0.25">
      <c r="A565" t="s">
        <v>564</v>
      </c>
      <c r="B565" t="str" cm="1">
        <f t="array" ref="B565">INDEX(_xlfn.TEXTSPLIT(A565, " "), 1)</f>
        <v>401</v>
      </c>
      <c r="C565" t="str" cm="1">
        <f t="array" ref="C565">INDEX(_xlfn.TEXTSPLIT(B565, "-"), 1)</f>
        <v>401</v>
      </c>
      <c r="D565" t="str" cm="1">
        <f t="array" ref="D565">IFERROR(INDEX(_xlfn.TEXTSPLIT(B565, "-"), 2), "")</f>
        <v/>
      </c>
      <c r="E565" t="str">
        <f t="shared" si="24"/>
        <v>Euboea joins the Delian League</v>
      </c>
      <c r="F565" t="str">
        <f t="shared" si="25"/>
        <v/>
      </c>
      <c r="H565" t="b">
        <f t="shared" si="26"/>
        <v>0</v>
      </c>
      <c r="J565" s="3" t="str">
        <v>401</v>
      </c>
      <c r="K565" s="4" t="str">
        <v>Euboea joins the Delian League</v>
      </c>
      <c r="P565" t="str">
        <v>404</v>
      </c>
      <c r="Q565" t="str">
        <v>Aygris becomes a Syracusan Subject</v>
      </c>
    </row>
    <row r="566" spans="1:17" x14ac:dyDescent="0.25">
      <c r="A566" t="s">
        <v>565</v>
      </c>
      <c r="B566" t="str" cm="1">
        <f t="array" ref="B566">INDEX(_xlfn.TEXTSPLIT(A566, " "), 1)</f>
        <v>401</v>
      </c>
      <c r="C566" t="str" cm="1">
        <f t="array" ref="C566">INDEX(_xlfn.TEXTSPLIT(B566, "-"), 1)</f>
        <v>401</v>
      </c>
      <c r="D566" t="str" cm="1">
        <f t="array" ref="D566">IFERROR(INDEX(_xlfn.TEXTSPLIT(B566, "-"), 2), "")</f>
        <v/>
      </c>
      <c r="E566" t="str">
        <f t="shared" si="24"/>
        <v>Elis is sacked and impressed into the Peloponnesian League</v>
      </c>
      <c r="F566" t="str">
        <f t="shared" si="25"/>
        <v/>
      </c>
      <c r="H566" t="b">
        <f t="shared" si="26"/>
        <v>0</v>
      </c>
      <c r="J566" s="3" t="str">
        <v>401</v>
      </c>
      <c r="K566" s="4" t="str">
        <v>Elis is sacked and impressed into the Peloponnesian League</v>
      </c>
      <c r="P566" t="str">
        <v>404</v>
      </c>
      <c r="Q566" t="str">
        <v>Nafpaktos is annexed by Ozolian Locris</v>
      </c>
    </row>
    <row r="567" spans="1:17" x14ac:dyDescent="0.25">
      <c r="A567" t="s">
        <v>566</v>
      </c>
      <c r="B567" t="str" cm="1">
        <f t="array" ref="B567">INDEX(_xlfn.TEXTSPLIT(A567, " "), 1)</f>
        <v>401</v>
      </c>
      <c r="C567" t="str" cm="1">
        <f t="array" ref="C567">INDEX(_xlfn.TEXTSPLIT(B567, "-"), 1)</f>
        <v>401</v>
      </c>
      <c r="D567" t="str" cm="1">
        <f t="array" ref="D567">IFERROR(INDEX(_xlfn.TEXTSPLIT(B567, "-"), 2), "")</f>
        <v/>
      </c>
      <c r="E567" t="str">
        <f t="shared" si="24"/>
        <v>Dionysius free Castrugiuvanni from Aeimnestus</v>
      </c>
      <c r="F567" t="str">
        <f t="shared" si="25"/>
        <v/>
      </c>
      <c r="H567" t="b">
        <f t="shared" si="26"/>
        <v>0</v>
      </c>
      <c r="J567" s="3" t="str">
        <v>401</v>
      </c>
      <c r="K567" s="4" t="str">
        <v>Dionysius free Castrugiuvanni from Aeimnestus</v>
      </c>
      <c r="P567" t="str">
        <v>404</v>
      </c>
      <c r="Q567" t="str">
        <v>Athens is overthrown by the Thirty</v>
      </c>
    </row>
    <row r="568" spans="1:17" x14ac:dyDescent="0.25">
      <c r="A568" t="s">
        <v>567</v>
      </c>
      <c r="B568" t="str" cm="1">
        <f t="array" ref="B568">INDEX(_xlfn.TEXTSPLIT(A568, " "), 1)</f>
        <v>401</v>
      </c>
      <c r="C568" t="str" cm="1">
        <f t="array" ref="C568">INDEX(_xlfn.TEXTSPLIT(B568, "-"), 1)</f>
        <v>401</v>
      </c>
      <c r="D568" t="str" cm="1">
        <f t="array" ref="D568">IFERROR(INDEX(_xlfn.TEXTSPLIT(B568, "-"), 2), "")</f>
        <v/>
      </c>
      <c r="E568" t="str">
        <f t="shared" si="24"/>
        <v>Poseidonia is annexed by Lucanians</v>
      </c>
      <c r="F568" t="str">
        <f t="shared" si="25"/>
        <v/>
      </c>
      <c r="H568" t="b">
        <f t="shared" si="26"/>
        <v>0</v>
      </c>
      <c r="J568" s="3" t="str">
        <v>401</v>
      </c>
      <c r="K568" s="4" t="str">
        <v>Poseidonia is annexed by Lucanians</v>
      </c>
      <c r="P568" t="str">
        <v>404</v>
      </c>
      <c r="Q568" t="str">
        <v>Athens joins the Peloponnesian League</v>
      </c>
    </row>
    <row r="569" spans="1:17" x14ac:dyDescent="0.25">
      <c r="A569" t="s">
        <v>568</v>
      </c>
      <c r="B569" t="str" cm="1">
        <f t="array" ref="B569">INDEX(_xlfn.TEXTSPLIT(A569, " "), 1)</f>
        <v>401</v>
      </c>
      <c r="C569" t="str" cm="1">
        <f t="array" ref="C569">INDEX(_xlfn.TEXTSPLIT(B569, "-"), 1)</f>
        <v>401</v>
      </c>
      <c r="D569" t="str" cm="1">
        <f t="array" ref="D569">IFERROR(INDEX(_xlfn.TEXTSPLIT(B569, "-"), 2), "")</f>
        <v/>
      </c>
      <c r="E569" t="str">
        <f t="shared" si="24"/>
        <v>Thucydides, Greek historian, leaves account of "Golden Age of Pericles" and Peloponnesian War at his death (History of the Peloponnesian War).</v>
      </c>
      <c r="F569" t="str">
        <f t="shared" si="25"/>
        <v/>
      </c>
      <c r="H569" t="b">
        <f t="shared" si="26"/>
        <v>0</v>
      </c>
      <c r="J569" s="3" t="str">
        <v>401</v>
      </c>
      <c r="K569" s="4" t="str">
        <v>Thucydides, Greek historian, leaves account of "Golden Age of Pericles" and Peloponnesian War at his death (History of the Peloponnesian War).</v>
      </c>
      <c r="P569" t="str">
        <v>403</v>
      </c>
      <c r="Q569" t="str">
        <v>Aeimnestus, who is loyal to Dionysius, overthrows Castrugiuvanni</v>
      </c>
    </row>
    <row r="570" spans="1:17" x14ac:dyDescent="0.25">
      <c r="A570" t="s">
        <v>569</v>
      </c>
      <c r="B570" t="str" cm="1">
        <f t="array" ref="B570">INDEX(_xlfn.TEXTSPLIT(A570, " "), 1)</f>
        <v>400</v>
      </c>
      <c r="C570" t="str" cm="1">
        <f t="array" ref="C570">INDEX(_xlfn.TEXTSPLIT(B570, "-"), 1)</f>
        <v>400</v>
      </c>
      <c r="D570" t="str" cm="1">
        <f t="array" ref="D570">IFERROR(INDEX(_xlfn.TEXTSPLIT(B570, "-"), 2), "")</f>
        <v/>
      </c>
      <c r="E570" t="str">
        <f t="shared" si="24"/>
        <v>Adranon is founded by Dionysius</v>
      </c>
      <c r="F570" t="str">
        <f t="shared" si="25"/>
        <v/>
      </c>
      <c r="H570" t="b">
        <f t="shared" si="26"/>
        <v>0</v>
      </c>
      <c r="J570" s="3" t="str">
        <v>400</v>
      </c>
      <c r="K570" s="4" t="str">
        <v>Adranon is founded by Dionysius</v>
      </c>
      <c r="P570" t="str">
        <v>403</v>
      </c>
      <c r="Q570" t="str">
        <v>Aetna is overthrown by mercenaries loyal to Dionysius</v>
      </c>
    </row>
    <row r="571" spans="1:17" x14ac:dyDescent="0.25">
      <c r="A571" t="s">
        <v>570</v>
      </c>
      <c r="B571" t="str" cm="1">
        <f t="array" ref="B571">INDEX(_xlfn.TEXTSPLIT(A571, " "), 1)</f>
        <v>400</v>
      </c>
      <c r="C571" t="str" cm="1">
        <f t="array" ref="C571">INDEX(_xlfn.TEXTSPLIT(B571, "-"), 1)</f>
        <v>400</v>
      </c>
      <c r="D571" t="str" cm="1">
        <f t="array" ref="D571">IFERROR(INDEX(_xlfn.TEXTSPLIT(B571, "-"), 2), "")</f>
        <v/>
      </c>
      <c r="E571" t="str">
        <f t="shared" si="24"/>
        <v>Aygris annexes Centuripe</v>
      </c>
      <c r="F571" t="str">
        <f t="shared" si="25"/>
        <v/>
      </c>
      <c r="H571" t="b">
        <f t="shared" si="26"/>
        <v>0</v>
      </c>
      <c r="J571" s="3" t="str">
        <v>400</v>
      </c>
      <c r="K571" s="4" t="str">
        <v>Aygris annexes Centuripe</v>
      </c>
      <c r="P571" t="str">
        <v>403</v>
      </c>
      <c r="Q571" t="str">
        <v>Dionysius destroys Naxos and Catania and Sicels split Naxos with Syracuse, Catania is ruled by Campanian mercenaries loyal to Dionysius</v>
      </c>
    </row>
    <row r="572" spans="1:17" x14ac:dyDescent="0.25">
      <c r="A572" t="s">
        <v>571</v>
      </c>
      <c r="B572" t="str" cm="1">
        <f t="array" ref="B572">INDEX(_xlfn.TEXTSPLIT(A572, " "), 1)</f>
        <v>400</v>
      </c>
      <c r="C572" t="str" cm="1">
        <f t="array" ref="C572">INDEX(_xlfn.TEXTSPLIT(B572, "-"), 1)</f>
        <v>400</v>
      </c>
      <c r="D572" t="str" cm="1">
        <f t="array" ref="D572">IFERROR(INDEX(_xlfn.TEXTSPLIT(B572, "-"), 2), "")</f>
        <v/>
      </c>
      <c r="E572" t="str">
        <f t="shared" si="24"/>
        <v>Democritus, Greek philosopher, develops Atomic theory, believes cause and necessity, nothing comes out of nothing</v>
      </c>
      <c r="F572" t="str">
        <f t="shared" si="25"/>
        <v/>
      </c>
      <c r="H572" t="b">
        <f t="shared" si="26"/>
        <v>0</v>
      </c>
      <c r="J572" s="3" t="str">
        <v>400</v>
      </c>
      <c r="K572" s="4" t="str">
        <v>Democritus, Greek philosopher, develops Atomic theory, believes cause and necessity, nothing comes out of nothing</v>
      </c>
      <c r="P572" t="str">
        <v>403</v>
      </c>
      <c r="Q572" t="str">
        <v>Athens overthrows the Thirty</v>
      </c>
    </row>
    <row r="573" spans="1:17" x14ac:dyDescent="0.25">
      <c r="A573" t="s">
        <v>572</v>
      </c>
      <c r="B573" t="str" cm="1">
        <f t="array" ref="B573">INDEX(_xlfn.TEXTSPLIT(A573, " "), 1)</f>
        <v>399</v>
      </c>
      <c r="C573" t="str" cm="1">
        <f t="array" ref="C573">INDEX(_xlfn.TEXTSPLIT(B573, "-"), 1)</f>
        <v>399</v>
      </c>
      <c r="D573" t="str" cm="1">
        <f t="array" ref="D573">IFERROR(INDEX(_xlfn.TEXTSPLIT(B573, "-"), 2), "")</f>
        <v/>
      </c>
      <c r="E573" t="str">
        <f t="shared" si="24"/>
        <v>Illios declares independence from Lampsacus</v>
      </c>
      <c r="F573" t="str">
        <f t="shared" si="25"/>
        <v/>
      </c>
      <c r="H573" t="b">
        <f t="shared" si="26"/>
        <v>0</v>
      </c>
      <c r="J573" s="3" t="str">
        <v>399</v>
      </c>
      <c r="K573" s="4" t="str">
        <v>Illios declares independence from Lampsacus</v>
      </c>
      <c r="P573" t="str">
        <v>403</v>
      </c>
      <c r="Q573" t="str">
        <v>Athens leaves the Peloponnesian League and refounds the Delian League</v>
      </c>
    </row>
    <row r="574" spans="1:17" x14ac:dyDescent="0.25">
      <c r="A574" t="s">
        <v>573</v>
      </c>
      <c r="B574" t="str" cm="1">
        <f t="array" ref="B574">INDEX(_xlfn.TEXTSPLIT(A574, " "), 1)</f>
        <v>399</v>
      </c>
      <c r="C574" t="str" cm="1">
        <f t="array" ref="C574">INDEX(_xlfn.TEXTSPLIT(B574, "-"), 1)</f>
        <v>399</v>
      </c>
      <c r="D574" t="str" cm="1">
        <f t="array" ref="D574">IFERROR(INDEX(_xlfn.TEXTSPLIT(B574, "-"), 2), "")</f>
        <v/>
      </c>
      <c r="E574" t="str">
        <f t="shared" si="24"/>
        <v>Sparta sways Persian Controlled Greek cities near Pergamon to their side and march on Egyptian Larissa and siege it</v>
      </c>
      <c r="F574" t="str">
        <f t="shared" si="25"/>
        <v/>
      </c>
      <c r="H574" t="b">
        <f t="shared" si="26"/>
        <v>0</v>
      </c>
      <c r="J574" s="3" t="str">
        <v>399</v>
      </c>
      <c r="K574" s="4" t="str">
        <v>Sparta sways Persian Controlled Greek cities near Pergamon to their side and march on Egyptian Larissa and siege it</v>
      </c>
      <c r="P574" t="str">
        <v>402</v>
      </c>
      <c r="Q574" t="str">
        <v>Elis leaves the Peloponnesian League and is subsequently sieged by Sparta</v>
      </c>
    </row>
    <row r="575" spans="1:17" x14ac:dyDescent="0.25">
      <c r="A575" t="s">
        <v>574</v>
      </c>
      <c r="B575" t="str" cm="1">
        <f t="array" ref="B575">INDEX(_xlfn.TEXTSPLIT(A575, " "), 1)</f>
        <v>399</v>
      </c>
      <c r="C575" t="str" cm="1">
        <f t="array" ref="C575">INDEX(_xlfn.TEXTSPLIT(B575, "-"), 1)</f>
        <v>399</v>
      </c>
      <c r="D575" t="str" cm="1">
        <f t="array" ref="D575">IFERROR(INDEX(_xlfn.TEXTSPLIT(B575, "-"), 2), "")</f>
        <v/>
      </c>
      <c r="E575" t="str">
        <f t="shared" si="24"/>
        <v>Socrates, Greek philosopher, condemned to death for corrupting youth.</v>
      </c>
      <c r="F575" t="str">
        <f t="shared" si="25"/>
        <v/>
      </c>
      <c r="H575" t="b">
        <f t="shared" si="26"/>
        <v>0</v>
      </c>
      <c r="J575" s="3" t="str">
        <v>399</v>
      </c>
      <c r="K575" s="4" t="str">
        <v>Socrates, Greek philosopher, condemned to death for corrupting youth.</v>
      </c>
      <c r="P575" t="str">
        <v>401</v>
      </c>
      <c r="Q575" t="str">
        <v>Euboea joins the Delian League</v>
      </c>
    </row>
    <row r="576" spans="1:17" x14ac:dyDescent="0.25">
      <c r="A576" t="s">
        <v>575</v>
      </c>
      <c r="B576" t="str" cm="1">
        <f t="array" ref="B576">INDEX(_xlfn.TEXTSPLIT(A576, " "), 1)</f>
        <v>398</v>
      </c>
      <c r="C576" t="str" cm="1">
        <f t="array" ref="C576">INDEX(_xlfn.TEXTSPLIT(B576, "-"), 1)</f>
        <v>398</v>
      </c>
      <c r="D576" t="str" cm="1">
        <f t="array" ref="D576">IFERROR(INDEX(_xlfn.TEXTSPLIT(B576, "-"), 2), "")</f>
        <v/>
      </c>
      <c r="E576" t="str">
        <f t="shared" si="24"/>
        <v>Ionia joins the Peloponnesian League</v>
      </c>
      <c r="F576" t="str">
        <f t="shared" si="25"/>
        <v/>
      </c>
      <c r="H576" t="b">
        <f t="shared" si="26"/>
        <v>0</v>
      </c>
      <c r="J576" s="3" t="str">
        <v>398</v>
      </c>
      <c r="K576" s="4" t="str">
        <v>Ionia joins the Peloponnesian League</v>
      </c>
      <c r="P576" t="str">
        <v>401</v>
      </c>
      <c r="Q576" t="str">
        <v>Elis is sacked and impressed into the Peloponnesian League</v>
      </c>
    </row>
    <row r="577" spans="1:17" x14ac:dyDescent="0.25">
      <c r="A577" t="s">
        <v>576</v>
      </c>
      <c r="B577" t="str" cm="1">
        <f t="array" ref="B577">INDEX(_xlfn.TEXTSPLIT(A577, " "), 1)</f>
        <v>398</v>
      </c>
      <c r="C577" t="str" cm="1">
        <f t="array" ref="C577">INDEX(_xlfn.TEXTSPLIT(B577, "-"), 1)</f>
        <v>398</v>
      </c>
      <c r="D577" t="str" cm="1">
        <f t="array" ref="D577">IFERROR(INDEX(_xlfn.TEXTSPLIT(B577, "-"), 2), "")</f>
        <v/>
      </c>
      <c r="E577" t="str">
        <f t="shared" si="24"/>
        <v>All Carthaginian subjects (Except Ziz, their islands, Motya, Solus, Elymi, Segesta, and Entella) gain independence from Carthage</v>
      </c>
      <c r="F577" t="str">
        <f t="shared" si="25"/>
        <v/>
      </c>
      <c r="H577" t="b">
        <f t="shared" si="26"/>
        <v>0</v>
      </c>
      <c r="J577" s="3" t="str">
        <v>398</v>
      </c>
      <c r="K577" s="4" t="str">
        <v>All Carthaginian subjects (Except Ziz, their islands, Motya, Solus, Elymi, Segesta, and Entella) gain independence from Carthage</v>
      </c>
      <c r="P577" t="str">
        <v>401</v>
      </c>
      <c r="Q577" t="str">
        <v>Dionysius free Castrugiuvanni from Aeimnestus</v>
      </c>
    </row>
    <row r="578" spans="1:17" x14ac:dyDescent="0.25">
      <c r="A578" t="s">
        <v>577</v>
      </c>
      <c r="B578" t="str" cm="1">
        <f t="array" ref="B578">INDEX(_xlfn.TEXTSPLIT(A578, " "), 1)</f>
        <v>398</v>
      </c>
      <c r="C578" t="str" cm="1">
        <f t="array" ref="C578">INDEX(_xlfn.TEXTSPLIT(B578, "-"), 1)</f>
        <v>398</v>
      </c>
      <c r="D578" t="str" cm="1">
        <f t="array" ref="D578">IFERROR(INDEX(_xlfn.TEXTSPLIT(B578, "-"), 2), "")</f>
        <v/>
      </c>
      <c r="E578" t="str">
        <f t="shared" si="24"/>
        <v>Dionysius sieges Segesta and Entella</v>
      </c>
      <c r="F578" t="str">
        <f t="shared" si="25"/>
        <v/>
      </c>
      <c r="H578" t="b">
        <f t="shared" si="26"/>
        <v>0</v>
      </c>
      <c r="J578" s="3" t="str">
        <v>398</v>
      </c>
      <c r="K578" s="4" t="str">
        <v>Dionysius sieges Segesta and Entella</v>
      </c>
      <c r="P578" t="str">
        <v>401</v>
      </c>
      <c r="Q578" t="str">
        <v>Poseidonia is annexed by Lucanians</v>
      </c>
    </row>
    <row r="579" spans="1:17" x14ac:dyDescent="0.25">
      <c r="A579" t="s">
        <v>578</v>
      </c>
      <c r="B579" t="str" cm="1">
        <f t="array" ref="B579">INDEX(_xlfn.TEXTSPLIT(A579, " "), 1)</f>
        <v>398</v>
      </c>
      <c r="C579" t="str" cm="1">
        <f t="array" ref="C579">INDEX(_xlfn.TEXTSPLIT(B579, "-"), 1)</f>
        <v>398</v>
      </c>
      <c r="D579" t="str" cm="1">
        <f t="array" ref="D579">IFERROR(INDEX(_xlfn.TEXTSPLIT(B579, "-"), 2), "")</f>
        <v/>
      </c>
      <c r="E579" t="str">
        <f t="shared" ref="E579:E642" si="27">_xlfn.LET(
  _xlpm.szoveg,
  MID(A579, SEARCH(" ", A579) + 1, LEN(A579)),
  IF(ISNUMBER(SEARCH("-",B579)), _xlpm.szoveg &amp; " --&gt;", _xlpm.szoveg)
)</f>
        <v>Mainland territory of Motya is occupied by Dionysius</v>
      </c>
      <c r="F579" t="str">
        <f t="shared" ref="F579:F642" si="28">_xlfn.LET(
  _xlpm.szoveg,
  MID(A579, SEARCH(" ", A579) + 1, LEN(A579)),
  IF(ISNUMBER(SEARCH("-",B579)), "--&gt; " &amp; _xlpm.szoveg, "")
)</f>
        <v/>
      </c>
      <c r="H579" t="b">
        <f t="shared" ref="H579:H642" si="29">ISNUMBER(SEARCH("-", B579))</f>
        <v>0</v>
      </c>
      <c r="J579" s="3" t="str">
        <v>398</v>
      </c>
      <c r="K579" s="4" t="str">
        <v>Mainland territory of Motya is occupied by Dionysius</v>
      </c>
      <c r="P579" t="str">
        <v>401</v>
      </c>
      <c r="Q579" t="str">
        <v>Thucydides, Greek historian, leaves account of "Golden Age of Pericles" and Peloponnesian War at his death (History of the Peloponnesian War).</v>
      </c>
    </row>
    <row r="580" spans="1:17" x14ac:dyDescent="0.25">
      <c r="A580" t="s">
        <v>579</v>
      </c>
      <c r="B580" t="str" cm="1">
        <f t="array" ref="B580">INDEX(_xlfn.TEXTSPLIT(A580, " "), 1)</f>
        <v>397</v>
      </c>
      <c r="C580" t="str" cm="1">
        <f t="array" ref="C580">INDEX(_xlfn.TEXTSPLIT(B580, "-"), 1)</f>
        <v>397</v>
      </c>
      <c r="D580" t="str" cm="1">
        <f t="array" ref="D580">IFERROR(INDEX(_xlfn.TEXTSPLIT(B580, "-"), 2), "")</f>
        <v/>
      </c>
      <c r="E580" t="str">
        <f t="shared" si="27"/>
        <v>Motya is destroyed by Dionysius and the Carthaginians build Lilybaion to replace it</v>
      </c>
      <c r="F580" t="str">
        <f t="shared" si="28"/>
        <v/>
      </c>
      <c r="H580" t="b">
        <f t="shared" si="29"/>
        <v>0</v>
      </c>
      <c r="J580" s="3" t="str">
        <v>397</v>
      </c>
      <c r="K580" s="4" t="str">
        <v>Motya is destroyed by Dionysius and the Carthaginians build Lilybaion to replace it</v>
      </c>
      <c r="P580" t="str">
        <v>400</v>
      </c>
      <c r="Q580" t="str">
        <v>Adranon is founded by Dionysius</v>
      </c>
    </row>
    <row r="581" spans="1:17" x14ac:dyDescent="0.25">
      <c r="A581" t="s">
        <v>580</v>
      </c>
      <c r="B581" t="str" cm="1">
        <f t="array" ref="B581">INDEX(_xlfn.TEXTSPLIT(A581, " "), 1)</f>
        <v>397</v>
      </c>
      <c r="C581" t="str" cm="1">
        <f t="array" ref="C581">INDEX(_xlfn.TEXTSPLIT(B581, "-"), 1)</f>
        <v>397</v>
      </c>
      <c r="D581" t="str" cm="1">
        <f t="array" ref="D581">IFERROR(INDEX(_xlfn.TEXTSPLIT(B581, "-"), 2), "")</f>
        <v/>
      </c>
      <c r="E581" t="str">
        <f t="shared" si="27"/>
        <v>Dionysius abandons the Sieges of Entella and Segesta</v>
      </c>
      <c r="F581" t="str">
        <f t="shared" si="28"/>
        <v/>
      </c>
      <c r="H581" t="b">
        <f t="shared" si="29"/>
        <v>0</v>
      </c>
      <c r="J581" s="3" t="str">
        <v>397</v>
      </c>
      <c r="K581" s="4" t="str">
        <v>Dionysius abandons the Sieges of Entella and Segesta</v>
      </c>
      <c r="P581" t="str">
        <v>400</v>
      </c>
      <c r="Q581" t="str">
        <v>Aygris annexes Centuripe</v>
      </c>
    </row>
    <row r="582" spans="1:17" x14ac:dyDescent="0.25">
      <c r="A582" t="s">
        <v>581</v>
      </c>
      <c r="B582" t="str" cm="1">
        <f t="array" ref="B582">INDEX(_xlfn.TEXTSPLIT(A582, " "), 1)</f>
        <v>397</v>
      </c>
      <c r="C582" t="str" cm="1">
        <f t="array" ref="C582">INDEX(_xlfn.TEXTSPLIT(B582, "-"), 1)</f>
        <v>397</v>
      </c>
      <c r="D582" t="str" cm="1">
        <f t="array" ref="D582">IFERROR(INDEX(_xlfn.TEXTSPLIT(B582, "-"), 2), "")</f>
        <v/>
      </c>
      <c r="E582" t="str">
        <f t="shared" si="27"/>
        <v>Eryx, Segesta, Lipari, Messene and Entella are annexed by Carthage</v>
      </c>
      <c r="F582" t="str">
        <f t="shared" si="28"/>
        <v/>
      </c>
      <c r="H582" t="b">
        <f t="shared" si="29"/>
        <v>0</v>
      </c>
      <c r="J582" s="3" t="str">
        <v>397</v>
      </c>
      <c r="K582" s="4" t="str">
        <v>Eryx, Segesta, Lipari, Messene and Entella are annexed by Carthage</v>
      </c>
      <c r="P582" t="str">
        <v>400</v>
      </c>
      <c r="Q582" t="str">
        <v>Democritus, Greek philosopher, develops Atomic theory, believes cause and necessity, nothing comes out of nothing</v>
      </c>
    </row>
    <row r="583" spans="1:17" x14ac:dyDescent="0.25">
      <c r="A583" t="s">
        <v>582</v>
      </c>
      <c r="B583" t="str" cm="1">
        <f t="array" ref="B583">INDEX(_xlfn.TEXTSPLIT(A583, " "), 1)</f>
        <v>397</v>
      </c>
      <c r="C583" t="str" cm="1">
        <f t="array" ref="C583">INDEX(_xlfn.TEXTSPLIT(B583, "-"), 1)</f>
        <v>397</v>
      </c>
      <c r="D583" t="str" cm="1">
        <f t="array" ref="D583">IFERROR(INDEX(_xlfn.TEXTSPLIT(B583, "-"), 2), "")</f>
        <v/>
      </c>
      <c r="E583" t="str">
        <f t="shared" si="27"/>
        <v>Carthage allies with the Sicel cities except Assorus</v>
      </c>
      <c r="F583" t="str">
        <f t="shared" si="28"/>
        <v/>
      </c>
      <c r="H583" t="b">
        <f t="shared" si="29"/>
        <v>0</v>
      </c>
      <c r="J583" s="3" t="str">
        <v>397</v>
      </c>
      <c r="K583" s="4" t="str">
        <v>Carthage allies with the Sicel cities except Assorus</v>
      </c>
      <c r="P583" t="str">
        <v>399</v>
      </c>
      <c r="Q583" t="str">
        <v>Illios declares independence from Lampsacus</v>
      </c>
    </row>
    <row r="584" spans="1:17" x14ac:dyDescent="0.25">
      <c r="A584" t="s">
        <v>583</v>
      </c>
      <c r="B584" t="str" cm="1">
        <f t="array" ref="B584">INDEX(_xlfn.TEXTSPLIT(A584, " "), 1)</f>
        <v>397</v>
      </c>
      <c r="C584" t="str" cm="1">
        <f t="array" ref="C584">INDEX(_xlfn.TEXTSPLIT(B584, "-"), 1)</f>
        <v>397</v>
      </c>
      <c r="D584" t="str" cm="1">
        <f t="array" ref="D584">IFERROR(INDEX(_xlfn.TEXTSPLIT(B584, "-"), 2), "")</f>
        <v/>
      </c>
      <c r="E584" t="str">
        <f t="shared" si="27"/>
        <v>Tauormenion is founded by Carthage to be a supply base, settled by Sicels</v>
      </c>
      <c r="F584" t="str">
        <f t="shared" si="28"/>
        <v/>
      </c>
      <c r="H584" t="b">
        <f t="shared" si="29"/>
        <v>0</v>
      </c>
      <c r="J584" s="3" t="str">
        <v>397</v>
      </c>
      <c r="K584" s="4" t="str">
        <v>Tauormenion is founded by Carthage to be a supply base, settled by Sicels</v>
      </c>
      <c r="P584" t="str">
        <v>399</v>
      </c>
      <c r="Q584" t="str">
        <v>Sparta sways Persian Controlled Greek cities near Pergamon to their side and march on Egyptian Larissa and siege it</v>
      </c>
    </row>
    <row r="585" spans="1:17" x14ac:dyDescent="0.25">
      <c r="A585" t="s">
        <v>584</v>
      </c>
      <c r="B585" t="str" cm="1">
        <f t="array" ref="B585">INDEX(_xlfn.TEXTSPLIT(A585, " "), 1)</f>
        <v>397</v>
      </c>
      <c r="C585" t="str" cm="1">
        <f t="array" ref="C585">INDEX(_xlfn.TEXTSPLIT(B585, "-"), 1)</f>
        <v>397</v>
      </c>
      <c r="D585" t="str" cm="1">
        <f t="array" ref="D585">IFERROR(INDEX(_xlfn.TEXTSPLIT(B585, "-"), 2), "")</f>
        <v/>
      </c>
      <c r="E585" t="str">
        <f t="shared" si="27"/>
        <v>Carthaginian forces have to go the long way around Mount Etna due to an eruption</v>
      </c>
      <c r="F585" t="str">
        <f t="shared" si="28"/>
        <v/>
      </c>
      <c r="H585" t="b">
        <f t="shared" si="29"/>
        <v>0</v>
      </c>
      <c r="J585" s="3" t="str">
        <v>397</v>
      </c>
      <c r="K585" s="4" t="str">
        <v>Carthaginian forces have to go the long way around Mount Etna due to an eruption</v>
      </c>
      <c r="P585" t="str">
        <v>399</v>
      </c>
      <c r="Q585" t="str">
        <v>Socrates, Greek philosopher, condemned to death for corrupting youth.</v>
      </c>
    </row>
    <row r="586" spans="1:17" x14ac:dyDescent="0.25">
      <c r="A586" t="s">
        <v>585</v>
      </c>
      <c r="B586" t="str" cm="1">
        <f t="array" ref="B586">INDEX(_xlfn.TEXTSPLIT(A586, " "), 1)</f>
        <v>397</v>
      </c>
      <c r="C586" t="str" cm="1">
        <f t="array" ref="C586">INDEX(_xlfn.TEXTSPLIT(B586, "-"), 1)</f>
        <v>397</v>
      </c>
      <c r="D586" t="str" cm="1">
        <f t="array" ref="D586">IFERROR(INDEX(_xlfn.TEXTSPLIT(B586, "-"), 2), "")</f>
        <v/>
      </c>
      <c r="E586" t="str">
        <f t="shared" si="27"/>
        <v>Catania is occupied by Carthage</v>
      </c>
      <c r="F586" t="str">
        <f t="shared" si="28"/>
        <v/>
      </c>
      <c r="H586" t="b">
        <f t="shared" si="29"/>
        <v>0</v>
      </c>
      <c r="J586" s="3" t="str">
        <v>397</v>
      </c>
      <c r="K586" s="4" t="str">
        <v>Catania is occupied by Carthage</v>
      </c>
      <c r="P586" t="str">
        <v>398</v>
      </c>
      <c r="Q586" t="str">
        <v>Ionia joins the Peloponnesian League</v>
      </c>
    </row>
    <row r="587" spans="1:17" x14ac:dyDescent="0.25">
      <c r="A587" t="s">
        <v>586</v>
      </c>
      <c r="B587" t="str" cm="1">
        <f t="array" ref="B587">INDEX(_xlfn.TEXTSPLIT(A587, " "), 1)</f>
        <v>397</v>
      </c>
      <c r="C587" t="str" cm="1">
        <f t="array" ref="C587">INDEX(_xlfn.TEXTSPLIT(B587, "-"), 1)</f>
        <v>397</v>
      </c>
      <c r="D587" t="str" cm="1">
        <f t="array" ref="D587">IFERROR(INDEX(_xlfn.TEXTSPLIT(B587, "-"), 2), "")</f>
        <v/>
      </c>
      <c r="E587" t="str">
        <f t="shared" si="27"/>
        <v>Battle of Catania</v>
      </c>
      <c r="F587" t="str">
        <f t="shared" si="28"/>
        <v/>
      </c>
      <c r="H587" t="b">
        <f t="shared" si="29"/>
        <v>0</v>
      </c>
      <c r="J587" s="3" t="str">
        <v>397</v>
      </c>
      <c r="K587" s="4" t="str">
        <v>Battle of Catania</v>
      </c>
      <c r="P587" t="str">
        <v>398</v>
      </c>
      <c r="Q587" t="str">
        <v>All Carthaginian subjects (Except Ziz, their islands, Motya, Solus, Elymi, Segesta, and Entella) gain independence from Carthage</v>
      </c>
    </row>
    <row r="588" spans="1:17" x14ac:dyDescent="0.25">
      <c r="A588" t="s">
        <v>587</v>
      </c>
      <c r="B588" t="str" cm="1">
        <f t="array" ref="B588">INDEX(_xlfn.TEXTSPLIT(A588, " "), 1)</f>
        <v>397</v>
      </c>
      <c r="C588" t="str" cm="1">
        <f t="array" ref="C588">INDEX(_xlfn.TEXTSPLIT(B588, "-"), 1)</f>
        <v>397</v>
      </c>
      <c r="D588" t="str" cm="1">
        <f t="array" ref="D588">IFERROR(INDEX(_xlfn.TEXTSPLIT(B588, "-"), 2), "")</f>
        <v/>
      </c>
      <c r="E588" t="str">
        <f t="shared" si="27"/>
        <v>Syracuse is besieged by Carthage</v>
      </c>
      <c r="F588" t="str">
        <f t="shared" si="28"/>
        <v/>
      </c>
      <c r="H588" t="b">
        <f t="shared" si="29"/>
        <v>0</v>
      </c>
      <c r="J588" s="3" t="str">
        <v>397</v>
      </c>
      <c r="K588" s="4" t="str">
        <v>Syracuse is besieged by Carthage</v>
      </c>
      <c r="P588" t="str">
        <v>398</v>
      </c>
      <c r="Q588" t="str">
        <v>Dionysius sieges Segesta and Entella</v>
      </c>
    </row>
    <row r="589" spans="1:17" x14ac:dyDescent="0.25">
      <c r="A589" t="s">
        <v>588</v>
      </c>
      <c r="B589" t="str" cm="1">
        <f t="array" ref="B589">INDEX(_xlfn.TEXTSPLIT(A589, " "), 1)</f>
        <v>396</v>
      </c>
      <c r="C589" t="str" cm="1">
        <f t="array" ref="C589">INDEX(_xlfn.TEXTSPLIT(B589, "-"), 1)</f>
        <v>396</v>
      </c>
      <c r="D589" t="str" cm="1">
        <f t="array" ref="D589">IFERROR(INDEX(_xlfn.TEXTSPLIT(B589, "-"), 2), "")</f>
        <v/>
      </c>
      <c r="E589" t="str">
        <f t="shared" si="27"/>
        <v>Carthage lifts the Siege of Syracuse and abandons Eastern Sicily except Messene and Lipari</v>
      </c>
      <c r="F589" t="str">
        <f t="shared" si="28"/>
        <v/>
      </c>
      <c r="H589" t="b">
        <f t="shared" si="29"/>
        <v>0</v>
      </c>
      <c r="J589" s="3" t="str">
        <v>396</v>
      </c>
      <c r="K589" s="4" t="str">
        <v>Carthage lifts the Siege of Syracuse and abandons Eastern Sicily except Messene and Lipari</v>
      </c>
      <c r="P589" t="str">
        <v>398</v>
      </c>
      <c r="Q589" t="str">
        <v>Mainland territory of Motya is occupied by Dionysius</v>
      </c>
    </row>
    <row r="590" spans="1:17" x14ac:dyDescent="0.25">
      <c r="A590" t="s">
        <v>589</v>
      </c>
      <c r="B590" t="str" cm="1">
        <f t="array" ref="B590">INDEX(_xlfn.TEXTSPLIT(A590, " "), 1)</f>
        <v>396</v>
      </c>
      <c r="C590" t="str" cm="1">
        <f t="array" ref="C590">INDEX(_xlfn.TEXTSPLIT(B590, "-"), 1)</f>
        <v>396</v>
      </c>
      <c r="D590" t="str" cm="1">
        <f t="array" ref="D590">IFERROR(INDEX(_xlfn.TEXTSPLIT(B590, "-"), 2), "")</f>
        <v/>
      </c>
      <c r="E590" t="str">
        <f t="shared" si="27"/>
        <v>Himera and Selinus are annexed by Carthage</v>
      </c>
      <c r="F590" t="str">
        <f t="shared" si="28"/>
        <v/>
      </c>
      <c r="H590" t="b">
        <f t="shared" si="29"/>
        <v>0</v>
      </c>
      <c r="J590" s="3" t="str">
        <v>396</v>
      </c>
      <c r="K590" s="4" t="str">
        <v>Himera and Selinus are annexed by Carthage</v>
      </c>
      <c r="P590" t="str">
        <v>397</v>
      </c>
      <c r="Q590" t="str">
        <v>Motya is destroyed by Dionysius and the Carthaginians build Lilybaion to replace it</v>
      </c>
    </row>
    <row r="591" spans="1:17" x14ac:dyDescent="0.25">
      <c r="A591" t="s">
        <v>590</v>
      </c>
      <c r="B591" t="str" cm="1">
        <f t="array" ref="B591">INDEX(_xlfn.TEXTSPLIT(A591, " "), 1)</f>
        <v>396</v>
      </c>
      <c r="C591" t="str" cm="1">
        <f t="array" ref="C591">INDEX(_xlfn.TEXTSPLIT(B591, "-"), 1)</f>
        <v>396</v>
      </c>
      <c r="D591" t="str" cm="1">
        <f t="array" ref="D591">IFERROR(INDEX(_xlfn.TEXTSPLIT(B591, "-"), 2), "")</f>
        <v/>
      </c>
      <c r="E591" t="str">
        <f t="shared" si="27"/>
        <v>Gela, Ergezio, Catania, Adranon, Kamarina and Leontini are annexed by Dionysius</v>
      </c>
      <c r="F591" t="str">
        <f t="shared" si="28"/>
        <v/>
      </c>
      <c r="H591" t="b">
        <f t="shared" si="29"/>
        <v>0</v>
      </c>
      <c r="J591" s="3" t="str">
        <v>396</v>
      </c>
      <c r="K591" s="4" t="str">
        <v>Gela, Ergezio, Catania, Adranon, Kamarina and Leontini are annexed by Dionysius</v>
      </c>
      <c r="P591" t="str">
        <v>397</v>
      </c>
      <c r="Q591" t="str">
        <v>Dionysius abandons the Sieges of Entella and Segesta</v>
      </c>
    </row>
    <row r="592" spans="1:17" x14ac:dyDescent="0.25">
      <c r="A592" t="s">
        <v>591</v>
      </c>
      <c r="B592" t="str" cm="1">
        <f t="array" ref="B592">INDEX(_xlfn.TEXTSPLIT(A592, " "), 1)</f>
        <v>396</v>
      </c>
      <c r="C592" t="str" cm="1">
        <f t="array" ref="C592">INDEX(_xlfn.TEXTSPLIT(B592, "-"), 1)</f>
        <v>396</v>
      </c>
      <c r="D592" t="str" cm="1">
        <f t="array" ref="D592">IFERROR(INDEX(_xlfn.TEXTSPLIT(B592, "-"), 2), "")</f>
        <v/>
      </c>
      <c r="E592" t="str">
        <f t="shared" si="27"/>
        <v>Tyndaris is founded by Dionysius to combat piracy and a base of operations</v>
      </c>
      <c r="F592" t="str">
        <f t="shared" si="28"/>
        <v/>
      </c>
      <c r="H592" t="b">
        <f t="shared" si="29"/>
        <v>0</v>
      </c>
      <c r="J592" s="3" t="str">
        <v>396</v>
      </c>
      <c r="K592" s="4" t="str">
        <v>Tyndaris is founded by Dionysius to combat piracy and a base of operations</v>
      </c>
      <c r="P592" t="str">
        <v>397</v>
      </c>
      <c r="Q592" t="str">
        <v>Eryx, Segesta, Lipari, Messene and Entella are annexed by Carthage</v>
      </c>
    </row>
    <row r="593" spans="1:17" x14ac:dyDescent="0.25">
      <c r="A593" t="s">
        <v>592</v>
      </c>
      <c r="B593" t="str" cm="1">
        <f t="array" ref="B593">INDEX(_xlfn.TEXTSPLIT(A593, " "), 1)</f>
        <v>396</v>
      </c>
      <c r="C593" t="str" cm="1">
        <f t="array" ref="C593">INDEX(_xlfn.TEXTSPLIT(B593, "-"), 1)</f>
        <v>396</v>
      </c>
      <c r="D593" t="str" cm="1">
        <f t="array" ref="D593">IFERROR(INDEX(_xlfn.TEXTSPLIT(B593, "-"), 2), "")</f>
        <v/>
      </c>
      <c r="E593" t="str">
        <f t="shared" si="27"/>
        <v>Persia annexes Rodos</v>
      </c>
      <c r="F593" t="str">
        <f t="shared" si="28"/>
        <v/>
      </c>
      <c r="H593" t="b">
        <f t="shared" si="29"/>
        <v>0</v>
      </c>
      <c r="J593" s="3" t="str">
        <v>396</v>
      </c>
      <c r="K593" s="4" t="str">
        <v>Persia annexes Rodos</v>
      </c>
      <c r="P593" t="str">
        <v>397</v>
      </c>
      <c r="Q593" t="str">
        <v>Carthage allies with the Sicel cities except Assorus</v>
      </c>
    </row>
    <row r="594" spans="1:17" x14ac:dyDescent="0.25">
      <c r="A594" t="s">
        <v>593</v>
      </c>
      <c r="B594" t="str" cm="1">
        <f t="array" ref="B594">INDEX(_xlfn.TEXTSPLIT(A594, " "), 1)</f>
        <v>396</v>
      </c>
      <c r="C594" t="str" cm="1">
        <f t="array" ref="C594">INDEX(_xlfn.TEXTSPLIT(B594, "-"), 1)</f>
        <v>396</v>
      </c>
      <c r="D594" t="str" cm="1">
        <f t="array" ref="D594">IFERROR(INDEX(_xlfn.TEXTSPLIT(B594, "-"), 2), "")</f>
        <v/>
      </c>
      <c r="E594" t="str">
        <f t="shared" si="27"/>
        <v>Sparta campaigns in Phrygia</v>
      </c>
      <c r="F594" t="str">
        <f t="shared" si="28"/>
        <v/>
      </c>
      <c r="H594" t="b">
        <f t="shared" si="29"/>
        <v>0</v>
      </c>
      <c r="J594" s="3" t="str">
        <v>396</v>
      </c>
      <c r="K594" s="4" t="str">
        <v>Sparta campaigns in Phrygia</v>
      </c>
      <c r="P594" t="str">
        <v>397</v>
      </c>
      <c r="Q594" t="str">
        <v>Tauormenion is founded by Carthage to be a supply base, settled by Sicels</v>
      </c>
    </row>
    <row r="595" spans="1:17" x14ac:dyDescent="0.25">
      <c r="A595" t="s">
        <v>594</v>
      </c>
      <c r="B595" t="str" cm="1">
        <f t="array" ref="B595">INDEX(_xlfn.TEXTSPLIT(A595, " "), 1)</f>
        <v>395</v>
      </c>
      <c r="C595" t="str" cm="1">
        <f t="array" ref="C595">INDEX(_xlfn.TEXTSPLIT(B595, "-"), 1)</f>
        <v>395</v>
      </c>
      <c r="D595" t="str" cm="1">
        <f t="array" ref="D595">IFERROR(INDEX(_xlfn.TEXTSPLIT(B595, "-"), 2), "")</f>
        <v/>
      </c>
      <c r="E595" t="str">
        <f t="shared" si="27"/>
        <v>Sparta campaigns in Ionia, Caria and march up to Sardis</v>
      </c>
      <c r="F595" t="str">
        <f t="shared" si="28"/>
        <v/>
      </c>
      <c r="H595" t="b">
        <f t="shared" si="29"/>
        <v>0</v>
      </c>
      <c r="J595" s="3" t="str">
        <v>395</v>
      </c>
      <c r="K595" s="4" t="str">
        <v>Sparta campaigns in Ionia, Caria and march up to Sardis</v>
      </c>
      <c r="P595" t="str">
        <v>397</v>
      </c>
      <c r="Q595" t="str">
        <v>Carthaginian forces have to go the long way around Mount Etna due to an eruption</v>
      </c>
    </row>
    <row r="596" spans="1:17" x14ac:dyDescent="0.25">
      <c r="A596" t="s">
        <v>595</v>
      </c>
      <c r="B596" t="str" cm="1">
        <f t="array" ref="B596">INDEX(_xlfn.TEXTSPLIT(A596, " "), 1)</f>
        <v>395</v>
      </c>
      <c r="C596" t="str" cm="1">
        <f t="array" ref="C596">INDEX(_xlfn.TEXTSPLIT(B596, "-"), 1)</f>
        <v>395</v>
      </c>
      <c r="D596" t="str" cm="1">
        <f t="array" ref="D596">IFERROR(INDEX(_xlfn.TEXTSPLIT(B596, "-"), 2), "")</f>
        <v/>
      </c>
      <c r="E596" t="str">
        <f t="shared" si="27"/>
        <v>Orchmenus leaves the Boeotian League</v>
      </c>
      <c r="F596" t="str">
        <f t="shared" si="28"/>
        <v/>
      </c>
      <c r="H596" t="b">
        <f t="shared" si="29"/>
        <v>0</v>
      </c>
      <c r="J596" s="3" t="str">
        <v>395</v>
      </c>
      <c r="K596" s="4" t="str">
        <v>Orchmenus leaves the Boeotian League</v>
      </c>
      <c r="P596" t="str">
        <v>397</v>
      </c>
      <c r="Q596" t="str">
        <v>Catania is occupied by Carthage</v>
      </c>
    </row>
    <row r="597" spans="1:17" x14ac:dyDescent="0.25">
      <c r="A597" t="s">
        <v>596</v>
      </c>
      <c r="B597" t="str" cm="1">
        <f t="array" ref="B597">INDEX(_xlfn.TEXTSPLIT(A597, " "), 1)</f>
        <v>395</v>
      </c>
      <c r="C597" t="str" cm="1">
        <f t="array" ref="C597">INDEX(_xlfn.TEXTSPLIT(B597, "-"), 1)</f>
        <v>395</v>
      </c>
      <c r="D597" t="str" cm="1">
        <f t="array" ref="D597">IFERROR(INDEX(_xlfn.TEXTSPLIT(B597, "-"), 2), "")</f>
        <v/>
      </c>
      <c r="E597" t="str">
        <f t="shared" si="27"/>
        <v>Cephaloedium is annexed by Dionysius</v>
      </c>
      <c r="F597" t="str">
        <f t="shared" si="28"/>
        <v/>
      </c>
      <c r="H597" t="b">
        <f t="shared" si="29"/>
        <v>0</v>
      </c>
      <c r="J597" s="3" t="str">
        <v>395</v>
      </c>
      <c r="K597" s="4" t="str">
        <v>Cephaloedium is annexed by Dionysius</v>
      </c>
      <c r="P597" t="str">
        <v>397</v>
      </c>
      <c r="Q597" t="str">
        <v>Battle of Catania</v>
      </c>
    </row>
    <row r="598" spans="1:17" x14ac:dyDescent="0.25">
      <c r="A598" t="s">
        <v>597</v>
      </c>
      <c r="B598" t="str" cm="1">
        <f t="array" ref="B598">INDEX(_xlfn.TEXTSPLIT(A598, " "), 1)</f>
        <v>395</v>
      </c>
      <c r="C598" t="str" cm="1">
        <f t="array" ref="C598">INDEX(_xlfn.TEXTSPLIT(B598, "-"), 1)</f>
        <v>395</v>
      </c>
      <c r="D598" t="str" cm="1">
        <f t="array" ref="D598">IFERROR(INDEX(_xlfn.TEXTSPLIT(B598, "-"), 2), "")</f>
        <v/>
      </c>
      <c r="E598" t="str">
        <f t="shared" si="27"/>
        <v>Mylae is annexed by Rhegion</v>
      </c>
      <c r="F598" t="str">
        <f t="shared" si="28"/>
        <v/>
      </c>
      <c r="H598" t="b">
        <f t="shared" si="29"/>
        <v>0</v>
      </c>
      <c r="J598" s="3" t="str">
        <v>395</v>
      </c>
      <c r="K598" s="4" t="str">
        <v>Mylae is annexed by Rhegion</v>
      </c>
      <c r="P598" t="str">
        <v>397</v>
      </c>
      <c r="Q598" t="str">
        <v>Syracuse is besieged by Carthage</v>
      </c>
    </row>
    <row r="599" spans="1:17" x14ac:dyDescent="0.25">
      <c r="A599" t="s">
        <v>598</v>
      </c>
      <c r="B599" t="str" cm="1">
        <f t="array" ref="B599">INDEX(_xlfn.TEXTSPLIT(A599, " "), 1)</f>
        <v>395</v>
      </c>
      <c r="C599" t="str" cm="1">
        <f t="array" ref="C599">INDEX(_xlfn.TEXTSPLIT(B599, "-"), 1)</f>
        <v>395</v>
      </c>
      <c r="D599" t="str" cm="1">
        <f t="array" ref="D599">IFERROR(INDEX(_xlfn.TEXTSPLIT(B599, "-"), 2), "")</f>
        <v/>
      </c>
      <c r="E599" t="str">
        <f t="shared" si="27"/>
        <v>Argos, Korinthos and Boeotian League leave the Peloponnesian League</v>
      </c>
      <c r="F599" t="str">
        <f t="shared" si="28"/>
        <v/>
      </c>
      <c r="H599" t="b">
        <f t="shared" si="29"/>
        <v>0</v>
      </c>
      <c r="J599" s="3" t="str">
        <v>395</v>
      </c>
      <c r="K599" s="4" t="str">
        <v>Argos, Korinthos and Boeotian League leave the Peloponnesian League</v>
      </c>
      <c r="P599" t="str">
        <v>396</v>
      </c>
      <c r="Q599" t="str">
        <v>Carthage lifts the Siege of Syracuse and abandons Eastern Sicily except Messene and Lipari</v>
      </c>
    </row>
    <row r="600" spans="1:17" x14ac:dyDescent="0.25">
      <c r="A600" t="s">
        <v>599</v>
      </c>
      <c r="B600" t="str" cm="1">
        <f t="array" ref="B600">INDEX(_xlfn.TEXTSPLIT(A600, " "), 1)</f>
        <v>394</v>
      </c>
      <c r="C600" t="str" cm="1">
        <f t="array" ref="C600">INDEX(_xlfn.TEXTSPLIT(B600, "-"), 1)</f>
        <v>394</v>
      </c>
      <c r="D600" t="str" cm="1">
        <f t="array" ref="D600">IFERROR(INDEX(_xlfn.TEXTSPLIT(B600, "-"), 2), "")</f>
        <v/>
      </c>
      <c r="E600" t="str">
        <f t="shared" si="27"/>
        <v>Sparta withdraws from Anatolia</v>
      </c>
      <c r="F600" t="str">
        <f t="shared" si="28"/>
        <v/>
      </c>
      <c r="H600" t="b">
        <f t="shared" si="29"/>
        <v>0</v>
      </c>
      <c r="J600" s="3" t="str">
        <v>394</v>
      </c>
      <c r="K600" s="4" t="str">
        <v>Sparta withdraws from Anatolia</v>
      </c>
      <c r="P600" t="str">
        <v>396</v>
      </c>
      <c r="Q600" t="str">
        <v>Himera and Selinus are annexed by Carthage</v>
      </c>
    </row>
    <row r="601" spans="1:17" x14ac:dyDescent="0.25">
      <c r="A601" t="s">
        <v>600</v>
      </c>
      <c r="B601" t="str" cm="1">
        <f t="array" ref="B601">INDEX(_xlfn.TEXTSPLIT(A601, " "), 1)</f>
        <v>394</v>
      </c>
      <c r="C601" t="str" cm="1">
        <f t="array" ref="C601">INDEX(_xlfn.TEXTSPLIT(B601, "-"), 1)</f>
        <v>394</v>
      </c>
      <c r="D601" t="str" cm="1">
        <f t="array" ref="D601">IFERROR(INDEX(_xlfn.TEXTSPLIT(B601, "-"), 2), "")</f>
        <v/>
      </c>
      <c r="E601" t="str">
        <f t="shared" si="27"/>
        <v>All Thracian and Anatolian Greek cities leave the Peloponnesian League (Except Sestos and Abydos)</v>
      </c>
      <c r="F601" t="str">
        <f t="shared" si="28"/>
        <v/>
      </c>
      <c r="H601" t="b">
        <f t="shared" si="29"/>
        <v>0</v>
      </c>
      <c r="J601" s="3" t="str">
        <v>394</v>
      </c>
      <c r="K601" s="4" t="str">
        <v>All Thracian and Anatolian Greek cities leave the Peloponnesian League (Except Sestos and Abydos)</v>
      </c>
      <c r="P601" t="str">
        <v>396</v>
      </c>
      <c r="Q601" t="str">
        <v>Gela, Ergezio, Catania, Adranon, Kamarina and Leontini are annexed by Dionysius</v>
      </c>
    </row>
    <row r="602" spans="1:17" x14ac:dyDescent="0.25">
      <c r="A602" t="s">
        <v>601</v>
      </c>
      <c r="B602" t="str" cm="1">
        <f t="array" ref="B602">INDEX(_xlfn.TEXTSPLIT(A602, " "), 1)</f>
        <v>394</v>
      </c>
      <c r="C602" t="str" cm="1">
        <f t="array" ref="C602">INDEX(_xlfn.TEXTSPLIT(B602, "-"), 1)</f>
        <v>394</v>
      </c>
      <c r="D602" t="str" cm="1">
        <f t="array" ref="D602">IFERROR(INDEX(_xlfn.TEXTSPLIT(B602, "-"), 2), "")</f>
        <v/>
      </c>
      <c r="E602" t="str">
        <f t="shared" si="27"/>
        <v>Virtually all Greek Anatolian cities are annexed by Persia</v>
      </c>
      <c r="F602" t="str">
        <f t="shared" si="28"/>
        <v/>
      </c>
      <c r="H602" t="b">
        <f t="shared" si="29"/>
        <v>0</v>
      </c>
      <c r="J602" s="3" t="str">
        <v>394</v>
      </c>
      <c r="K602" s="4" t="str">
        <v>Virtually all Greek Anatolian cities are annexed by Persia</v>
      </c>
      <c r="P602" t="str">
        <v>396</v>
      </c>
      <c r="Q602" t="str">
        <v>Tyndaris is founded by Dionysius to combat piracy and a base of operations</v>
      </c>
    </row>
    <row r="603" spans="1:17" x14ac:dyDescent="0.25">
      <c r="A603" t="s">
        <v>602</v>
      </c>
      <c r="B603" t="str" cm="1">
        <f t="array" ref="B603">INDEX(_xlfn.TEXTSPLIT(A603, " "), 1)</f>
        <v>394</v>
      </c>
      <c r="C603" t="str" cm="1">
        <f t="array" ref="C603">INDEX(_xlfn.TEXTSPLIT(B603, "-"), 1)</f>
        <v>394</v>
      </c>
      <c r="D603" t="str" cm="1">
        <f t="array" ref="D603">IFERROR(INDEX(_xlfn.TEXTSPLIT(B603, "-"), 2), "")</f>
        <v/>
      </c>
      <c r="E603" t="str">
        <f t="shared" si="27"/>
        <v>Klazomenaites relocate to an island off shore</v>
      </c>
      <c r="F603" t="str">
        <f t="shared" si="28"/>
        <v/>
      </c>
      <c r="H603" t="b">
        <f t="shared" si="29"/>
        <v>0</v>
      </c>
      <c r="J603" s="3" t="str">
        <v>394</v>
      </c>
      <c r="K603" s="4" t="str">
        <v>Klazomenaites relocate to an island off shore</v>
      </c>
      <c r="P603" t="str">
        <v>396</v>
      </c>
      <c r="Q603" t="str">
        <v>Persia annexes Rodos</v>
      </c>
    </row>
    <row r="604" spans="1:17" x14ac:dyDescent="0.25">
      <c r="A604" t="s">
        <v>603</v>
      </c>
      <c r="B604" t="str" cm="1">
        <f t="array" ref="B604">INDEX(_xlfn.TEXTSPLIT(A604, " "), 1)</f>
        <v>394</v>
      </c>
      <c r="C604" t="str" cm="1">
        <f t="array" ref="C604">INDEX(_xlfn.TEXTSPLIT(B604, "-"), 1)</f>
        <v>394</v>
      </c>
      <c r="D604" t="str" cm="1">
        <f t="array" ref="D604">IFERROR(INDEX(_xlfn.TEXTSPLIT(B604, "-"), 2), "")</f>
        <v/>
      </c>
      <c r="E604" t="str">
        <f t="shared" si="27"/>
        <v>Mylae is annexed by Syracuse</v>
      </c>
      <c r="F604" t="str">
        <f t="shared" si="28"/>
        <v/>
      </c>
      <c r="H604" t="b">
        <f t="shared" si="29"/>
        <v>0</v>
      </c>
      <c r="J604" s="3" t="str">
        <v>394</v>
      </c>
      <c r="K604" s="4" t="str">
        <v>Mylae is annexed by Syracuse</v>
      </c>
      <c r="P604" t="str">
        <v>396</v>
      </c>
      <c r="Q604" t="str">
        <v>Sparta campaigns in Phrygia</v>
      </c>
    </row>
    <row r="605" spans="1:17" x14ac:dyDescent="0.25">
      <c r="A605" t="s">
        <v>604</v>
      </c>
      <c r="B605" t="str" cm="1">
        <f t="array" ref="B605">INDEX(_xlfn.TEXTSPLIT(A605, " "), 1)</f>
        <v>393</v>
      </c>
      <c r="C605" t="str" cm="1">
        <f t="array" ref="C605">INDEX(_xlfn.TEXTSPLIT(B605, "-"), 1)</f>
        <v>393</v>
      </c>
      <c r="D605" t="str" cm="1">
        <f t="array" ref="D605">IFERROR(INDEX(_xlfn.TEXTSPLIT(B605, "-"), 2), "")</f>
        <v/>
      </c>
      <c r="E605" t="str">
        <f t="shared" si="27"/>
        <v>Lipari is annexed by Syracuse</v>
      </c>
      <c r="F605" t="str">
        <f t="shared" si="28"/>
        <v/>
      </c>
      <c r="H605" t="b">
        <f t="shared" si="29"/>
        <v>0</v>
      </c>
      <c r="J605" s="3" t="str">
        <v>393</v>
      </c>
      <c r="K605" s="4" t="str">
        <v>Lipari is annexed by Syracuse</v>
      </c>
      <c r="P605" t="str">
        <v>395</v>
      </c>
      <c r="Q605" t="str">
        <v>Sparta campaigns in Ionia, Caria and march up to Sardis</v>
      </c>
    </row>
    <row r="606" spans="1:17" x14ac:dyDescent="0.25">
      <c r="A606" t="s">
        <v>605</v>
      </c>
      <c r="B606" t="str" cm="1">
        <f t="array" ref="B606">INDEX(_xlfn.TEXTSPLIT(A606, " "), 1)</f>
        <v>393</v>
      </c>
      <c r="C606" t="str" cm="1">
        <f t="array" ref="C606">INDEX(_xlfn.TEXTSPLIT(B606, "-"), 1)</f>
        <v>393</v>
      </c>
      <c r="D606" t="str" cm="1">
        <f t="array" ref="D606">IFERROR(INDEX(_xlfn.TEXTSPLIT(B606, "-"), 2), "")</f>
        <v/>
      </c>
      <c r="E606" t="str">
        <f t="shared" si="27"/>
        <v>Italiote League is formed by Sybaris on the Traeis, Croton, Caulonia, Thurii, Rhegium and Velia</v>
      </c>
      <c r="F606" t="str">
        <f t="shared" si="28"/>
        <v/>
      </c>
      <c r="H606" t="b">
        <f t="shared" si="29"/>
        <v>0</v>
      </c>
      <c r="J606" s="3" t="str">
        <v>393</v>
      </c>
      <c r="K606" s="4" t="str">
        <v>Italiote League is formed by Sybaris on the Traeis, Croton, Caulonia, Thurii, Rhegium and Velia</v>
      </c>
      <c r="P606" t="str">
        <v>395</v>
      </c>
      <c r="Q606" t="str">
        <v>Orchmenus leaves the Boeotian League</v>
      </c>
    </row>
    <row r="607" spans="1:17" x14ac:dyDescent="0.25">
      <c r="A607" t="s">
        <v>606</v>
      </c>
      <c r="B607" t="str" cm="1">
        <f t="array" ref="B607">INDEX(_xlfn.TEXTSPLIT(A607, " "), 1)</f>
        <v>393</v>
      </c>
      <c r="C607" t="str" cm="1">
        <f t="array" ref="C607">INDEX(_xlfn.TEXTSPLIT(B607, "-"), 1)</f>
        <v>393</v>
      </c>
      <c r="D607" t="str" cm="1">
        <f t="array" ref="D607">IFERROR(INDEX(_xlfn.TEXTSPLIT(B607, "-"), 2), "")</f>
        <v/>
      </c>
      <c r="E607" t="str">
        <f t="shared" si="27"/>
        <v>Imbros, Lemnos and Skyros are annexed by Athens</v>
      </c>
      <c r="F607" t="str">
        <f t="shared" si="28"/>
        <v/>
      </c>
      <c r="H607" t="b">
        <f t="shared" si="29"/>
        <v>0</v>
      </c>
      <c r="J607" s="3" t="str">
        <v>393</v>
      </c>
      <c r="K607" s="4" t="str">
        <v>Imbros, Lemnos and Skyros are annexed by Athens</v>
      </c>
      <c r="P607" t="str">
        <v>395</v>
      </c>
      <c r="Q607" t="str">
        <v>Cephaloedium is annexed by Dionysius</v>
      </c>
    </row>
    <row r="608" spans="1:17" x14ac:dyDescent="0.25">
      <c r="A608" t="s">
        <v>607</v>
      </c>
      <c r="B608" t="str" cm="1">
        <f t="array" ref="B608">INDEX(_xlfn.TEXTSPLIT(A608, " "), 1)</f>
        <v>393</v>
      </c>
      <c r="C608" t="str" cm="1">
        <f t="array" ref="C608">INDEX(_xlfn.TEXTSPLIT(B608, "-"), 1)</f>
        <v>393</v>
      </c>
      <c r="D608" t="str" cm="1">
        <f t="array" ref="D608">IFERROR(INDEX(_xlfn.TEXTSPLIT(B608, "-"), 2), "")</f>
        <v/>
      </c>
      <c r="E608" t="str">
        <f t="shared" si="27"/>
        <v>Makedonia starts paying tribute to the newly formed Kingdom of Dardania</v>
      </c>
      <c r="F608" t="str">
        <f t="shared" si="28"/>
        <v/>
      </c>
      <c r="H608" t="b">
        <f t="shared" si="29"/>
        <v>0</v>
      </c>
      <c r="J608" s="3" t="str">
        <v>393</v>
      </c>
      <c r="K608" s="4" t="str">
        <v>Makedonia starts paying tribute to the newly formed Kingdom of Dardania</v>
      </c>
      <c r="P608" t="str">
        <v>395</v>
      </c>
      <c r="Q608" t="str">
        <v>Mylae is annexed by Rhegion</v>
      </c>
    </row>
    <row r="609" spans="1:17" x14ac:dyDescent="0.25">
      <c r="A609" t="s">
        <v>608</v>
      </c>
      <c r="B609" t="str" cm="1">
        <f t="array" ref="B609">INDEX(_xlfn.TEXTSPLIT(A609, " "), 1)</f>
        <v>393</v>
      </c>
      <c r="C609" t="str" cm="1">
        <f t="array" ref="C609">INDEX(_xlfn.TEXTSPLIT(B609, "-"), 1)</f>
        <v>393</v>
      </c>
      <c r="D609" t="str" cm="1">
        <f t="array" ref="D609">IFERROR(INDEX(_xlfn.TEXTSPLIT(B609, "-"), 2), "")</f>
        <v/>
      </c>
      <c r="E609" t="str">
        <f t="shared" si="27"/>
        <v>Chalcidian League annexes some Makedonian land</v>
      </c>
      <c r="F609" t="str">
        <f t="shared" si="28"/>
        <v/>
      </c>
      <c r="H609" t="b">
        <f t="shared" si="29"/>
        <v>0</v>
      </c>
      <c r="J609" s="3" t="str">
        <v>393</v>
      </c>
      <c r="K609" s="4" t="str">
        <v>Chalcidian League annexes some Makedonian land</v>
      </c>
      <c r="P609" t="str">
        <v>395</v>
      </c>
      <c r="Q609" t="str">
        <v>Argos, Korinthos and Boeotian League leave the Peloponnesian League</v>
      </c>
    </row>
    <row r="610" spans="1:17" x14ac:dyDescent="0.25">
      <c r="A610" t="s">
        <v>609</v>
      </c>
      <c r="B610" t="str" cm="1">
        <f t="array" ref="B610">INDEX(_xlfn.TEXTSPLIT(A610, " "), 1)</f>
        <v>392</v>
      </c>
      <c r="C610" t="str" cm="1">
        <f t="array" ref="C610">INDEX(_xlfn.TEXTSPLIT(B610, "-"), 1)</f>
        <v>392</v>
      </c>
      <c r="D610" t="str" cm="1">
        <f t="array" ref="D610">IFERROR(INDEX(_xlfn.TEXTSPLIT(B610, "-"), 2), "")</f>
        <v/>
      </c>
      <c r="E610" t="str">
        <f t="shared" si="27"/>
        <v>Sparta occupies Lechaeum</v>
      </c>
      <c r="F610" t="str">
        <f t="shared" si="28"/>
        <v/>
      </c>
      <c r="H610" t="b">
        <f t="shared" si="29"/>
        <v>0</v>
      </c>
      <c r="J610" s="3" t="str">
        <v>392</v>
      </c>
      <c r="K610" s="4" t="str">
        <v>Sparta occupies Lechaeum</v>
      </c>
      <c r="P610" t="str">
        <v>394</v>
      </c>
      <c r="Q610" t="str">
        <v>Sparta withdraws from Anatolia</v>
      </c>
    </row>
    <row r="611" spans="1:17" x14ac:dyDescent="0.25">
      <c r="A611" t="s">
        <v>610</v>
      </c>
      <c r="B611" t="str" cm="1">
        <f t="array" ref="B611">INDEX(_xlfn.TEXTSPLIT(A611, " "), 1)</f>
        <v>392</v>
      </c>
      <c r="C611" t="str" cm="1">
        <f t="array" ref="C611">INDEX(_xlfn.TEXTSPLIT(B611, "-"), 1)</f>
        <v>392</v>
      </c>
      <c r="D611" t="str" cm="1">
        <f t="array" ref="D611">IFERROR(INDEX(_xlfn.TEXTSPLIT(B611, "-"), 2), "")</f>
        <v/>
      </c>
      <c r="E611" t="str">
        <f t="shared" si="27"/>
        <v>Heraclea Minoa, Akragas and Sicani territory are annexed by Carthage</v>
      </c>
      <c r="F611" t="str">
        <f t="shared" si="28"/>
        <v/>
      </c>
      <c r="H611" t="b">
        <f t="shared" si="29"/>
        <v>0</v>
      </c>
      <c r="J611" s="3" t="str">
        <v>392</v>
      </c>
      <c r="K611" s="4" t="str">
        <v>Heraclea Minoa, Akragas and Sicani territory are annexed by Carthage</v>
      </c>
      <c r="P611" t="str">
        <v>394</v>
      </c>
      <c r="Q611" t="str">
        <v>All Thracian and Anatolian Greek cities leave the Peloponnesian League (Except Sestos and Abydos)</v>
      </c>
    </row>
    <row r="612" spans="1:17" x14ac:dyDescent="0.25">
      <c r="A612" t="s">
        <v>611</v>
      </c>
      <c r="B612" t="str" cm="1">
        <f t="array" ref="B612">INDEX(_xlfn.TEXTSPLIT(A612, " "), 1)</f>
        <v>392</v>
      </c>
      <c r="C612" t="str" cm="1">
        <f t="array" ref="C612">INDEX(_xlfn.TEXTSPLIT(B612, "-"), 1)</f>
        <v>392</v>
      </c>
      <c r="D612" t="str" cm="1">
        <f t="array" ref="D612">IFERROR(INDEX(_xlfn.TEXTSPLIT(B612, "-"), 2), "")</f>
        <v/>
      </c>
      <c r="E612" t="str">
        <f t="shared" si="27"/>
        <v>Sicel territory is annexed by Dionysius</v>
      </c>
      <c r="F612" t="str">
        <f t="shared" si="28"/>
        <v/>
      </c>
      <c r="H612" t="b">
        <f t="shared" si="29"/>
        <v>0</v>
      </c>
      <c r="J612" s="3" t="str">
        <v>392</v>
      </c>
      <c r="K612" s="4" t="str">
        <v>Sicel territory is annexed by Dionysius</v>
      </c>
      <c r="P612" t="str">
        <v>394</v>
      </c>
      <c r="Q612" t="str">
        <v>Virtually all Greek Anatolian cities are annexed by Persia</v>
      </c>
    </row>
    <row r="613" spans="1:17" x14ac:dyDescent="0.25">
      <c r="A613" t="s">
        <v>612</v>
      </c>
      <c r="B613" t="str" cm="1">
        <f t="array" ref="B613">INDEX(_xlfn.TEXTSPLIT(A613, " "), 1)</f>
        <v>392</v>
      </c>
      <c r="C613" t="str" cm="1">
        <f t="array" ref="C613">INDEX(_xlfn.TEXTSPLIT(B613, "-"), 1)</f>
        <v>392</v>
      </c>
      <c r="D613" t="str" cm="1">
        <f t="array" ref="D613">IFERROR(INDEX(_xlfn.TEXTSPLIT(B613, "-"), 2), "")</f>
        <v/>
      </c>
      <c r="E613" t="str">
        <f t="shared" si="27"/>
        <v>Makedonia stops paying tribute to Dardania</v>
      </c>
      <c r="F613" t="str">
        <f t="shared" si="28"/>
        <v/>
      </c>
      <c r="H613" t="b">
        <f t="shared" si="29"/>
        <v>0</v>
      </c>
      <c r="J613" s="3" t="str">
        <v>392</v>
      </c>
      <c r="K613" s="4" t="str">
        <v>Makedonia stops paying tribute to Dardania</v>
      </c>
      <c r="P613" t="str">
        <v>394</v>
      </c>
      <c r="Q613" t="str">
        <v>Klazomenaites relocate to an island off shore</v>
      </c>
    </row>
    <row r="614" spans="1:17" x14ac:dyDescent="0.25">
      <c r="A614" t="s">
        <v>613</v>
      </c>
      <c r="B614" t="str" cm="1">
        <f t="array" ref="B614">INDEX(_xlfn.TEXTSPLIT(A614, " "), 1)</f>
        <v>392</v>
      </c>
      <c r="C614" t="str" cm="1">
        <f t="array" ref="C614">INDEX(_xlfn.TEXTSPLIT(B614, "-"), 1)</f>
        <v>392</v>
      </c>
      <c r="D614" t="str" cm="1">
        <f t="array" ref="D614">IFERROR(INDEX(_xlfn.TEXTSPLIT(B614, "-"), 2), "")</f>
        <v/>
      </c>
      <c r="E614" t="str">
        <f t="shared" si="27"/>
        <v>Makedonia reannexes the land taken by the Chalcidian League</v>
      </c>
      <c r="F614" t="str">
        <f t="shared" si="28"/>
        <v/>
      </c>
      <c r="H614" t="b">
        <f t="shared" si="29"/>
        <v>0</v>
      </c>
      <c r="J614" s="3" t="str">
        <v>392</v>
      </c>
      <c r="K614" s="4" t="str">
        <v>Makedonia reannexes the land taken by the Chalcidian League</v>
      </c>
      <c r="P614" t="str">
        <v>394</v>
      </c>
      <c r="Q614" t="str">
        <v>Mylae is annexed by Syracuse</v>
      </c>
    </row>
    <row r="615" spans="1:17" x14ac:dyDescent="0.25">
      <c r="A615" t="s">
        <v>614</v>
      </c>
      <c r="B615" t="str" cm="1">
        <f t="array" ref="B615">INDEX(_xlfn.TEXTSPLIT(A615, " "), 1)</f>
        <v>392</v>
      </c>
      <c r="C615" t="str" cm="1">
        <f t="array" ref="C615">INDEX(_xlfn.TEXTSPLIT(B615, "-"), 1)</f>
        <v>392</v>
      </c>
      <c r="D615" t="str" cm="1">
        <f t="array" ref="D615">IFERROR(INDEX(_xlfn.TEXTSPLIT(B615, "-"), 2), "")</f>
        <v/>
      </c>
      <c r="E615" t="str">
        <f t="shared" si="27"/>
        <v>Damastion is annexed by Dardania</v>
      </c>
      <c r="F615" t="str">
        <f t="shared" si="28"/>
        <v/>
      </c>
      <c r="H615" t="b">
        <f t="shared" si="29"/>
        <v>0</v>
      </c>
      <c r="J615" s="3" t="str">
        <v>392</v>
      </c>
      <c r="K615" s="4" t="str">
        <v>Damastion is annexed by Dardania</v>
      </c>
      <c r="P615" t="str">
        <v>393</v>
      </c>
      <c r="Q615" t="str">
        <v>Lipari is annexed by Syracuse</v>
      </c>
    </row>
    <row r="616" spans="1:17" x14ac:dyDescent="0.25">
      <c r="A616" t="s">
        <v>615</v>
      </c>
      <c r="B616" t="str" cm="1">
        <f t="array" ref="B616">INDEX(_xlfn.TEXTSPLIT(A616, " "), 1)</f>
        <v>391</v>
      </c>
      <c r="C616" t="str" cm="1">
        <f t="array" ref="C616">INDEX(_xlfn.TEXTSPLIT(B616, "-"), 1)</f>
        <v>391</v>
      </c>
      <c r="D616" t="str" cm="1">
        <f t="array" ref="D616">IFERROR(INDEX(_xlfn.TEXTSPLIT(B616, "-"), 2), "")</f>
        <v/>
      </c>
      <c r="E616" t="str">
        <f t="shared" si="27"/>
        <v>Korinth occupies Phlius</v>
      </c>
      <c r="F616" t="str">
        <f t="shared" si="28"/>
        <v/>
      </c>
      <c r="H616" t="b">
        <f t="shared" si="29"/>
        <v>0</v>
      </c>
      <c r="J616" s="3" t="str">
        <v>391</v>
      </c>
      <c r="K616" s="4" t="str">
        <v>Korinth occupies Phlius</v>
      </c>
      <c r="P616" t="str">
        <v>393</v>
      </c>
      <c r="Q616" t="str">
        <v>Italiote League is formed by Sybaris on the Traeis, Croton, Caulonia, Thurii, Rhegium and Velia</v>
      </c>
    </row>
    <row r="617" spans="1:17" x14ac:dyDescent="0.25">
      <c r="A617" t="s">
        <v>616</v>
      </c>
      <c r="B617" t="str" cm="1">
        <f t="array" ref="B617">INDEX(_xlfn.TEXTSPLIT(A617, " "), 1)</f>
        <v>391</v>
      </c>
      <c r="C617" t="str" cm="1">
        <f t="array" ref="C617">INDEX(_xlfn.TEXTSPLIT(B617, "-"), 1)</f>
        <v>391</v>
      </c>
      <c r="D617" t="str" cm="1">
        <f t="array" ref="D617">IFERROR(INDEX(_xlfn.TEXTSPLIT(B617, "-"), 2), "")</f>
        <v/>
      </c>
      <c r="E617" t="str">
        <f t="shared" si="27"/>
        <v>Tauromenion is overthrown by mercenaries loyal to Dionysius</v>
      </c>
      <c r="F617" t="str">
        <f t="shared" si="28"/>
        <v/>
      </c>
      <c r="H617" t="b">
        <f t="shared" si="29"/>
        <v>0</v>
      </c>
      <c r="J617" s="3" t="str">
        <v>391</v>
      </c>
      <c r="K617" s="4" t="str">
        <v>Tauromenion is overthrown by mercenaries loyal to Dionysius</v>
      </c>
      <c r="P617" t="str">
        <v>393</v>
      </c>
      <c r="Q617" t="str">
        <v>Imbros, Lemnos and Skyros are annexed by Athens</v>
      </c>
    </row>
    <row r="618" spans="1:17" x14ac:dyDescent="0.25">
      <c r="A618" t="s">
        <v>617</v>
      </c>
      <c r="B618" t="str" cm="1">
        <f t="array" ref="B618">INDEX(_xlfn.TEXTSPLIT(A618, " "), 1)</f>
        <v>391</v>
      </c>
      <c r="C618" t="str" cm="1">
        <f t="array" ref="C618">INDEX(_xlfn.TEXTSPLIT(B618, "-"), 1)</f>
        <v>391</v>
      </c>
      <c r="D618" t="str" cm="1">
        <f t="array" ref="D618">IFERROR(INDEX(_xlfn.TEXTSPLIT(B618, "-"), 2), "")</f>
        <v/>
      </c>
      <c r="E618" t="str">
        <f t="shared" si="27"/>
        <v>Makedonia starts pays tribute to Dardania</v>
      </c>
      <c r="F618" t="str">
        <f t="shared" si="28"/>
        <v/>
      </c>
      <c r="H618" t="b">
        <f t="shared" si="29"/>
        <v>0</v>
      </c>
      <c r="J618" s="3" t="str">
        <v>391</v>
      </c>
      <c r="K618" s="4" t="str">
        <v>Makedonia starts pays tribute to Dardania</v>
      </c>
      <c r="P618" t="str">
        <v>393</v>
      </c>
      <c r="Q618" t="str">
        <v>Makedonia starts paying tribute to the newly formed Kingdom of Dardania</v>
      </c>
    </row>
    <row r="619" spans="1:17" x14ac:dyDescent="0.25">
      <c r="A619" t="s">
        <v>618</v>
      </c>
      <c r="B619" t="str" cm="1">
        <f t="array" ref="B619">INDEX(_xlfn.TEXTSPLIT(A619, " "), 1)</f>
        <v>390</v>
      </c>
      <c r="C619" t="str" cm="1">
        <f t="array" ref="C619">INDEX(_xlfn.TEXTSPLIT(B619, "-"), 1)</f>
        <v>390</v>
      </c>
      <c r="D619" t="str" cm="1">
        <f t="array" ref="D619">IFERROR(INDEX(_xlfn.TEXTSPLIT(B619, "-"), 2), "")</f>
        <v/>
      </c>
      <c r="E619" t="str">
        <f t="shared" si="27"/>
        <v>The Acarnanian League joins the Peloponnesian League</v>
      </c>
      <c r="F619" t="str">
        <f t="shared" si="28"/>
        <v/>
      </c>
      <c r="H619" t="b">
        <f t="shared" si="29"/>
        <v>0</v>
      </c>
      <c r="J619" s="3" t="str">
        <v>390</v>
      </c>
      <c r="K619" s="4" t="str">
        <v>The Acarnanian League joins the Peloponnesian League</v>
      </c>
      <c r="P619" t="str">
        <v>393</v>
      </c>
      <c r="Q619" t="str">
        <v>Chalcidian League annexes some Makedonian land</v>
      </c>
    </row>
    <row r="620" spans="1:17" x14ac:dyDescent="0.25">
      <c r="A620" t="s">
        <v>619</v>
      </c>
      <c r="B620" t="str" cm="1">
        <f t="array" ref="B620">INDEX(_xlfn.TEXTSPLIT(A620, " "), 1)</f>
        <v>390</v>
      </c>
      <c r="C620" t="str" cm="1">
        <f t="array" ref="C620">INDEX(_xlfn.TEXTSPLIT(B620, "-"), 1)</f>
        <v>390</v>
      </c>
      <c r="D620" t="str" cm="1">
        <f t="array" ref="D620">IFERROR(INDEX(_xlfn.TEXTSPLIT(B620, "-"), 2), "")</f>
        <v/>
      </c>
      <c r="E620" t="str">
        <f t="shared" si="27"/>
        <v>Dercylidas is succeeded by Anaxibios</v>
      </c>
      <c r="F620" t="str">
        <f t="shared" si="28"/>
        <v/>
      </c>
      <c r="H620" t="b">
        <f t="shared" si="29"/>
        <v>0</v>
      </c>
      <c r="J620" s="3" t="str">
        <v>390</v>
      </c>
      <c r="K620" s="4" t="str">
        <v>Dercylidas is succeeded by Anaxibios</v>
      </c>
      <c r="P620" t="str">
        <v>392</v>
      </c>
      <c r="Q620" t="str">
        <v>Sparta occupies Lechaeum</v>
      </c>
    </row>
    <row r="621" spans="1:17" x14ac:dyDescent="0.25">
      <c r="A621" t="s">
        <v>620</v>
      </c>
      <c r="B621" t="str" cm="1">
        <f t="array" ref="B621">INDEX(_xlfn.TEXTSPLIT(A621, " "), 1)</f>
        <v>390</v>
      </c>
      <c r="C621" t="str" cm="1">
        <f t="array" ref="C621">INDEX(_xlfn.TEXTSPLIT(B621, "-"), 1)</f>
        <v>390</v>
      </c>
      <c r="D621" t="str" cm="1">
        <f t="array" ref="D621">IFERROR(INDEX(_xlfn.TEXTSPLIT(B621, "-"), 2), "")</f>
        <v/>
      </c>
      <c r="E621" t="str">
        <f t="shared" si="27"/>
        <v>Himera is merged into Thermae</v>
      </c>
      <c r="F621" t="str">
        <f t="shared" si="28"/>
        <v/>
      </c>
      <c r="H621" t="b">
        <f t="shared" si="29"/>
        <v>0</v>
      </c>
      <c r="J621" s="3" t="str">
        <v>390</v>
      </c>
      <c r="K621" s="4" t="str">
        <v>Himera is merged into Thermae</v>
      </c>
      <c r="P621" t="str">
        <v>392</v>
      </c>
      <c r="Q621" t="str">
        <v>Heraclea Minoa, Akragas and Sicani territory are annexed by Carthage</v>
      </c>
    </row>
    <row r="622" spans="1:17" x14ac:dyDescent="0.25">
      <c r="A622" t="s">
        <v>621</v>
      </c>
      <c r="B622" t="str" cm="1">
        <f t="array" ref="B622">INDEX(_xlfn.TEXTSPLIT(A622, " "), 1)</f>
        <v>390</v>
      </c>
      <c r="C622" t="str" cm="1">
        <f t="array" ref="C622">INDEX(_xlfn.TEXTSPLIT(B622, "-"), 1)</f>
        <v>390</v>
      </c>
      <c r="D622" t="str" cm="1">
        <f t="array" ref="D622">IFERROR(INDEX(_xlfn.TEXTSPLIT(B622, "-"), 2), "")</f>
        <v/>
      </c>
      <c r="E622" t="str">
        <f t="shared" si="27"/>
        <v>Dionysius transfers control of Mylae to Messene</v>
      </c>
      <c r="F622" t="str">
        <f t="shared" si="28"/>
        <v/>
      </c>
      <c r="H622" t="b">
        <f t="shared" si="29"/>
        <v>0</v>
      </c>
      <c r="J622" s="3" t="str">
        <v>390</v>
      </c>
      <c r="K622" s="4" t="str">
        <v>Dionysius transfers control of Mylae to Messene</v>
      </c>
      <c r="P622" t="str">
        <v>392</v>
      </c>
      <c r="Q622" t="str">
        <v>Sicel territory is annexed by Dionysius</v>
      </c>
    </row>
    <row r="623" spans="1:17" x14ac:dyDescent="0.25">
      <c r="A623" t="s">
        <v>622</v>
      </c>
      <c r="B623" t="str" cm="1">
        <f t="array" ref="B623">INDEX(_xlfn.TEXTSPLIT(A623, " "), 1)</f>
        <v>390</v>
      </c>
      <c r="C623" t="str" cm="1">
        <f t="array" ref="C623">INDEX(_xlfn.TEXTSPLIT(B623, "-"), 1)</f>
        <v>390</v>
      </c>
      <c r="D623" t="str" cm="1">
        <f t="array" ref="D623">IFERROR(INDEX(_xlfn.TEXTSPLIT(B623, "-"), 2), "")</f>
        <v/>
      </c>
      <c r="E623" t="str">
        <f t="shared" si="27"/>
        <v>Kroton is annexed by Syracuse</v>
      </c>
      <c r="F623" t="str">
        <f t="shared" si="28"/>
        <v/>
      </c>
      <c r="H623" t="b">
        <f t="shared" si="29"/>
        <v>0</v>
      </c>
      <c r="J623" s="3" t="str">
        <v>390</v>
      </c>
      <c r="K623" s="4" t="str">
        <v>Kroton is annexed by Syracuse</v>
      </c>
      <c r="P623" t="str">
        <v>392</v>
      </c>
      <c r="Q623" t="str">
        <v>Makedonia stops paying tribute to Dardania</v>
      </c>
    </row>
    <row r="624" spans="1:17" x14ac:dyDescent="0.25">
      <c r="A624" t="s">
        <v>623</v>
      </c>
      <c r="B624" t="str" cm="1">
        <f t="array" ref="B624">INDEX(_xlfn.TEXTSPLIT(A624, " "), 1)</f>
        <v>390</v>
      </c>
      <c r="C624" t="str" cm="1">
        <f t="array" ref="C624">INDEX(_xlfn.TEXTSPLIT(B624, "-"), 1)</f>
        <v>390</v>
      </c>
      <c r="D624" t="str" cm="1">
        <f t="array" ref="D624">IFERROR(INDEX(_xlfn.TEXTSPLIT(B624, "-"), 2), "")</f>
        <v/>
      </c>
      <c r="E624" t="str">
        <f t="shared" si="27"/>
        <v>Argos and Korinth unite into Argos-Korinth</v>
      </c>
      <c r="F624" t="str">
        <f t="shared" si="28"/>
        <v/>
      </c>
      <c r="H624" t="b">
        <f t="shared" si="29"/>
        <v>0</v>
      </c>
      <c r="J624" s="3" t="str">
        <v>390</v>
      </c>
      <c r="K624" s="4" t="str">
        <v>Argos and Korinth unite into Argos-Korinth</v>
      </c>
      <c r="P624" t="str">
        <v>392</v>
      </c>
      <c r="Q624" t="str">
        <v>Makedonia reannexes the land taken by the Chalcidian League</v>
      </c>
    </row>
    <row r="625" spans="1:17" x14ac:dyDescent="0.25">
      <c r="A625" t="s">
        <v>624</v>
      </c>
      <c r="B625" t="str" cm="1">
        <f t="array" ref="B625">INDEX(_xlfn.TEXTSPLIT(A625, " "), 1)</f>
        <v>390</v>
      </c>
      <c r="C625" t="str" cm="1">
        <f t="array" ref="C625">INDEX(_xlfn.TEXTSPLIT(B625, "-"), 1)</f>
        <v>390</v>
      </c>
      <c r="D625" t="str" cm="1">
        <f t="array" ref="D625">IFERROR(INDEX(_xlfn.TEXTSPLIT(B625, "-"), 2), "")</f>
        <v/>
      </c>
      <c r="E625" t="str">
        <f t="shared" si="27"/>
        <v>Castrugiuvani is annexed by Syracuse</v>
      </c>
      <c r="F625" t="str">
        <f t="shared" si="28"/>
        <v/>
      </c>
      <c r="H625" t="b">
        <f t="shared" si="29"/>
        <v>0</v>
      </c>
      <c r="J625" s="3" t="str">
        <v>390</v>
      </c>
      <c r="K625" s="4" t="str">
        <v>Castrugiuvani is annexed by Syracuse</v>
      </c>
      <c r="P625" t="str">
        <v>392</v>
      </c>
      <c r="Q625" t="str">
        <v>Damastion is annexed by Dardania</v>
      </c>
    </row>
    <row r="626" spans="1:17" x14ac:dyDescent="0.25">
      <c r="A626" t="s">
        <v>625</v>
      </c>
      <c r="B626" t="str" cm="1">
        <f t="array" ref="B626">INDEX(_xlfn.TEXTSPLIT(A626, " "), 1)</f>
        <v>389</v>
      </c>
      <c r="C626" t="str" cm="1">
        <f t="array" ref="C626">INDEX(_xlfn.TEXTSPLIT(B626, "-"), 1)</f>
        <v>389</v>
      </c>
      <c r="D626" t="str" cm="1">
        <f t="array" ref="D626">IFERROR(INDEX(_xlfn.TEXTSPLIT(B626, "-"), 2), "")</f>
        <v/>
      </c>
      <c r="E626" t="str">
        <f t="shared" si="27"/>
        <v>Metapontion is annexed by Syracuse</v>
      </c>
      <c r="F626" t="str">
        <f t="shared" si="28"/>
        <v/>
      </c>
      <c r="H626" t="b">
        <f t="shared" si="29"/>
        <v>0</v>
      </c>
      <c r="J626" s="3" t="str">
        <v>389</v>
      </c>
      <c r="K626" s="4" t="str">
        <v>Metapontion is annexed by Syracuse</v>
      </c>
      <c r="P626" t="str">
        <v>391</v>
      </c>
      <c r="Q626" t="str">
        <v>Korinth occupies Phlius</v>
      </c>
    </row>
    <row r="627" spans="1:17" x14ac:dyDescent="0.25">
      <c r="A627" t="s">
        <v>626</v>
      </c>
      <c r="B627" t="str" cm="1">
        <f t="array" ref="B627">INDEX(_xlfn.TEXTSPLIT(A627, " "), 1)</f>
        <v>389</v>
      </c>
      <c r="C627" t="str" cm="1">
        <f t="array" ref="C627">INDEX(_xlfn.TEXTSPLIT(B627, "-"), 1)</f>
        <v>389</v>
      </c>
      <c r="D627" t="str" cm="1">
        <f t="array" ref="D627">IFERROR(INDEX(_xlfn.TEXTSPLIT(B627, "-"), 2), "")</f>
        <v/>
      </c>
      <c r="E627" t="str">
        <f t="shared" si="27"/>
        <v>Anaxibios is overthrown by Abydos</v>
      </c>
      <c r="F627" t="str">
        <f t="shared" si="28"/>
        <v/>
      </c>
      <c r="H627" t="b">
        <f t="shared" si="29"/>
        <v>0</v>
      </c>
      <c r="J627" s="3" t="str">
        <v>389</v>
      </c>
      <c r="K627" s="4" t="str">
        <v>Anaxibios is overthrown by Abydos</v>
      </c>
      <c r="P627" t="str">
        <v>391</v>
      </c>
      <c r="Q627" t="str">
        <v>Tauromenion is overthrown by mercenaries loyal to Dionysius</v>
      </c>
    </row>
    <row r="628" spans="1:17" x14ac:dyDescent="0.25">
      <c r="A628" t="s">
        <v>627</v>
      </c>
      <c r="B628" t="str" cm="1">
        <f t="array" ref="B628">INDEX(_xlfn.TEXTSPLIT(A628, " "), 1)</f>
        <v>387</v>
      </c>
      <c r="C628" t="str" cm="1">
        <f t="array" ref="C628">INDEX(_xlfn.TEXTSPLIT(B628, "-"), 1)</f>
        <v>387</v>
      </c>
      <c r="D628" t="str" cm="1">
        <f t="array" ref="D628">IFERROR(INDEX(_xlfn.TEXTSPLIT(B628, "-"), 2), "")</f>
        <v/>
      </c>
      <c r="E628" t="str">
        <f t="shared" si="27"/>
        <v>Rhegion is annexed by Syracuse and renamed it to Phoebea</v>
      </c>
      <c r="F628" t="str">
        <f t="shared" si="28"/>
        <v/>
      </c>
      <c r="H628" t="b">
        <f t="shared" si="29"/>
        <v>0</v>
      </c>
      <c r="J628" s="3" t="str">
        <v>387</v>
      </c>
      <c r="K628" s="4" t="str">
        <v>Rhegion is annexed by Syracuse and renamed it to Phoebea</v>
      </c>
      <c r="P628" t="str">
        <v>391</v>
      </c>
      <c r="Q628" t="str">
        <v>Makedonia starts pays tribute to Dardania</v>
      </c>
    </row>
    <row r="629" spans="1:17" x14ac:dyDescent="0.25">
      <c r="A629" t="s">
        <v>628</v>
      </c>
      <c r="B629" t="str" cm="1">
        <f t="array" ref="B629">INDEX(_xlfn.TEXTSPLIT(A629, " "), 1)</f>
        <v>387</v>
      </c>
      <c r="C629" t="str" cm="1">
        <f t="array" ref="C629">INDEX(_xlfn.TEXTSPLIT(B629, "-"), 1)</f>
        <v>387</v>
      </c>
      <c r="D629" t="str" cm="1">
        <f t="array" ref="D629">IFERROR(INDEX(_xlfn.TEXTSPLIT(B629, "-"), 2), "")</f>
        <v/>
      </c>
      <c r="E629" t="str">
        <f t="shared" si="27"/>
        <v>Peace of Antalcidas concluded between the Greeks and the Persians that leads to virtually all Greek cities in Asia Minor being annexed by Persia</v>
      </c>
      <c r="F629" t="str">
        <f t="shared" si="28"/>
        <v/>
      </c>
      <c r="H629" t="b">
        <f t="shared" si="29"/>
        <v>0</v>
      </c>
      <c r="J629" s="3" t="str">
        <v>387</v>
      </c>
      <c r="K629" s="4" t="str">
        <v>Peace of Antalcidas concluded between the Greeks and the Persians that leads to virtually all Greek cities in Asia Minor being annexed by Persia</v>
      </c>
      <c r="P629" t="str">
        <v>390</v>
      </c>
      <c r="Q629" t="str">
        <v>The Acarnanian League joins the Peloponnesian League</v>
      </c>
    </row>
    <row r="630" spans="1:17" x14ac:dyDescent="0.25">
      <c r="A630" t="s">
        <v>629</v>
      </c>
      <c r="B630" t="str" cm="1">
        <f t="array" ref="B630">INDEX(_xlfn.TEXTSPLIT(A630, " "), 1)</f>
        <v>387</v>
      </c>
      <c r="C630" t="str" cm="1">
        <f t="array" ref="C630">INDEX(_xlfn.TEXTSPLIT(B630, "-"), 1)</f>
        <v>387</v>
      </c>
      <c r="D630" t="str" cm="1">
        <f t="array" ref="D630">IFERROR(INDEX(_xlfn.TEXTSPLIT(B630, "-"), 2), "")</f>
        <v/>
      </c>
      <c r="E630" t="str">
        <f t="shared" si="27"/>
        <v>Ancona is founded by Greek settlers from Syracuse, who gave it its name: Ancona stems from the Greek word Ἀγκών (Ankòn), meaning "elbow"</v>
      </c>
      <c r="F630" t="str">
        <f t="shared" si="28"/>
        <v/>
      </c>
      <c r="H630" t="b">
        <f t="shared" si="29"/>
        <v>0</v>
      </c>
      <c r="J630" s="3" t="str">
        <v>387</v>
      </c>
      <c r="K630" s="4" t="str">
        <v>Ancona is founded by Greek settlers from Syracuse, who gave it its name: Ancona stems from the Greek word Ἀγκών (Ankòn), meaning "elbow"</v>
      </c>
      <c r="P630" t="str">
        <v>390</v>
      </c>
      <c r="Q630" t="str">
        <v>Dercylidas is succeeded by Anaxibios</v>
      </c>
    </row>
    <row r="631" spans="1:17" x14ac:dyDescent="0.25">
      <c r="A631" t="s">
        <v>630</v>
      </c>
      <c r="B631" t="str" cm="1">
        <f t="array" ref="B631">INDEX(_xlfn.TEXTSPLIT(A631, " "), 1)</f>
        <v>387</v>
      </c>
      <c r="C631" t="str" cm="1">
        <f t="array" ref="C631">INDEX(_xlfn.TEXTSPLIT(B631, "-"), 1)</f>
        <v>387</v>
      </c>
      <c r="D631" t="str" cm="1">
        <f t="array" ref="D631">IFERROR(INDEX(_xlfn.TEXTSPLIT(B631, "-"), 2), "")</f>
        <v/>
      </c>
      <c r="E631" t="str">
        <f t="shared" si="27"/>
        <v>Argos and Korinth split</v>
      </c>
      <c r="F631" t="str">
        <f t="shared" si="28"/>
        <v/>
      </c>
      <c r="H631" t="b">
        <f t="shared" si="29"/>
        <v>0</v>
      </c>
      <c r="J631" s="3" t="str">
        <v>387</v>
      </c>
      <c r="K631" s="4" t="str">
        <v>Argos and Korinth split</v>
      </c>
      <c r="P631" t="str">
        <v>390</v>
      </c>
      <c r="Q631" t="str">
        <v>Himera is merged into Thermae</v>
      </c>
    </row>
    <row r="632" spans="1:17" x14ac:dyDescent="0.25">
      <c r="A632" t="s">
        <v>631</v>
      </c>
      <c r="B632" t="str" cm="1">
        <f t="array" ref="B632">INDEX(_xlfn.TEXTSPLIT(A632, " "), 1)</f>
        <v>387</v>
      </c>
      <c r="C632" t="str" cm="1">
        <f t="array" ref="C632">INDEX(_xlfn.TEXTSPLIT(B632, "-"), 1)</f>
        <v>387</v>
      </c>
      <c r="D632" t="str" cm="1">
        <f t="array" ref="D632">IFERROR(INDEX(_xlfn.TEXTSPLIT(B632, "-"), 2), "")</f>
        <v/>
      </c>
      <c r="E632" t="str">
        <f t="shared" si="27"/>
        <v>All cities gain independence and all league except the Peloponnesian League are disbanded</v>
      </c>
      <c r="F632" t="str">
        <f t="shared" si="28"/>
        <v/>
      </c>
      <c r="H632" t="b">
        <f t="shared" si="29"/>
        <v>0</v>
      </c>
      <c r="J632" s="3" t="str">
        <v>387</v>
      </c>
      <c r="K632" s="4" t="str">
        <v>All cities gain independence and all league except the Peloponnesian League are disbanded</v>
      </c>
      <c r="P632" t="str">
        <v>390</v>
      </c>
      <c r="Q632" t="str">
        <v>Dionysius transfers control of Mylae to Messene</v>
      </c>
    </row>
    <row r="633" spans="1:17" x14ac:dyDescent="0.25">
      <c r="A633" t="s">
        <v>632</v>
      </c>
      <c r="B633" t="str" cm="1">
        <f t="array" ref="B633">INDEX(_xlfn.TEXTSPLIT(A633, " "), 1)</f>
        <v>386</v>
      </c>
      <c r="C633" t="str" cm="1">
        <f t="array" ref="C633">INDEX(_xlfn.TEXTSPLIT(B633, "-"), 1)</f>
        <v>386</v>
      </c>
      <c r="D633" t="str" cm="1">
        <f t="array" ref="D633">IFERROR(INDEX(_xlfn.TEXTSPLIT(B633, "-"), 2), "")</f>
        <v/>
      </c>
      <c r="E633" t="str">
        <f t="shared" si="27"/>
        <v>Phlius becomes a democracy</v>
      </c>
      <c r="F633" t="str">
        <f t="shared" si="28"/>
        <v/>
      </c>
      <c r="H633" t="b">
        <f t="shared" si="29"/>
        <v>0</v>
      </c>
      <c r="J633" s="3" t="str">
        <v>386</v>
      </c>
      <c r="K633" s="4" t="str">
        <v>Phlius becomes a democracy</v>
      </c>
      <c r="P633" t="str">
        <v>390</v>
      </c>
      <c r="Q633" t="str">
        <v>Kroton is annexed by Syracuse</v>
      </c>
    </row>
    <row r="634" spans="1:17" x14ac:dyDescent="0.25">
      <c r="A634" t="s">
        <v>633</v>
      </c>
      <c r="B634" t="str" cm="1">
        <f t="array" ref="B634">INDEX(_xlfn.TEXTSPLIT(A634, " "), 1)</f>
        <v>385</v>
      </c>
      <c r="C634" t="str" cm="1">
        <f t="array" ref="C634">INDEX(_xlfn.TEXTSPLIT(B634, "-"), 1)</f>
        <v>385</v>
      </c>
      <c r="D634" t="str" cm="1">
        <f t="array" ref="D634">IFERROR(INDEX(_xlfn.TEXTSPLIT(B634, "-"), 2), "")</f>
        <v/>
      </c>
      <c r="E634" t="str">
        <f t="shared" si="27"/>
        <v>Dardania attacks Molossia</v>
      </c>
      <c r="F634" t="str">
        <f t="shared" si="28"/>
        <v/>
      </c>
      <c r="H634" t="b">
        <f t="shared" si="29"/>
        <v>0</v>
      </c>
      <c r="J634" s="3" t="str">
        <v>385</v>
      </c>
      <c r="K634" s="4" t="str">
        <v>Dardania attacks Molossia</v>
      </c>
      <c r="P634" t="str">
        <v>390</v>
      </c>
      <c r="Q634" t="str">
        <v>Argos and Korinth unite into Argos-Korinth</v>
      </c>
    </row>
    <row r="635" spans="1:17" x14ac:dyDescent="0.25">
      <c r="A635" t="s">
        <v>634</v>
      </c>
      <c r="B635" t="str" cm="1">
        <f t="array" ref="B635">INDEX(_xlfn.TEXTSPLIT(A635, " "), 1)</f>
        <v>385</v>
      </c>
      <c r="C635" t="str" cm="1">
        <f t="array" ref="C635">INDEX(_xlfn.TEXTSPLIT(B635, "-"), 1)</f>
        <v>385</v>
      </c>
      <c r="D635" t="str" cm="1">
        <f t="array" ref="D635">IFERROR(INDEX(_xlfn.TEXTSPLIT(B635, "-"), 2), "")</f>
        <v/>
      </c>
      <c r="E635" t="str">
        <f t="shared" si="27"/>
        <v>The Greeks colonized the island of Pharos (Hvar, Croatia).[11]</v>
      </c>
      <c r="F635" t="str">
        <f t="shared" si="28"/>
        <v/>
      </c>
      <c r="H635" t="b">
        <f t="shared" si="29"/>
        <v>0</v>
      </c>
      <c r="J635" s="3" t="str">
        <v>385</v>
      </c>
      <c r="K635" s="4" t="str">
        <v>The Greeks colonized the island of Pharos (Hvar, Croatia).[11]</v>
      </c>
      <c r="P635" t="str">
        <v>390</v>
      </c>
      <c r="Q635" t="str">
        <v>Castrugiuvani is annexed by Syracuse</v>
      </c>
    </row>
    <row r="636" spans="1:17" x14ac:dyDescent="0.25">
      <c r="A636" t="s">
        <v>635</v>
      </c>
      <c r="B636" t="str" cm="1">
        <f t="array" ref="B636">INDEX(_xlfn.TEXTSPLIT(A636, " "), 1)</f>
        <v>384</v>
      </c>
      <c r="C636" t="str" cm="1">
        <f t="array" ref="C636">INDEX(_xlfn.TEXTSPLIT(B636, "-"), 1)</f>
        <v>384</v>
      </c>
      <c r="D636" t="str" cm="1">
        <f t="array" ref="D636">IFERROR(INDEX(_xlfn.TEXTSPLIT(B636, "-"), 2), "")</f>
        <v/>
      </c>
      <c r="E636" t="str">
        <f t="shared" si="27"/>
        <v>Dionysius occupies Pyrgi and Caere</v>
      </c>
      <c r="F636" t="str">
        <f t="shared" si="28"/>
        <v/>
      </c>
      <c r="H636" t="b">
        <f t="shared" si="29"/>
        <v>0</v>
      </c>
      <c r="J636" s="3" t="str">
        <v>384</v>
      </c>
      <c r="K636" s="4" t="str">
        <v>Dionysius occupies Pyrgi and Caere</v>
      </c>
      <c r="P636" t="str">
        <v>389</v>
      </c>
      <c r="Q636" t="str">
        <v>Metapontion is annexed by Syracuse</v>
      </c>
    </row>
    <row r="637" spans="1:17" x14ac:dyDescent="0.25">
      <c r="A637" t="s">
        <v>636</v>
      </c>
      <c r="B637" t="str" cm="1">
        <f t="array" ref="B637">INDEX(_xlfn.TEXTSPLIT(A637, " "), 1)</f>
        <v>384</v>
      </c>
      <c r="C637" t="str" cm="1">
        <f t="array" ref="C637">INDEX(_xlfn.TEXTSPLIT(B637, "-"), 1)</f>
        <v>384</v>
      </c>
      <c r="D637" t="str" cm="1">
        <f t="array" ref="D637">IFERROR(INDEX(_xlfn.TEXTSPLIT(B637, "-"), 2), "")</f>
        <v/>
      </c>
      <c r="E637" t="str">
        <f t="shared" si="27"/>
        <v>Chalcidian League annexes Makedonia land including Pella</v>
      </c>
      <c r="F637" t="str">
        <f t="shared" si="28"/>
        <v/>
      </c>
      <c r="H637" t="b">
        <f t="shared" si="29"/>
        <v>0</v>
      </c>
      <c r="J637" s="3" t="str">
        <v>384</v>
      </c>
      <c r="K637" s="4" t="str">
        <v>Chalcidian League annexes Makedonia land including Pella</v>
      </c>
      <c r="P637" t="str">
        <v>389</v>
      </c>
      <c r="Q637" t="str">
        <v>Anaxibios is overthrown by Abydos</v>
      </c>
    </row>
    <row r="638" spans="1:17" x14ac:dyDescent="0.25">
      <c r="A638" t="s">
        <v>637</v>
      </c>
      <c r="B638" t="str" cm="1">
        <f t="array" ref="B638">INDEX(_xlfn.TEXTSPLIT(A638, " "), 1)</f>
        <v>383</v>
      </c>
      <c r="C638" t="str" cm="1">
        <f t="array" ref="C638">INDEX(_xlfn.TEXTSPLIT(B638, "-"), 1)</f>
        <v>383</v>
      </c>
      <c r="D638" t="str" cm="1">
        <f t="array" ref="D638">IFERROR(INDEX(_xlfn.TEXTSPLIT(B638, "-"), 2), "")</f>
        <v/>
      </c>
      <c r="E638" t="str">
        <f t="shared" si="27"/>
        <v>Gela gains independence from Syracuse</v>
      </c>
      <c r="F638" t="str">
        <f t="shared" si="28"/>
        <v/>
      </c>
      <c r="H638" t="b">
        <f t="shared" si="29"/>
        <v>0</v>
      </c>
      <c r="J638" s="3" t="str">
        <v>383</v>
      </c>
      <c r="K638" s="4" t="str">
        <v>Gela gains independence from Syracuse</v>
      </c>
      <c r="P638" t="str">
        <v>387</v>
      </c>
      <c r="Q638" t="str">
        <v>Rhegion is annexed by Syracuse and renamed it to Phoebea</v>
      </c>
    </row>
    <row r="639" spans="1:17" x14ac:dyDescent="0.25">
      <c r="A639" t="s">
        <v>638</v>
      </c>
      <c r="B639" t="str" cm="1">
        <f t="array" ref="B639">INDEX(_xlfn.TEXTSPLIT(A639, " "), 1)</f>
        <v>383</v>
      </c>
      <c r="C639" t="str" cm="1">
        <f t="array" ref="C639">INDEX(_xlfn.TEXTSPLIT(B639, "-"), 1)</f>
        <v>383</v>
      </c>
      <c r="D639" t="str" cm="1">
        <f t="array" ref="D639">IFERROR(INDEX(_xlfn.TEXTSPLIT(B639, "-"), 2), "")</f>
        <v/>
      </c>
      <c r="E639" t="str">
        <f t="shared" si="27"/>
        <v>Dionysius leaves Eturia</v>
      </c>
      <c r="F639" t="str">
        <f t="shared" si="28"/>
        <v/>
      </c>
      <c r="H639" t="b">
        <f t="shared" si="29"/>
        <v>0</v>
      </c>
      <c r="J639" s="3" t="str">
        <v>383</v>
      </c>
      <c r="K639" s="4" t="str">
        <v>Dionysius leaves Eturia</v>
      </c>
      <c r="P639" t="str">
        <v>387</v>
      </c>
      <c r="Q639" t="str">
        <v>Peace of Antalcidas concluded between the Greeks and the Persians that leads to virtually all Greek cities in Asia Minor being annexed by Persia</v>
      </c>
    </row>
    <row r="640" spans="1:17" x14ac:dyDescent="0.25">
      <c r="A640" t="s">
        <v>639</v>
      </c>
      <c r="B640" t="str" cm="1">
        <f t="array" ref="B640">INDEX(_xlfn.TEXTSPLIT(A640, " "), 1)</f>
        <v>383</v>
      </c>
      <c r="C640" t="str" cm="1">
        <f t="array" ref="C640">INDEX(_xlfn.TEXTSPLIT(B640, "-"), 1)</f>
        <v>383</v>
      </c>
      <c r="D640" t="str" cm="1">
        <f t="array" ref="D640">IFERROR(INDEX(_xlfn.TEXTSPLIT(B640, "-"), 2), "")</f>
        <v/>
      </c>
      <c r="E640" t="str">
        <f t="shared" si="27"/>
        <v>Liburnia besieges Pharos</v>
      </c>
      <c r="F640" t="str">
        <f t="shared" si="28"/>
        <v/>
      </c>
      <c r="H640" t="b">
        <f t="shared" si="29"/>
        <v>0</v>
      </c>
      <c r="J640" s="3" t="str">
        <v>383</v>
      </c>
      <c r="K640" s="4" t="str">
        <v>Liburnia besieges Pharos</v>
      </c>
      <c r="P640" t="str">
        <v>387</v>
      </c>
      <c r="Q640" t="str">
        <v>Ancona is founded by Greek settlers from Syracuse, who gave it its name: Ancona stems from the Greek word Ἀγκών (Ankòn), meaning "elbow"</v>
      </c>
    </row>
    <row r="641" spans="1:17" x14ac:dyDescent="0.25">
      <c r="A641" t="s">
        <v>640</v>
      </c>
      <c r="B641" t="str" cm="1">
        <f t="array" ref="B641">INDEX(_xlfn.TEXTSPLIT(A641, " "), 1)</f>
        <v>383</v>
      </c>
      <c r="C641" t="str" cm="1">
        <f t="array" ref="C641">INDEX(_xlfn.TEXTSPLIT(B641, "-"), 1)</f>
        <v>383</v>
      </c>
      <c r="D641" t="str" cm="1">
        <f t="array" ref="D641">IFERROR(INDEX(_xlfn.TEXTSPLIT(B641, "-"), 2), "")</f>
        <v/>
      </c>
      <c r="E641" t="str">
        <f t="shared" si="27"/>
        <v>Potidaea leaves the Chalcidian League</v>
      </c>
      <c r="F641" t="str">
        <f t="shared" si="28"/>
        <v/>
      </c>
      <c r="H641" t="b">
        <f t="shared" si="29"/>
        <v>0</v>
      </c>
      <c r="J641" s="3" t="str">
        <v>383</v>
      </c>
      <c r="K641" s="4" t="str">
        <v>Potidaea leaves the Chalcidian League</v>
      </c>
      <c r="P641" t="str">
        <v>387</v>
      </c>
      <c r="Q641" t="str">
        <v>Argos and Korinth split</v>
      </c>
    </row>
    <row r="642" spans="1:17" x14ac:dyDescent="0.25">
      <c r="A642" t="s">
        <v>641</v>
      </c>
      <c r="B642" t="str" cm="1">
        <f t="array" ref="B642">INDEX(_xlfn.TEXTSPLIT(A642, " "), 1)</f>
        <v>382</v>
      </c>
      <c r="C642" t="str" cm="1">
        <f t="array" ref="C642">INDEX(_xlfn.TEXTSPLIT(B642, "-"), 1)</f>
        <v>382</v>
      </c>
      <c r="D642" t="str" cm="1">
        <f t="array" ref="D642">IFERROR(INDEX(_xlfn.TEXTSPLIT(B642, "-"), 2), "")</f>
        <v/>
      </c>
      <c r="E642" t="str">
        <f t="shared" si="27"/>
        <v>Thebes is overthrown by Leontiades and Archias</v>
      </c>
      <c r="F642" t="str">
        <f t="shared" si="28"/>
        <v/>
      </c>
      <c r="H642" t="b">
        <f t="shared" si="29"/>
        <v>0</v>
      </c>
      <c r="J642" s="3" t="str">
        <v>382</v>
      </c>
      <c r="K642" s="4" t="str">
        <v>Thebes is overthrown by Leontiades and Archias</v>
      </c>
      <c r="P642" t="str">
        <v>387</v>
      </c>
      <c r="Q642" t="str">
        <v>All cities gain independence and all league except the Peloponnesian League are disbanded</v>
      </c>
    </row>
    <row r="643" spans="1:17" x14ac:dyDescent="0.25">
      <c r="A643" t="s">
        <v>642</v>
      </c>
      <c r="B643" t="str" cm="1">
        <f t="array" ref="B643">INDEX(_xlfn.TEXTSPLIT(A643, " "), 1)</f>
        <v>382</v>
      </c>
      <c r="C643" t="str" cm="1">
        <f t="array" ref="C643">INDEX(_xlfn.TEXTSPLIT(B643, "-"), 1)</f>
        <v>382</v>
      </c>
      <c r="D643" t="str" cm="1">
        <f t="array" ref="D643">IFERROR(INDEX(_xlfn.TEXTSPLIT(B643, "-"), 2), "")</f>
        <v/>
      </c>
      <c r="E643" t="str">
        <f t="shared" ref="E643:E706" si="30">_xlfn.LET(
  _xlpm.szoveg,
  MID(A643, SEARCH(" ", A643) + 1, LEN(A643)),
  IF(ISNUMBER(SEARCH("-",B643)), _xlpm.szoveg &amp; " --&gt;", _xlpm.szoveg)
)</f>
        <v>Thebes is impressed into the Peloponnesian League</v>
      </c>
      <c r="F643" t="str">
        <f t="shared" ref="F643:F706" si="31">_xlfn.LET(
  _xlpm.szoveg,
  MID(A643, SEARCH(" ", A643) + 1, LEN(A643)),
  IF(ISNUMBER(SEARCH("-",B643)), "--&gt; " &amp; _xlpm.szoveg, "")
)</f>
        <v/>
      </c>
      <c r="H643" t="b">
        <f t="shared" ref="H643:H706" si="32">ISNUMBER(SEARCH("-", B643))</f>
        <v>0</v>
      </c>
      <c r="J643" s="3" t="str">
        <v>382</v>
      </c>
      <c r="K643" s="4" t="str">
        <v>Thebes is impressed into the Peloponnesian League</v>
      </c>
      <c r="P643" t="str">
        <v>386</v>
      </c>
      <c r="Q643" t="str">
        <v>Phlius becomes a democracy</v>
      </c>
    </row>
    <row r="644" spans="1:17" x14ac:dyDescent="0.25">
      <c r="A644" t="s">
        <v>643</v>
      </c>
      <c r="B644" t="str" cm="1">
        <f t="array" ref="B644">INDEX(_xlfn.TEXTSPLIT(A644, " "), 1)</f>
        <v>380</v>
      </c>
      <c r="C644" t="str" cm="1">
        <f t="array" ref="C644">INDEX(_xlfn.TEXTSPLIT(B644, "-"), 1)</f>
        <v>380</v>
      </c>
      <c r="D644" t="str" cm="1">
        <f t="array" ref="D644">IFERROR(INDEX(_xlfn.TEXTSPLIT(B644, "-"), 2), "")</f>
        <v/>
      </c>
      <c r="E644" t="str">
        <f t="shared" si="30"/>
        <v>Sparta besieges Phlius</v>
      </c>
      <c r="F644" t="str">
        <f t="shared" si="31"/>
        <v/>
      </c>
      <c r="H644" t="b">
        <f t="shared" si="32"/>
        <v>0</v>
      </c>
      <c r="J644" s="3" t="str">
        <v>380</v>
      </c>
      <c r="K644" s="4" t="str">
        <v>Sparta besieges Phlius</v>
      </c>
      <c r="P644" t="str">
        <v>385</v>
      </c>
      <c r="Q644" t="str">
        <v>Dardania attacks Molossia</v>
      </c>
    </row>
    <row r="645" spans="1:17" x14ac:dyDescent="0.25">
      <c r="A645" t="s">
        <v>644</v>
      </c>
      <c r="B645" t="str" cm="1">
        <f t="array" ref="B645">INDEX(_xlfn.TEXTSPLIT(A645, " "), 1)</f>
        <v>380</v>
      </c>
      <c r="C645" t="str" cm="1">
        <f t="array" ref="C645">INDEX(_xlfn.TEXTSPLIT(B645, "-"), 1)</f>
        <v>380</v>
      </c>
      <c r="D645" t="str" cm="1">
        <f t="array" ref="D645">IFERROR(INDEX(_xlfn.TEXTSPLIT(B645, "-"), 2), "")</f>
        <v/>
      </c>
      <c r="E645" t="str">
        <f t="shared" si="30"/>
        <v>Makedonia recaptures their former territory</v>
      </c>
      <c r="F645" t="str">
        <f t="shared" si="31"/>
        <v/>
      </c>
      <c r="H645" t="b">
        <f t="shared" si="32"/>
        <v>0</v>
      </c>
      <c r="J645" s="3" t="str">
        <v>380</v>
      </c>
      <c r="K645" s="4" t="str">
        <v>Makedonia recaptures their former territory</v>
      </c>
      <c r="P645" t="str">
        <v>385</v>
      </c>
      <c r="Q645" t="str">
        <v>The Greeks colonized the island of Pharos (Hvar, Croatia).[11]</v>
      </c>
    </row>
    <row r="646" spans="1:17" x14ac:dyDescent="0.25">
      <c r="A646" t="s">
        <v>645</v>
      </c>
      <c r="B646" t="str" cm="1">
        <f t="array" ref="B646">INDEX(_xlfn.TEXTSPLIT(A646, " "), 1)</f>
        <v>379</v>
      </c>
      <c r="C646" t="str" cm="1">
        <f t="array" ref="C646">INDEX(_xlfn.TEXTSPLIT(B646, "-"), 1)</f>
        <v>379</v>
      </c>
      <c r="D646" t="str" cm="1">
        <f t="array" ref="D646">IFERROR(INDEX(_xlfn.TEXTSPLIT(B646, "-"), 2), "")</f>
        <v/>
      </c>
      <c r="E646" t="str">
        <f t="shared" si="30"/>
        <v>Kroton is annexed by Dionysius</v>
      </c>
      <c r="F646" t="str">
        <f t="shared" si="31"/>
        <v/>
      </c>
      <c r="H646" t="b">
        <f t="shared" si="32"/>
        <v>0</v>
      </c>
      <c r="J646" s="3" t="str">
        <v>379</v>
      </c>
      <c r="K646" s="4" t="str">
        <v>Kroton is annexed by Dionysius</v>
      </c>
      <c r="P646" t="str">
        <v>384</v>
      </c>
      <c r="Q646" t="str">
        <v>Dionysius occupies Pyrgi and Caere</v>
      </c>
    </row>
    <row r="647" spans="1:17" x14ac:dyDescent="0.25">
      <c r="A647" t="s">
        <v>646</v>
      </c>
      <c r="B647" t="str" cm="1">
        <f t="array" ref="B647">INDEX(_xlfn.TEXTSPLIT(A647, " "), 1)</f>
        <v>379</v>
      </c>
      <c r="C647" t="str" cm="1">
        <f t="array" ref="C647">INDEX(_xlfn.TEXTSPLIT(B647, "-"), 1)</f>
        <v>379</v>
      </c>
      <c r="D647" t="str" cm="1">
        <f t="array" ref="D647">IFERROR(INDEX(_xlfn.TEXTSPLIT(B647, "-"), 2), "")</f>
        <v/>
      </c>
      <c r="E647" t="str">
        <f t="shared" si="30"/>
        <v>Phlius is impressed into the Peloponnesian League</v>
      </c>
      <c r="F647" t="str">
        <f t="shared" si="31"/>
        <v/>
      </c>
      <c r="H647" t="b">
        <f t="shared" si="32"/>
        <v>0</v>
      </c>
      <c r="J647" s="3" t="str">
        <v>379</v>
      </c>
      <c r="K647" s="4" t="str">
        <v>Phlius is impressed into the Peloponnesian League</v>
      </c>
      <c r="P647" t="str">
        <v>384</v>
      </c>
      <c r="Q647" t="str">
        <v>Chalcidian League annexes Makedonia land including Pella</v>
      </c>
    </row>
    <row r="648" spans="1:17" x14ac:dyDescent="0.25">
      <c r="A648" t="s">
        <v>647</v>
      </c>
      <c r="B648" t="str" cm="1">
        <f t="array" ref="B648">INDEX(_xlfn.TEXTSPLIT(A648, " "), 1)</f>
        <v>379</v>
      </c>
      <c r="C648" t="str" cm="1">
        <f t="array" ref="C648">INDEX(_xlfn.TEXTSPLIT(B648, "-"), 1)</f>
        <v>379</v>
      </c>
      <c r="D648" t="str" cm="1">
        <f t="array" ref="D648">IFERROR(INDEX(_xlfn.TEXTSPLIT(B648, "-"), 2), "")</f>
        <v/>
      </c>
      <c r="E648" t="str">
        <f t="shared" si="30"/>
        <v>The Chalcidian League is disbanded and its former members are impressed into the Peloponnesian League and Potidaea and Korinth also join the league</v>
      </c>
      <c r="F648" t="str">
        <f t="shared" si="31"/>
        <v/>
      </c>
      <c r="H648" t="b">
        <f t="shared" si="32"/>
        <v>0</v>
      </c>
      <c r="J648" s="3" t="str">
        <v>379</v>
      </c>
      <c r="K648" s="4" t="str">
        <v>The Chalcidian League is disbanded and its former members are impressed into the Peloponnesian League and Potidaea and Korinth also join the league</v>
      </c>
      <c r="P648" t="str">
        <v>383</v>
      </c>
      <c r="Q648" t="str">
        <v>Gela gains independence from Syracuse</v>
      </c>
    </row>
    <row r="649" spans="1:17" x14ac:dyDescent="0.25">
      <c r="A649" t="s">
        <v>648</v>
      </c>
      <c r="B649" t="str" cm="1">
        <f t="array" ref="B649">INDEX(_xlfn.TEXTSPLIT(A649, " "), 1)</f>
        <v>379</v>
      </c>
      <c r="C649" t="str" cm="1">
        <f t="array" ref="C649">INDEX(_xlfn.TEXTSPLIT(B649, "-"), 1)</f>
        <v>379</v>
      </c>
      <c r="D649" t="str" cm="1">
        <f t="array" ref="D649">IFERROR(INDEX(_xlfn.TEXTSPLIT(B649, "-"), 2), "")</f>
        <v/>
      </c>
      <c r="E649" t="str">
        <f t="shared" si="30"/>
        <v>Leontiades and Archias are overthrown and Thebes leaves the Peloponnesian League</v>
      </c>
      <c r="F649" t="str">
        <f t="shared" si="31"/>
        <v/>
      </c>
      <c r="H649" t="b">
        <f t="shared" si="32"/>
        <v>0</v>
      </c>
      <c r="J649" s="3" t="str">
        <v>379</v>
      </c>
      <c r="K649" s="4" t="str">
        <v>Leontiades and Archias are overthrown and Thebes leaves the Peloponnesian League</v>
      </c>
      <c r="P649" t="str">
        <v>383</v>
      </c>
      <c r="Q649" t="str">
        <v>Dionysius leaves Eturia</v>
      </c>
    </row>
    <row r="650" spans="1:17" x14ac:dyDescent="0.25">
      <c r="A650" t="s">
        <v>649</v>
      </c>
      <c r="B650" t="str" cm="1">
        <f t="array" ref="B650">INDEX(_xlfn.TEXTSPLIT(A650, " "), 1)</f>
        <v>379</v>
      </c>
      <c r="C650" t="str" cm="1">
        <f t="array" ref="C650">INDEX(_xlfn.TEXTSPLIT(B650, "-"), 1)</f>
        <v>379</v>
      </c>
      <c r="D650" t="str" cm="1">
        <f t="array" ref="D650">IFERROR(INDEX(_xlfn.TEXTSPLIT(B650, "-"), 2), "")</f>
        <v/>
      </c>
      <c r="E650" t="str">
        <f t="shared" si="30"/>
        <v>Sparta occupies Thespiae</v>
      </c>
      <c r="F650" t="str">
        <f t="shared" si="31"/>
        <v/>
      </c>
      <c r="H650" t="b">
        <f t="shared" si="32"/>
        <v>0</v>
      </c>
      <c r="J650" s="3" t="str">
        <v>379</v>
      </c>
      <c r="K650" s="4" t="str">
        <v>Sparta occupies Thespiae</v>
      </c>
      <c r="P650" t="str">
        <v>383</v>
      </c>
      <c r="Q650" t="str">
        <v>Liburnia besieges Pharos</v>
      </c>
    </row>
    <row r="651" spans="1:17" x14ac:dyDescent="0.25">
      <c r="A651" t="s">
        <v>650</v>
      </c>
      <c r="B651" t="str" cm="1">
        <f t="array" ref="B651">INDEX(_xlfn.TEXTSPLIT(A651, " "), 1)</f>
        <v>378</v>
      </c>
      <c r="C651" t="str" cm="1">
        <f t="array" ref="C651">INDEX(_xlfn.TEXTSPLIT(B651, "-"), 1)</f>
        <v>378</v>
      </c>
      <c r="D651" t="str" cm="1">
        <f t="array" ref="D651">IFERROR(INDEX(_xlfn.TEXTSPLIT(B651, "-"), 2), "")</f>
        <v/>
      </c>
      <c r="E651" t="str">
        <f t="shared" si="30"/>
        <v>Themison overthrows Eretria</v>
      </c>
      <c r="F651" t="str">
        <f t="shared" si="31"/>
        <v/>
      </c>
      <c r="H651" t="b">
        <f t="shared" si="32"/>
        <v>0</v>
      </c>
      <c r="J651" s="3" t="str">
        <v>378</v>
      </c>
      <c r="K651" s="4" t="str">
        <v>Themison overthrows Eretria</v>
      </c>
      <c r="P651" t="str">
        <v>383</v>
      </c>
      <c r="Q651" t="str">
        <v>Potidaea leaves the Chalcidian League</v>
      </c>
    </row>
    <row r="652" spans="1:17" x14ac:dyDescent="0.25">
      <c r="A652" t="s">
        <v>651</v>
      </c>
      <c r="B652" t="str" cm="1">
        <f t="array" ref="B652">INDEX(_xlfn.TEXTSPLIT(A652, " "), 1)</f>
        <v>377</v>
      </c>
      <c r="C652" t="str" cm="1">
        <f t="array" ref="C652">INDEX(_xlfn.TEXTSPLIT(B652, "-"), 1)</f>
        <v>377</v>
      </c>
      <c r="D652" t="str" cm="1">
        <f t="array" ref="D652">IFERROR(INDEX(_xlfn.TEXTSPLIT(B652, "-"), 2), "")</f>
        <v/>
      </c>
      <c r="E652" t="str">
        <f t="shared" si="30"/>
        <v>The Boeotian League is refounded by Thebes</v>
      </c>
      <c r="F652" t="str">
        <f t="shared" si="31"/>
        <v/>
      </c>
      <c r="H652" t="b">
        <f t="shared" si="32"/>
        <v>0</v>
      </c>
      <c r="J652" s="3" t="str">
        <v>377</v>
      </c>
      <c r="K652" s="4" t="str">
        <v>The Boeotian League is refounded by Thebes</v>
      </c>
      <c r="P652" t="str">
        <v>382</v>
      </c>
      <c r="Q652" t="str">
        <v>Thebes is overthrown by Leontiades and Archias</v>
      </c>
    </row>
    <row r="653" spans="1:17" x14ac:dyDescent="0.25">
      <c r="A653" t="s">
        <v>652</v>
      </c>
      <c r="B653" t="str" cm="1">
        <f t="array" ref="B653">INDEX(_xlfn.TEXTSPLIT(A653, " "), 1)</f>
        <v>376</v>
      </c>
      <c r="C653" t="str" cm="1">
        <f t="array" ref="C653">INDEX(_xlfn.TEXTSPLIT(B653, "-"), 1)</f>
        <v>376</v>
      </c>
      <c r="D653" t="str" cm="1">
        <f t="array" ref="D653">IFERROR(INDEX(_xlfn.TEXTSPLIT(B653, "-"), 2), "")</f>
        <v/>
      </c>
      <c r="E653" t="str">
        <f t="shared" si="30"/>
        <v>Abdera is sacked by the Triballi and Maroneia</v>
      </c>
      <c r="F653" t="str">
        <f t="shared" si="31"/>
        <v/>
      </c>
      <c r="H653" t="b">
        <f t="shared" si="32"/>
        <v>0</v>
      </c>
      <c r="J653" s="3" t="str">
        <v>376</v>
      </c>
      <c r="K653" s="4" t="str">
        <v>Abdera is sacked by the Triballi and Maroneia</v>
      </c>
      <c r="P653" t="str">
        <v>382</v>
      </c>
      <c r="Q653" t="str">
        <v>Thebes is impressed into the Peloponnesian League</v>
      </c>
    </row>
    <row r="654" spans="1:17" x14ac:dyDescent="0.25">
      <c r="A654" t="s">
        <v>653</v>
      </c>
      <c r="B654" t="str" cm="1">
        <f t="array" ref="B654">INDEX(_xlfn.TEXTSPLIT(A654, " "), 1)</f>
        <v>376</v>
      </c>
      <c r="C654" t="str" cm="1">
        <f t="array" ref="C654">INDEX(_xlfn.TEXTSPLIT(B654, "-"), 1)</f>
        <v>376</v>
      </c>
      <c r="D654" t="str" cm="1">
        <f t="array" ref="D654">IFERROR(INDEX(_xlfn.TEXTSPLIT(B654, "-"), 2), "")</f>
        <v/>
      </c>
      <c r="E654" t="str">
        <f t="shared" si="30"/>
        <v>Thespiae and the rest of Boeotia are liberated and join the Boeotian League</v>
      </c>
      <c r="F654" t="str">
        <f t="shared" si="31"/>
        <v/>
      </c>
      <c r="H654" t="b">
        <f t="shared" si="32"/>
        <v>0</v>
      </c>
      <c r="J654" s="3" t="str">
        <v>376</v>
      </c>
      <c r="K654" s="4" t="str">
        <v>Thespiae and the rest of Boeotia are liberated and join the Boeotian League</v>
      </c>
      <c r="P654" t="str">
        <v>380</v>
      </c>
      <c r="Q654" t="str">
        <v>Sparta besieges Phlius</v>
      </c>
    </row>
    <row r="655" spans="1:17" x14ac:dyDescent="0.25">
      <c r="A655" t="s">
        <v>654</v>
      </c>
      <c r="B655" t="str" cm="1">
        <f t="array" ref="B655">INDEX(_xlfn.TEXTSPLIT(A655, " "), 1)</f>
        <v>375</v>
      </c>
      <c r="C655" t="str" cm="1">
        <f t="array" ref="C655">INDEX(_xlfn.TEXTSPLIT(B655, "-"), 1)</f>
        <v>375</v>
      </c>
      <c r="D655" t="str" cm="1">
        <f t="array" ref="D655">IFERROR(INDEX(_xlfn.TEXTSPLIT(B655, "-"), 2), "")</f>
        <v/>
      </c>
      <c r="E655" t="str">
        <f t="shared" si="30"/>
        <v>The Acarnanian League defects from the Peloponnesian League and joins the Delian League</v>
      </c>
      <c r="F655" t="str">
        <f t="shared" si="31"/>
        <v/>
      </c>
      <c r="H655" t="b">
        <f t="shared" si="32"/>
        <v>0</v>
      </c>
      <c r="J655" s="3" t="str">
        <v>375</v>
      </c>
      <c r="K655" s="4" t="str">
        <v>The Acarnanian League defects from the Peloponnesian League and joins the Delian League</v>
      </c>
      <c r="P655" t="str">
        <v>380</v>
      </c>
      <c r="Q655" t="str">
        <v>Makedonia recaptures their former territory</v>
      </c>
    </row>
    <row r="656" spans="1:17" x14ac:dyDescent="0.25">
      <c r="A656" t="s">
        <v>655</v>
      </c>
      <c r="B656" t="str" cm="1">
        <f t="array" ref="B656">INDEX(_xlfn.TEXTSPLIT(A656, " "), 1)</f>
        <v>375</v>
      </c>
      <c r="C656" t="str" cm="1">
        <f t="array" ref="C656">INDEX(_xlfn.TEXTSPLIT(B656, "-"), 1)</f>
        <v>375</v>
      </c>
      <c r="D656" t="str" cm="1">
        <f t="array" ref="D656">IFERROR(INDEX(_xlfn.TEXTSPLIT(B656, "-"), 2), "")</f>
        <v/>
      </c>
      <c r="E656" t="str">
        <f t="shared" si="30"/>
        <v>Chalcidian League is reestablished by Olynthus and joins the Delian League</v>
      </c>
      <c r="F656" t="str">
        <f t="shared" si="31"/>
        <v/>
      </c>
      <c r="H656" t="b">
        <f t="shared" si="32"/>
        <v>0</v>
      </c>
      <c r="J656" s="3" t="str">
        <v>375</v>
      </c>
      <c r="K656" s="4" t="str">
        <v>Chalcidian League is reestablished by Olynthus and joins the Delian League</v>
      </c>
      <c r="P656" t="str">
        <v>379</v>
      </c>
      <c r="Q656" t="str">
        <v>Kroton is annexed by Dionysius</v>
      </c>
    </row>
    <row r="657" spans="1:17" x14ac:dyDescent="0.25">
      <c r="A657" t="s">
        <v>656</v>
      </c>
      <c r="B657" t="str" cm="1">
        <f t="array" ref="B657">INDEX(_xlfn.TEXTSPLIT(A657, " "), 1)</f>
        <v>373</v>
      </c>
      <c r="C657" t="str" cm="1">
        <f t="array" ref="C657">INDEX(_xlfn.TEXTSPLIT(B657, "-"), 1)</f>
        <v>373</v>
      </c>
      <c r="D657" t="str" cm="1">
        <f t="array" ref="D657">IFERROR(INDEX(_xlfn.TEXTSPLIT(B657, "-"), 2), "")</f>
        <v/>
      </c>
      <c r="E657" t="str">
        <f t="shared" si="30"/>
        <v>Kerkyra is besieged by Sparta</v>
      </c>
      <c r="F657" t="str">
        <f t="shared" si="31"/>
        <v/>
      </c>
      <c r="H657" t="b">
        <f t="shared" si="32"/>
        <v>0</v>
      </c>
      <c r="J657" s="3" t="str">
        <v>373</v>
      </c>
      <c r="K657" s="4" t="str">
        <v>Kerkyra is besieged by Sparta</v>
      </c>
      <c r="P657" t="str">
        <v>379</v>
      </c>
      <c r="Q657" t="str">
        <v>Phlius is impressed into the Peloponnesian League</v>
      </c>
    </row>
    <row r="658" spans="1:17" x14ac:dyDescent="0.25">
      <c r="A658" t="s">
        <v>657</v>
      </c>
      <c r="B658" t="str" cm="1">
        <f t="array" ref="B658">INDEX(_xlfn.TEXTSPLIT(A658, " "), 1)</f>
        <v>371</v>
      </c>
      <c r="C658" t="str" cm="1">
        <f t="array" ref="C658">INDEX(_xlfn.TEXTSPLIT(B658, "-"), 1)</f>
        <v>371</v>
      </c>
      <c r="D658" t="str" cm="1">
        <f t="array" ref="D658">IFERROR(INDEX(_xlfn.TEXTSPLIT(B658, "-"), 2), "")</f>
        <v/>
      </c>
      <c r="E658" t="str">
        <f t="shared" si="30"/>
        <v>Sparta leaves Kerkyra</v>
      </c>
      <c r="F658" t="str">
        <f t="shared" si="31"/>
        <v/>
      </c>
      <c r="H658" t="b">
        <f t="shared" si="32"/>
        <v>0</v>
      </c>
      <c r="J658" s="3" t="str">
        <v>371</v>
      </c>
      <c r="K658" s="4" t="str">
        <v>Sparta leaves Kerkyra</v>
      </c>
      <c r="P658" t="str">
        <v>379</v>
      </c>
      <c r="Q658" t="str">
        <v>The Chalcidian League is disbanded and its former members are impressed into the Peloponnesian League and Potidaea and Korinth also join the league</v>
      </c>
    </row>
    <row r="659" spans="1:17" x14ac:dyDescent="0.25">
      <c r="A659" t="s">
        <v>658</v>
      </c>
      <c r="B659" t="str" cm="1">
        <f t="array" ref="B659">INDEX(_xlfn.TEXTSPLIT(A659, " "), 1)</f>
        <v>370</v>
      </c>
      <c r="C659" t="str" cm="1">
        <f t="array" ref="C659">INDEX(_xlfn.TEXTSPLIT(B659, "-"), 1)</f>
        <v>370</v>
      </c>
      <c r="D659" t="str" cm="1">
        <f t="array" ref="D659">IFERROR(INDEX(_xlfn.TEXTSPLIT(B659, "-"), 2), "")</f>
        <v/>
      </c>
      <c r="E659" t="str">
        <f t="shared" si="30"/>
        <v>Gythium is occupied by Thebes</v>
      </c>
      <c r="F659" t="str">
        <f t="shared" si="31"/>
        <v/>
      </c>
      <c r="H659" t="b">
        <f t="shared" si="32"/>
        <v>0</v>
      </c>
      <c r="J659" s="3" t="str">
        <v>370</v>
      </c>
      <c r="K659" s="4" t="str">
        <v>Gythium is occupied by Thebes</v>
      </c>
      <c r="P659" t="str">
        <v>379</v>
      </c>
      <c r="Q659" t="str">
        <v>Leontiades and Archias are overthrown and Thebes leaves the Peloponnesian League</v>
      </c>
    </row>
    <row r="660" spans="1:17" x14ac:dyDescent="0.25">
      <c r="A660" t="s">
        <v>659</v>
      </c>
      <c r="B660" t="str" cm="1">
        <f t="array" ref="B660">INDEX(_xlfn.TEXTSPLIT(A660, " "), 1)</f>
        <v>370</v>
      </c>
      <c r="C660" t="str" cm="1">
        <f t="array" ref="C660">INDEX(_xlfn.TEXTSPLIT(B660, "-"), 1)</f>
        <v>370</v>
      </c>
      <c r="D660" t="str" cm="1">
        <f t="array" ref="D660">IFERROR(INDEX(_xlfn.TEXTSPLIT(B660, "-"), 2), "")</f>
        <v/>
      </c>
      <c r="E660" t="str">
        <f t="shared" si="30"/>
        <v>Heraclea Sintica is founded by Makedonia</v>
      </c>
      <c r="F660" t="str">
        <f t="shared" si="31"/>
        <v/>
      </c>
      <c r="H660" t="b">
        <f t="shared" si="32"/>
        <v>0</v>
      </c>
      <c r="J660" s="3" t="str">
        <v>370</v>
      </c>
      <c r="K660" s="4" t="str">
        <v>Heraclea Sintica is founded by Makedonia</v>
      </c>
      <c r="P660" t="str">
        <v>379</v>
      </c>
      <c r="Q660" t="str">
        <v>Sparta occupies Thespiae</v>
      </c>
    </row>
    <row r="661" spans="1:17" x14ac:dyDescent="0.25">
      <c r="A661" t="s">
        <v>660</v>
      </c>
      <c r="B661" t="str" cm="1">
        <f t="array" ref="B661">INDEX(_xlfn.TEXTSPLIT(A661, " "), 1)</f>
        <v>369</v>
      </c>
      <c r="C661" t="str" cm="1">
        <f t="array" ref="C661">INDEX(_xlfn.TEXTSPLIT(B661, "-"), 1)</f>
        <v>369</v>
      </c>
      <c r="D661" t="str" cm="1">
        <f t="array" ref="D661">IFERROR(INDEX(_xlfn.TEXTSPLIT(B661, "-"), 2), "")</f>
        <v/>
      </c>
      <c r="E661" t="str">
        <f t="shared" si="30"/>
        <v>Korinth is overthrown by Timophanes</v>
      </c>
      <c r="F661" t="str">
        <f t="shared" si="31"/>
        <v/>
      </c>
      <c r="H661" t="b">
        <f t="shared" si="32"/>
        <v>0</v>
      </c>
      <c r="J661" s="3" t="str">
        <v>369</v>
      </c>
      <c r="K661" s="4" t="str">
        <v>Korinth is overthrown by Timophanes</v>
      </c>
      <c r="P661" t="str">
        <v>378</v>
      </c>
      <c r="Q661" t="str">
        <v>Themison overthrows Eretria</v>
      </c>
    </row>
    <row r="662" spans="1:17" x14ac:dyDescent="0.25">
      <c r="A662" t="s">
        <v>661</v>
      </c>
      <c r="B662" t="str" cm="1">
        <f t="array" ref="B662">INDEX(_xlfn.TEXTSPLIT(A662, " "), 1)</f>
        <v>368</v>
      </c>
      <c r="C662" t="str" cm="1">
        <f t="array" ref="C662">INDEX(_xlfn.TEXTSPLIT(B662, "-"), 1)</f>
        <v>368</v>
      </c>
      <c r="D662" t="str" cm="1">
        <f t="array" ref="D662">IFERROR(INDEX(_xlfn.TEXTSPLIT(B662, "-"), 2), "")</f>
        <v/>
      </c>
      <c r="E662" t="str">
        <f t="shared" si="30"/>
        <v>Aetolian League is founded</v>
      </c>
      <c r="F662" t="str">
        <f t="shared" si="31"/>
        <v/>
      </c>
      <c r="H662" t="b">
        <f t="shared" si="32"/>
        <v>0</v>
      </c>
      <c r="J662" s="3" t="str">
        <v>368</v>
      </c>
      <c r="K662" s="4" t="str">
        <v>Aetolian League is founded</v>
      </c>
      <c r="P662" t="str">
        <v>377</v>
      </c>
      <c r="Q662" t="str">
        <v>The Boeotian League is refounded by Thebes</v>
      </c>
    </row>
    <row r="663" spans="1:17" x14ac:dyDescent="0.25">
      <c r="A663" t="s">
        <v>662</v>
      </c>
      <c r="B663" t="str" cm="1">
        <f t="array" ref="B663">INDEX(_xlfn.TEXTSPLIT(A663, " "), 1)</f>
        <v>367</v>
      </c>
      <c r="C663" t="str" cm="1">
        <f t="array" ref="C663">INDEX(_xlfn.TEXTSPLIT(B663, "-"), 1)</f>
        <v>367</v>
      </c>
      <c r="D663" t="str" cm="1">
        <f t="array" ref="D663">IFERROR(INDEX(_xlfn.TEXTSPLIT(B663, "-"), 2), "")</f>
        <v/>
      </c>
      <c r="E663" t="str">
        <f t="shared" si="30"/>
        <v>Daparria is annexed by Dardania</v>
      </c>
      <c r="F663" t="str">
        <f t="shared" si="31"/>
        <v/>
      </c>
      <c r="H663" t="b">
        <f t="shared" si="32"/>
        <v>0</v>
      </c>
      <c r="J663" s="3" t="str">
        <v>367</v>
      </c>
      <c r="K663" s="4" t="str">
        <v>Daparria is annexed by Dardania</v>
      </c>
      <c r="P663" t="str">
        <v>376</v>
      </c>
      <c r="Q663" t="str">
        <v>Abdera is sacked by the Triballi and Maroneia</v>
      </c>
    </row>
    <row r="664" spans="1:17" x14ac:dyDescent="0.25">
      <c r="A664" t="s">
        <v>663</v>
      </c>
      <c r="B664" t="str" cm="1">
        <f t="array" ref="B664">INDEX(_xlfn.TEXTSPLIT(A664, " "), 1)</f>
        <v>367</v>
      </c>
      <c r="C664" t="str" cm="1">
        <f t="array" ref="C664">INDEX(_xlfn.TEXTSPLIT(B664, "-"), 1)</f>
        <v>367</v>
      </c>
      <c r="D664" t="str" cm="1">
        <f t="array" ref="D664">IFERROR(INDEX(_xlfn.TEXTSPLIT(B664, "-"), 2), "")</f>
        <v/>
      </c>
      <c r="E664" t="str">
        <f t="shared" si="30"/>
        <v>Kroton is annexed by Bruttian League</v>
      </c>
      <c r="F664" t="str">
        <f t="shared" si="31"/>
        <v/>
      </c>
      <c r="H664" t="b">
        <f t="shared" si="32"/>
        <v>0</v>
      </c>
      <c r="J664" s="3" t="str">
        <v>367</v>
      </c>
      <c r="K664" s="4" t="str">
        <v>Kroton is annexed by Bruttian League</v>
      </c>
      <c r="P664" t="str">
        <v>376</v>
      </c>
      <c r="Q664" t="str">
        <v>Thespiae and the rest of Boeotia are liberated and join the Boeotian League</v>
      </c>
    </row>
    <row r="665" spans="1:17" x14ac:dyDescent="0.25">
      <c r="A665" t="s">
        <v>664</v>
      </c>
      <c r="B665" t="str" cm="1">
        <f t="array" ref="B665">INDEX(_xlfn.TEXTSPLIT(A665, " "), 1)</f>
        <v>366</v>
      </c>
      <c r="C665" t="str" cm="1">
        <f t="array" ref="C665">INDEX(_xlfn.TEXTSPLIT(B665, "-"), 1)</f>
        <v>366</v>
      </c>
      <c r="D665" t="str" cm="1">
        <f t="array" ref="D665">IFERROR(INDEX(_xlfn.TEXTSPLIT(B665, "-"), 2), "")</f>
        <v/>
      </c>
      <c r="E665" t="str">
        <f t="shared" si="30"/>
        <v>Opus declares independence from Athens with the help of Themison</v>
      </c>
      <c r="F665" t="str">
        <f t="shared" si="31"/>
        <v/>
      </c>
      <c r="H665" t="b">
        <f t="shared" si="32"/>
        <v>0</v>
      </c>
      <c r="J665" s="3" t="str">
        <v>366</v>
      </c>
      <c r="K665" s="4" t="str">
        <v>Opus declares independence from Athens with the help of Themison</v>
      </c>
      <c r="P665" t="str">
        <v>375</v>
      </c>
      <c r="Q665" t="str">
        <v>The Acarnanian League defects from the Peloponnesian League and joins the Delian League</v>
      </c>
    </row>
    <row r="666" spans="1:17" x14ac:dyDescent="0.25">
      <c r="A666" t="s">
        <v>665</v>
      </c>
      <c r="B666" t="str" cm="1">
        <f t="array" ref="B666">INDEX(_xlfn.TEXTSPLIT(A666, " "), 1)</f>
        <v>365</v>
      </c>
      <c r="C666" t="str" cm="1">
        <f t="array" ref="C666">INDEX(_xlfn.TEXTSPLIT(B666, "-"), 1)</f>
        <v>365</v>
      </c>
      <c r="D666" t="str" cm="1">
        <f t="array" ref="D666">IFERROR(INDEX(_xlfn.TEXTSPLIT(B666, "-"), 2), "")</f>
        <v/>
      </c>
      <c r="E666" t="str">
        <f t="shared" si="30"/>
        <v>Opus requests Thebes to protect them from Athens and sends a garrison. Opus is impressed into the Boeotian League</v>
      </c>
      <c r="F666" t="str">
        <f t="shared" si="31"/>
        <v/>
      </c>
      <c r="H666" t="b">
        <f t="shared" si="32"/>
        <v>0</v>
      </c>
      <c r="J666" s="3" t="str">
        <v>365</v>
      </c>
      <c r="K666" s="4" t="str">
        <v>Opus requests Thebes to protect them from Athens and sends a garrison. Opus is impressed into the Boeotian League</v>
      </c>
      <c r="P666" t="str">
        <v>375</v>
      </c>
      <c r="Q666" t="str">
        <v>Chalcidian League is reestablished by Olynthus and joins the Delian League</v>
      </c>
    </row>
    <row r="667" spans="1:17" x14ac:dyDescent="0.25">
      <c r="A667" t="s">
        <v>666</v>
      </c>
      <c r="B667" t="str" cm="1">
        <f t="array" ref="B667">INDEX(_xlfn.TEXTSPLIT(A667, " "), 1)</f>
        <v>364</v>
      </c>
      <c r="C667" t="str" cm="1">
        <f t="array" ref="C667">INDEX(_xlfn.TEXTSPLIT(B667, "-"), 1)</f>
        <v>364</v>
      </c>
      <c r="D667" t="str" cm="1">
        <f t="array" ref="D667">IFERROR(INDEX(_xlfn.TEXTSPLIT(B667, "-"), 2), "")</f>
        <v/>
      </c>
      <c r="E667" t="str">
        <f t="shared" si="30"/>
        <v>Timophanes is assassinated</v>
      </c>
      <c r="F667" t="str">
        <f t="shared" si="31"/>
        <v/>
      </c>
      <c r="H667" t="b">
        <f t="shared" si="32"/>
        <v>0</v>
      </c>
      <c r="J667" s="3" t="str">
        <v>364</v>
      </c>
      <c r="K667" s="4" t="str">
        <v>Timophanes is assassinated</v>
      </c>
      <c r="P667" t="str">
        <v>373</v>
      </c>
      <c r="Q667" t="str">
        <v>Kerkyra is besieged by Sparta</v>
      </c>
    </row>
    <row r="668" spans="1:17" x14ac:dyDescent="0.25">
      <c r="A668" t="s">
        <v>667</v>
      </c>
      <c r="B668" t="str" cm="1">
        <f t="array" ref="B668">INDEX(_xlfn.TEXTSPLIT(A668, " "), 1)</f>
        <v>364</v>
      </c>
      <c r="C668" t="str" cm="1">
        <f t="array" ref="C668">INDEX(_xlfn.TEXTSPLIT(B668, "-"), 1)</f>
        <v>364</v>
      </c>
      <c r="D668" t="str" cm="1">
        <f t="array" ref="D668">IFERROR(INDEX(_xlfn.TEXTSPLIT(B668, "-"), 2), "")</f>
        <v/>
      </c>
      <c r="E668" t="str">
        <f t="shared" si="30"/>
        <v>Orchmenus leaves the Boeotian League and is subsequently sieged by Thebes</v>
      </c>
      <c r="F668" t="str">
        <f t="shared" si="31"/>
        <v/>
      </c>
      <c r="H668" t="b">
        <f t="shared" si="32"/>
        <v>0</v>
      </c>
      <c r="J668" s="3" t="str">
        <v>364</v>
      </c>
      <c r="K668" s="4" t="str">
        <v>Orchmenus leaves the Boeotian League and is subsequently sieged by Thebes</v>
      </c>
      <c r="P668" t="str">
        <v>371</v>
      </c>
      <c r="Q668" t="str">
        <v>Sparta leaves Kerkyra</v>
      </c>
    </row>
    <row r="669" spans="1:17" x14ac:dyDescent="0.25">
      <c r="A669" t="s">
        <v>668</v>
      </c>
      <c r="B669" t="str" cm="1">
        <f t="array" ref="B669">INDEX(_xlfn.TEXTSPLIT(A669, " "), 1)</f>
        <v>363</v>
      </c>
      <c r="C669" t="str" cm="1">
        <f t="array" ref="C669">INDEX(_xlfn.TEXTSPLIT(B669, "-"), 1)</f>
        <v>363</v>
      </c>
      <c r="D669" t="str" cm="1">
        <f t="array" ref="D669">IFERROR(INDEX(_xlfn.TEXTSPLIT(B669, "-"), 2), "")</f>
        <v/>
      </c>
      <c r="E669" t="str">
        <f t="shared" si="30"/>
        <v>Orchmenus is impressed into the Boeotian League</v>
      </c>
      <c r="F669" t="str">
        <f t="shared" si="31"/>
        <v/>
      </c>
      <c r="H669" t="b">
        <f t="shared" si="32"/>
        <v>0</v>
      </c>
      <c r="J669" s="3" t="str">
        <v>363</v>
      </c>
      <c r="K669" s="4" t="str">
        <v>Orchmenus is impressed into the Boeotian League</v>
      </c>
      <c r="P669" t="str">
        <v>370</v>
      </c>
      <c r="Q669" t="str">
        <v>Gythium is occupied by Thebes</v>
      </c>
    </row>
    <row r="670" spans="1:17" x14ac:dyDescent="0.25">
      <c r="A670" t="s">
        <v>669</v>
      </c>
      <c r="B670" t="str" cm="1">
        <f t="array" ref="B670">INDEX(_xlfn.TEXTSPLIT(A670, " "), 1)</f>
        <v>363</v>
      </c>
      <c r="C670" t="str" cm="1">
        <f t="array" ref="C670">INDEX(_xlfn.TEXTSPLIT(B670, "-"), 1)</f>
        <v>363</v>
      </c>
      <c r="D670" t="str" cm="1">
        <f t="array" ref="D670">IFERROR(INDEX(_xlfn.TEXTSPLIT(B670, "-"), 2), "")</f>
        <v/>
      </c>
      <c r="E670" t="str">
        <f t="shared" si="30"/>
        <v>Pydna is impressed into the Delian League</v>
      </c>
      <c r="F670" t="str">
        <f t="shared" si="31"/>
        <v/>
      </c>
      <c r="H670" t="b">
        <f t="shared" si="32"/>
        <v>0</v>
      </c>
      <c r="J670" s="3" t="str">
        <v>363</v>
      </c>
      <c r="K670" s="4" t="str">
        <v>Pydna is impressed into the Delian League</v>
      </c>
      <c r="P670" t="str">
        <v>370</v>
      </c>
      <c r="Q670" t="str">
        <v>Heraclea Sintica is founded by Makedonia</v>
      </c>
    </row>
    <row r="671" spans="1:17" x14ac:dyDescent="0.25">
      <c r="A671" t="s">
        <v>670</v>
      </c>
      <c r="B671" t="str" cm="1">
        <f t="array" ref="B671">INDEX(_xlfn.TEXTSPLIT(A671, " "), 1)</f>
        <v>362</v>
      </c>
      <c r="C671" t="str" cm="1">
        <f t="array" ref="C671">INDEX(_xlfn.TEXTSPLIT(B671, "-"), 1)</f>
        <v>362</v>
      </c>
      <c r="D671" t="str" cm="1">
        <f t="array" ref="D671">IFERROR(INDEX(_xlfn.TEXTSPLIT(B671, "-"), 2), "")</f>
        <v/>
      </c>
      <c r="E671" t="str">
        <f t="shared" si="30"/>
        <v>Themison dies and is succeeded by Plutarch</v>
      </c>
      <c r="F671" t="str">
        <f t="shared" si="31"/>
        <v/>
      </c>
      <c r="H671" t="b">
        <f t="shared" si="32"/>
        <v>0</v>
      </c>
      <c r="J671" s="3" t="str">
        <v>362</v>
      </c>
      <c r="K671" s="4" t="str">
        <v>Themison dies and is succeeded by Plutarch</v>
      </c>
      <c r="P671" t="str">
        <v>369</v>
      </c>
      <c r="Q671" t="str">
        <v>Korinth is overthrown by Timophanes</v>
      </c>
    </row>
    <row r="672" spans="1:17" x14ac:dyDescent="0.25">
      <c r="A672" t="s">
        <v>671</v>
      </c>
      <c r="B672" t="str" cm="1">
        <f t="array" ref="B672">INDEX(_xlfn.TEXTSPLIT(A672, " "), 1)</f>
        <v>361</v>
      </c>
      <c r="C672" t="str" cm="1">
        <f t="array" ref="C672">INDEX(_xlfn.TEXTSPLIT(B672, "-"), 1)</f>
        <v>361</v>
      </c>
      <c r="D672" t="str" cm="1">
        <f t="array" ref="D672">IFERROR(INDEX(_xlfn.TEXTSPLIT(B672, "-"), 2), "")</f>
        <v/>
      </c>
      <c r="E672" t="str">
        <f t="shared" si="30"/>
        <v>Potidaea and Torone are impressed into the Delian League and become Athenian Cluerchies</v>
      </c>
      <c r="F672" t="str">
        <f t="shared" si="31"/>
        <v/>
      </c>
      <c r="H672" t="b">
        <f t="shared" si="32"/>
        <v>0</v>
      </c>
      <c r="J672" s="3" t="str">
        <v>361</v>
      </c>
      <c r="K672" s="4" t="str">
        <v>Potidaea and Torone are impressed into the Delian League and become Athenian Cluerchies</v>
      </c>
      <c r="P672" t="str">
        <v>368</v>
      </c>
      <c r="Q672" t="str">
        <v>Aetolian League is founded</v>
      </c>
    </row>
    <row r="673" spans="1:17" x14ac:dyDescent="0.25">
      <c r="A673" t="s">
        <v>672</v>
      </c>
      <c r="B673" t="str" cm="1">
        <f t="array" ref="B673">INDEX(_xlfn.TEXTSPLIT(A673, " "), 1)</f>
        <v>360</v>
      </c>
      <c r="C673" t="str" cm="1">
        <f t="array" ref="C673">INDEX(_xlfn.TEXTSPLIT(B673, "-"), 1)</f>
        <v>360</v>
      </c>
      <c r="D673" t="str" cm="1">
        <f t="array" ref="D673">IFERROR(INDEX(_xlfn.TEXTSPLIT(B673, "-"), 2), "")</f>
        <v/>
      </c>
      <c r="E673" t="str">
        <f t="shared" si="30"/>
        <v>Tauromenion overthrows the mercenaries and falls under the tyranny of Andromache</v>
      </c>
      <c r="F673" t="str">
        <f t="shared" si="31"/>
        <v/>
      </c>
      <c r="H673" t="b">
        <f t="shared" si="32"/>
        <v>0</v>
      </c>
      <c r="J673" s="3" t="str">
        <v>360</v>
      </c>
      <c r="K673" s="4" t="str">
        <v>Tauromenion overthrows the mercenaries and falls under the tyranny of Andromache</v>
      </c>
      <c r="P673" t="str">
        <v>367</v>
      </c>
      <c r="Q673" t="str">
        <v>Daparria is annexed by Dardania</v>
      </c>
    </row>
    <row r="674" spans="1:17" x14ac:dyDescent="0.25">
      <c r="A674" t="s">
        <v>673</v>
      </c>
      <c r="B674" t="str" cm="1">
        <f t="array" ref="B674">INDEX(_xlfn.TEXTSPLIT(A674, " "), 1)</f>
        <v>360</v>
      </c>
      <c r="C674" t="str" cm="1">
        <f t="array" ref="C674">INDEX(_xlfn.TEXTSPLIT(B674, "-"), 1)</f>
        <v>360</v>
      </c>
      <c r="D674" t="str" cm="1">
        <f t="array" ref="D674">IFERROR(INDEX(_xlfn.TEXTSPLIT(B674, "-"), 2), "")</f>
        <v/>
      </c>
      <c r="E674" t="str">
        <f t="shared" si="30"/>
        <v>Illios is overthrown by Charidemos</v>
      </c>
      <c r="F674" t="str">
        <f t="shared" si="31"/>
        <v/>
      </c>
      <c r="H674" t="b">
        <f t="shared" si="32"/>
        <v>0</v>
      </c>
      <c r="J674" s="3" t="str">
        <v>360</v>
      </c>
      <c r="K674" s="4" t="str">
        <v>Illios is overthrown by Charidemos</v>
      </c>
      <c r="P674" t="str">
        <v>367</v>
      </c>
      <c r="Q674" t="str">
        <v>Kroton is annexed by Bruttian League</v>
      </c>
    </row>
    <row r="675" spans="1:17" x14ac:dyDescent="0.25">
      <c r="A675" t="s">
        <v>674</v>
      </c>
      <c r="B675" t="str" cm="1">
        <f t="array" ref="B675">INDEX(_xlfn.TEXTSPLIT(A675, " "), 1)</f>
        <v>360</v>
      </c>
      <c r="C675" t="str" cm="1">
        <f t="array" ref="C675">INDEX(_xlfn.TEXTSPLIT(B675, "-"), 1)</f>
        <v>360</v>
      </c>
      <c r="D675" t="str" cm="1">
        <f t="array" ref="D675">IFERROR(INDEX(_xlfn.TEXTSPLIT(B675, "-"), 2), "")</f>
        <v/>
      </c>
      <c r="E675" t="str">
        <f t="shared" si="30"/>
        <v>Abydos is overthrown by Iphiades</v>
      </c>
      <c r="F675" t="str">
        <f t="shared" si="31"/>
        <v/>
      </c>
      <c r="H675" t="b">
        <f t="shared" si="32"/>
        <v>0</v>
      </c>
      <c r="J675" s="3" t="str">
        <v>360</v>
      </c>
      <c r="K675" s="4" t="str">
        <v>Abydos is overthrown by Iphiades</v>
      </c>
      <c r="P675" t="str">
        <v>366</v>
      </c>
      <c r="Q675" t="str">
        <v>Opus declares independence from Athens with the help of Themison</v>
      </c>
    </row>
    <row r="676" spans="1:17" x14ac:dyDescent="0.25">
      <c r="A676" t="s">
        <v>675</v>
      </c>
      <c r="B676" t="str" cm="1">
        <f t="array" ref="B676">INDEX(_xlfn.TEXTSPLIT(A676, " "), 1)</f>
        <v>359</v>
      </c>
      <c r="C676" t="str" cm="1">
        <f t="array" ref="C676">INDEX(_xlfn.TEXTSPLIT(B676, "-"), 1)</f>
        <v>359</v>
      </c>
      <c r="D676" t="str" cm="1">
        <f t="array" ref="D676">IFERROR(INDEX(_xlfn.TEXTSPLIT(B676, "-"), 2), "")</f>
        <v/>
      </c>
      <c r="E676" t="str">
        <f t="shared" si="30"/>
        <v>Charidemos is overthrown by Illios</v>
      </c>
      <c r="F676" t="str">
        <f t="shared" si="31"/>
        <v/>
      </c>
      <c r="H676" t="b">
        <f t="shared" si="32"/>
        <v>0</v>
      </c>
      <c r="J676" s="3" t="str">
        <v>359</v>
      </c>
      <c r="K676" s="4" t="str">
        <v>Charidemos is overthrown by Illios</v>
      </c>
      <c r="P676" t="str">
        <v>365</v>
      </c>
      <c r="Q676" t="str">
        <v>Opus requests Thebes to protect them from Athens and sends a garrison. Opus is impressed into the Boeotian League</v>
      </c>
    </row>
    <row r="677" spans="1:17" x14ac:dyDescent="0.25">
      <c r="A677" t="s">
        <v>676</v>
      </c>
      <c r="B677" t="str" cm="1">
        <f t="array" ref="B677">INDEX(_xlfn.TEXTSPLIT(A677, " "), 1)</f>
        <v>359</v>
      </c>
      <c r="C677" t="str" cm="1">
        <f t="array" ref="C677">INDEX(_xlfn.TEXTSPLIT(B677, "-"), 1)</f>
        <v>359</v>
      </c>
      <c r="D677" t="str" cm="1">
        <f t="array" ref="D677">IFERROR(INDEX(_xlfn.TEXTSPLIT(B677, "-"), 2), "")</f>
        <v/>
      </c>
      <c r="E677" t="str">
        <f t="shared" si="30"/>
        <v>Dardania annexes Lake Ohrid and Upper Macedonia</v>
      </c>
      <c r="F677" t="str">
        <f t="shared" si="31"/>
        <v/>
      </c>
      <c r="H677" t="b">
        <f t="shared" si="32"/>
        <v>0</v>
      </c>
      <c r="J677" s="3" t="str">
        <v>359</v>
      </c>
      <c r="K677" s="4" t="str">
        <v>Dardania annexes Lake Ohrid and Upper Macedonia</v>
      </c>
      <c r="P677" t="str">
        <v>364</v>
      </c>
      <c r="Q677" t="str">
        <v>Timophanes is assassinated</v>
      </c>
    </row>
    <row r="678" spans="1:17" x14ac:dyDescent="0.25">
      <c r="A678" t="s">
        <v>677</v>
      </c>
      <c r="B678" t="str" cm="1">
        <f t="array" ref="B678">INDEX(_xlfn.TEXTSPLIT(A678, " "), 1)</f>
        <v>359</v>
      </c>
      <c r="C678" t="str" cm="1">
        <f t="array" ref="C678">INDEX(_xlfn.TEXTSPLIT(B678, "-"), 1)</f>
        <v>359</v>
      </c>
      <c r="D678" t="str" cm="1">
        <f t="array" ref="D678">IFERROR(INDEX(_xlfn.TEXTSPLIT(B678, "-"), 2), "")</f>
        <v/>
      </c>
      <c r="E678" t="str">
        <f t="shared" si="30"/>
        <v>Archelaus annexes Methone, Aegae and Pydna</v>
      </c>
      <c r="F678" t="str">
        <f t="shared" si="31"/>
        <v/>
      </c>
      <c r="H678" t="b">
        <f t="shared" si="32"/>
        <v>0</v>
      </c>
      <c r="J678" s="3" t="str">
        <v>359</v>
      </c>
      <c r="K678" s="4" t="str">
        <v>Archelaus annexes Methone, Aegae and Pydna</v>
      </c>
      <c r="P678" t="str">
        <v>364</v>
      </c>
      <c r="Q678" t="str">
        <v>Orchmenus leaves the Boeotian League and is subsequently sieged by Thebes</v>
      </c>
    </row>
    <row r="679" spans="1:17" x14ac:dyDescent="0.25">
      <c r="A679" t="s">
        <v>678</v>
      </c>
      <c r="B679" t="str" cm="1">
        <f t="array" ref="B679">INDEX(_xlfn.TEXTSPLIT(A679, " "), 1)</f>
        <v>358</v>
      </c>
      <c r="C679" t="str" cm="1">
        <f t="array" ref="C679">INDEX(_xlfn.TEXTSPLIT(B679, "-"), 1)</f>
        <v>358</v>
      </c>
      <c r="D679" t="str" cm="1">
        <f t="array" ref="D679">IFERROR(INDEX(_xlfn.TEXTSPLIT(B679, "-"), 2), "")</f>
        <v/>
      </c>
      <c r="E679" t="str">
        <f t="shared" si="30"/>
        <v>Archelaus is annexed by Makedonia</v>
      </c>
      <c r="F679" t="str">
        <f t="shared" si="31"/>
        <v/>
      </c>
      <c r="H679" t="b">
        <f t="shared" si="32"/>
        <v>0</v>
      </c>
      <c r="J679" s="3" t="str">
        <v>358</v>
      </c>
      <c r="K679" s="4" t="str">
        <v>Archelaus is annexed by Makedonia</v>
      </c>
      <c r="P679" t="str">
        <v>363</v>
      </c>
      <c r="Q679" t="str">
        <v>Orchmenus is impressed into the Boeotian League</v>
      </c>
    </row>
    <row r="680" spans="1:17" x14ac:dyDescent="0.25">
      <c r="A680" t="s">
        <v>679</v>
      </c>
      <c r="B680" t="str" cm="1">
        <f t="array" ref="B680">INDEX(_xlfn.TEXTSPLIT(A680, " "), 1)</f>
        <v>358</v>
      </c>
      <c r="C680" t="str" cm="1">
        <f t="array" ref="C680">INDEX(_xlfn.TEXTSPLIT(B680, "-"), 1)</f>
        <v>358</v>
      </c>
      <c r="D680" t="str" cm="1">
        <f t="array" ref="D680">IFERROR(INDEX(_xlfn.TEXTSPLIT(B680, "-"), 2), "")</f>
        <v/>
      </c>
      <c r="E680" t="str">
        <f t="shared" si="30"/>
        <v>Macedonia reannexes Lake Ohrid, Lynkestis and Upper Macedonia from Dardania</v>
      </c>
      <c r="F680" t="str">
        <f t="shared" si="31"/>
        <v/>
      </c>
      <c r="H680" t="b">
        <f t="shared" si="32"/>
        <v>0</v>
      </c>
      <c r="J680" s="3" t="str">
        <v>358</v>
      </c>
      <c r="K680" s="4" t="str">
        <v>Macedonia reannexes Lake Ohrid, Lynkestis and Upper Macedonia from Dardania</v>
      </c>
      <c r="P680" t="str">
        <v>363</v>
      </c>
      <c r="Q680" t="str">
        <v>Pydna is impressed into the Delian League</v>
      </c>
    </row>
    <row r="681" spans="1:17" x14ac:dyDescent="0.25">
      <c r="A681" t="s">
        <v>680</v>
      </c>
      <c r="B681" t="str" cm="1">
        <f t="array" ref="B681">INDEX(_xlfn.TEXTSPLIT(A681, " "), 1)</f>
        <v>358</v>
      </c>
      <c r="C681" t="str" cm="1">
        <f t="array" ref="C681">INDEX(_xlfn.TEXTSPLIT(B681, "-"), 1)</f>
        <v>358</v>
      </c>
      <c r="D681" t="str" cm="1">
        <f t="array" ref="D681">IFERROR(INDEX(_xlfn.TEXTSPLIT(B681, "-"), 2), "")</f>
        <v/>
      </c>
      <c r="E681" t="str">
        <f t="shared" si="30"/>
        <v>Makedonia annexes Paeonia</v>
      </c>
      <c r="F681" t="str">
        <f t="shared" si="31"/>
        <v/>
      </c>
      <c r="H681" t="b">
        <f t="shared" si="32"/>
        <v>0</v>
      </c>
      <c r="J681" s="3" t="str">
        <v>358</v>
      </c>
      <c r="K681" s="4" t="str">
        <v>Makedonia annexes Paeonia</v>
      </c>
      <c r="P681" t="str">
        <v>362</v>
      </c>
      <c r="Q681" t="str">
        <v>Themison dies and is succeeded by Plutarch</v>
      </c>
    </row>
    <row r="682" spans="1:17" x14ac:dyDescent="0.25">
      <c r="A682" t="s">
        <v>681</v>
      </c>
      <c r="B682" t="str" cm="1">
        <f t="array" ref="B682">INDEX(_xlfn.TEXTSPLIT(A682, " "), 1)</f>
        <v>357</v>
      </c>
      <c r="C682" t="str" cm="1">
        <f t="array" ref="C682">INDEX(_xlfn.TEXTSPLIT(B682, "-"), 1)</f>
        <v>357</v>
      </c>
      <c r="D682" t="str" cm="1">
        <f t="array" ref="D682">IFERROR(INDEX(_xlfn.TEXTSPLIT(B682, "-"), 2), "")</f>
        <v/>
      </c>
      <c r="E682" t="str">
        <f t="shared" si="30"/>
        <v>Social War Starts</v>
      </c>
      <c r="F682" t="str">
        <f t="shared" si="31"/>
        <v/>
      </c>
      <c r="H682" t="b">
        <f t="shared" si="32"/>
        <v>0</v>
      </c>
      <c r="J682" s="3" t="str">
        <v>357</v>
      </c>
      <c r="K682" s="4" t="str">
        <v>Social War Starts</v>
      </c>
      <c r="P682" t="str">
        <v>361</v>
      </c>
      <c r="Q682" t="str">
        <v>Potidaea and Torone are impressed into the Delian League and become Athenian Cluerchies</v>
      </c>
    </row>
    <row r="683" spans="1:17" x14ac:dyDescent="0.25">
      <c r="A683" t="s">
        <v>682</v>
      </c>
      <c r="B683" t="str" cm="1">
        <f t="array" ref="B683">INDEX(_xlfn.TEXTSPLIT(A683, " "), 1)</f>
        <v>357</v>
      </c>
      <c r="C683" t="str" cm="1">
        <f t="array" ref="C683">INDEX(_xlfn.TEXTSPLIT(B683, "-"), 1)</f>
        <v>357</v>
      </c>
      <c r="D683" t="str" cm="1">
        <f t="array" ref="D683">IFERROR(INDEX(_xlfn.TEXTSPLIT(B683, "-"), 2), "")</f>
        <v/>
      </c>
      <c r="E683" t="str">
        <f t="shared" si="30"/>
        <v>Kos, Khios, Rodos and Byzantium leave the Delian League</v>
      </c>
      <c r="F683" t="str">
        <f t="shared" si="31"/>
        <v/>
      </c>
      <c r="H683" t="b">
        <f t="shared" si="32"/>
        <v>0</v>
      </c>
      <c r="J683" s="3" t="str">
        <v>357</v>
      </c>
      <c r="K683" s="4" t="str">
        <v>Kos, Khios, Rodos and Byzantium leave the Delian League</v>
      </c>
      <c r="P683" t="str">
        <v>360</v>
      </c>
      <c r="Q683" t="str">
        <v>Tauromenion overthrows the mercenaries and falls under the tyranny of Andromache</v>
      </c>
    </row>
    <row r="684" spans="1:17" x14ac:dyDescent="0.25">
      <c r="A684" t="s">
        <v>683</v>
      </c>
      <c r="B684" t="str" cm="1">
        <f t="array" ref="B684">INDEX(_xlfn.TEXTSPLIT(A684, " "), 1)</f>
        <v>357</v>
      </c>
      <c r="C684" t="str" cm="1">
        <f t="array" ref="C684">INDEX(_xlfn.TEXTSPLIT(B684, "-"), 1)</f>
        <v>357</v>
      </c>
      <c r="D684" t="str" cm="1">
        <f t="array" ref="D684">IFERROR(INDEX(_xlfn.TEXTSPLIT(B684, "-"), 2), "")</f>
        <v/>
      </c>
      <c r="E684" t="str">
        <f t="shared" si="30"/>
        <v>Makedonia annexes Pydna and Amphipolis</v>
      </c>
      <c r="F684" t="str">
        <f t="shared" si="31"/>
        <v/>
      </c>
      <c r="H684" t="b">
        <f t="shared" si="32"/>
        <v>0</v>
      </c>
      <c r="J684" s="3" t="str">
        <v>357</v>
      </c>
      <c r="K684" s="4" t="str">
        <v>Makedonia annexes Pydna and Amphipolis</v>
      </c>
      <c r="P684" t="str">
        <v>360</v>
      </c>
      <c r="Q684" t="str">
        <v>Illios is overthrown by Charidemos</v>
      </c>
    </row>
    <row r="685" spans="1:17" x14ac:dyDescent="0.25">
      <c r="A685" t="s">
        <v>684</v>
      </c>
      <c r="B685" t="str" cm="1">
        <f t="array" ref="B685">INDEX(_xlfn.TEXTSPLIT(A685, " "), 1)</f>
        <v>357</v>
      </c>
      <c r="C685" t="str" cm="1">
        <f t="array" ref="C685">INDEX(_xlfn.TEXTSPLIT(B685, "-"), 1)</f>
        <v>357</v>
      </c>
      <c r="D685" t="str" cm="1">
        <f t="array" ref="D685">IFERROR(INDEX(_xlfn.TEXTSPLIT(B685, "-"), 2), "")</f>
        <v/>
      </c>
      <c r="E685" t="str">
        <f t="shared" si="30"/>
        <v>Dionysius II is overthrown by Dion</v>
      </c>
      <c r="F685" t="str">
        <f t="shared" si="31"/>
        <v/>
      </c>
      <c r="H685" t="b">
        <f t="shared" si="32"/>
        <v>0</v>
      </c>
      <c r="J685" s="3" t="str">
        <v>357</v>
      </c>
      <c r="K685" s="4" t="str">
        <v>Dionysius II is overthrown by Dion</v>
      </c>
      <c r="P685" t="str">
        <v>360</v>
      </c>
      <c r="Q685" t="str">
        <v>Abydos is overthrown by Iphiades</v>
      </c>
    </row>
    <row r="686" spans="1:17" x14ac:dyDescent="0.25">
      <c r="A686" t="s">
        <v>685</v>
      </c>
      <c r="B686" t="str" cm="1">
        <f t="array" ref="B686">INDEX(_xlfn.TEXTSPLIT(A686, " "), 1)</f>
        <v>356</v>
      </c>
      <c r="C686" t="str" cm="1">
        <f t="array" ref="C686">INDEX(_xlfn.TEXTSPLIT(B686, "-"), 1)</f>
        <v>356</v>
      </c>
      <c r="D686" t="str" cm="1">
        <f t="array" ref="D686">IFERROR(INDEX(_xlfn.TEXTSPLIT(B686, "-"), 2), "")</f>
        <v/>
      </c>
      <c r="E686" t="str">
        <f t="shared" si="30"/>
        <v>Phocis annexes Delphi</v>
      </c>
      <c r="F686" t="str">
        <f t="shared" si="31"/>
        <v/>
      </c>
      <c r="H686" t="b">
        <f t="shared" si="32"/>
        <v>0</v>
      </c>
      <c r="J686" s="3" t="str">
        <v>356</v>
      </c>
      <c r="K686" s="4" t="str">
        <v>Phocis annexes Delphi</v>
      </c>
      <c r="P686" t="str">
        <v>359</v>
      </c>
      <c r="Q686" t="str">
        <v>Charidemos is overthrown by Illios</v>
      </c>
    </row>
    <row r="687" spans="1:17" x14ac:dyDescent="0.25">
      <c r="A687" t="s">
        <v>686</v>
      </c>
      <c r="B687" t="str" cm="1">
        <f t="array" ref="B687">INDEX(_xlfn.TEXTSPLIT(A687, " "), 1)</f>
        <v>356</v>
      </c>
      <c r="C687" t="str" cm="1">
        <f t="array" ref="C687">INDEX(_xlfn.TEXTSPLIT(B687, "-"), 1)</f>
        <v>356</v>
      </c>
      <c r="D687" t="str" cm="1">
        <f t="array" ref="D687">IFERROR(INDEX(_xlfn.TEXTSPLIT(B687, "-"), 2), "")</f>
        <v/>
      </c>
      <c r="E687" t="str">
        <f t="shared" si="30"/>
        <v>Locris is annexed by Dionysius II</v>
      </c>
      <c r="F687" t="str">
        <f t="shared" si="31"/>
        <v/>
      </c>
      <c r="H687" t="b">
        <f t="shared" si="32"/>
        <v>0</v>
      </c>
      <c r="J687" s="3" t="str">
        <v>356</v>
      </c>
      <c r="K687" s="4" t="str">
        <v>Locris is annexed by Dionysius II</v>
      </c>
      <c r="P687" t="str">
        <v>359</v>
      </c>
      <c r="Q687" t="str">
        <v>Dardania annexes Lake Ohrid and Upper Macedonia</v>
      </c>
    </row>
    <row r="688" spans="1:17" x14ac:dyDescent="0.25">
      <c r="A688" t="s">
        <v>687</v>
      </c>
      <c r="B688" t="str" cm="1">
        <f t="array" ref="B688">INDEX(_xlfn.TEXTSPLIT(A688, " "), 1)</f>
        <v>356</v>
      </c>
      <c r="C688" t="str" cm="1">
        <f t="array" ref="C688">INDEX(_xlfn.TEXTSPLIT(B688, "-"), 1)</f>
        <v>356</v>
      </c>
      <c r="D688" t="str" cm="1">
        <f t="array" ref="D688">IFERROR(INDEX(_xlfn.TEXTSPLIT(B688, "-"), 2), "")</f>
        <v/>
      </c>
      <c r="E688" t="str">
        <f t="shared" si="30"/>
        <v>Lemnos, Samos and Imbros is occupied by Chios and leave the Delian League</v>
      </c>
      <c r="F688" t="str">
        <f t="shared" si="31"/>
        <v/>
      </c>
      <c r="H688" t="b">
        <f t="shared" si="32"/>
        <v>0</v>
      </c>
      <c r="J688" s="3" t="str">
        <v>356</v>
      </c>
      <c r="K688" s="4" t="str">
        <v>Lemnos, Samos and Imbros is occupied by Chios and leave the Delian League</v>
      </c>
      <c r="P688" t="str">
        <v>359</v>
      </c>
      <c r="Q688" t="str">
        <v>Archelaus annexes Methone, Aegae and Pydna</v>
      </c>
    </row>
    <row r="689" spans="1:17" x14ac:dyDescent="0.25">
      <c r="A689" t="s">
        <v>688</v>
      </c>
      <c r="B689" t="str" cm="1">
        <f t="array" ref="B689">INDEX(_xlfn.TEXTSPLIT(A689, " "), 1)</f>
        <v>356</v>
      </c>
      <c r="C689" t="str" cm="1">
        <f t="array" ref="C689">INDEX(_xlfn.TEXTSPLIT(B689, "-"), 1)</f>
        <v>356</v>
      </c>
      <c r="D689" t="str" cm="1">
        <f t="array" ref="D689">IFERROR(INDEX(_xlfn.TEXTSPLIT(B689, "-"), 2), "")</f>
        <v/>
      </c>
      <c r="E689" t="str">
        <f t="shared" si="30"/>
        <v>Makedonia annexes Crenides, renames it Philippi and settles it with Makedonians</v>
      </c>
      <c r="F689" t="str">
        <f t="shared" si="31"/>
        <v/>
      </c>
      <c r="H689" t="b">
        <f t="shared" si="32"/>
        <v>0</v>
      </c>
      <c r="J689" s="3" t="str">
        <v>356</v>
      </c>
      <c r="K689" s="4" t="str">
        <v>Makedonia annexes Crenides, renames it Philippi and settles it with Makedonians</v>
      </c>
      <c r="P689" t="str">
        <v>358</v>
      </c>
      <c r="Q689" t="str">
        <v>Archelaus is annexed by Makedonia</v>
      </c>
    </row>
    <row r="690" spans="1:17" x14ac:dyDescent="0.25">
      <c r="A690" t="s">
        <v>689</v>
      </c>
      <c r="B690" t="str" cm="1">
        <f t="array" ref="B690">INDEX(_xlfn.TEXTSPLIT(A690, " "), 1)</f>
        <v>356</v>
      </c>
      <c r="C690" t="str" cm="1">
        <f t="array" ref="C690">INDEX(_xlfn.TEXTSPLIT(B690, "-"), 1)</f>
        <v>356</v>
      </c>
      <c r="D690" t="str" cm="1">
        <f t="array" ref="D690">IFERROR(INDEX(_xlfn.TEXTSPLIT(B690, "-"), 2), "")</f>
        <v/>
      </c>
      <c r="E690" t="str">
        <f t="shared" si="30"/>
        <v>Makedonian border set on Nestus river</v>
      </c>
      <c r="F690" t="str">
        <f t="shared" si="31"/>
        <v/>
      </c>
      <c r="H690" t="b">
        <f t="shared" si="32"/>
        <v>0</v>
      </c>
      <c r="J690" s="3" t="str">
        <v>356</v>
      </c>
      <c r="K690" s="4" t="str">
        <v>Makedonian border set on Nestus river</v>
      </c>
      <c r="P690" t="str">
        <v>358</v>
      </c>
      <c r="Q690" t="str">
        <v>Macedonia reannexes Lake Ohrid, Lynkestis and Upper Macedonia from Dardania</v>
      </c>
    </row>
    <row r="691" spans="1:17" x14ac:dyDescent="0.25">
      <c r="A691" t="s">
        <v>690</v>
      </c>
      <c r="B691" t="str" cm="1">
        <f t="array" ref="B691">INDEX(_xlfn.TEXTSPLIT(A691, " "), 1)</f>
        <v>356</v>
      </c>
      <c r="C691" t="str" cm="1">
        <f t="array" ref="C691">INDEX(_xlfn.TEXTSPLIT(B691, "-"), 1)</f>
        <v>356</v>
      </c>
      <c r="D691" t="str" cm="1">
        <f t="array" ref="D691">IFERROR(INDEX(_xlfn.TEXTSPLIT(B691, "-"), 2), "")</f>
        <v/>
      </c>
      <c r="E691" t="str">
        <f t="shared" si="30"/>
        <v>Potidaea and Anthemus are annexed by Chalcidian League</v>
      </c>
      <c r="F691" t="str">
        <f t="shared" si="31"/>
        <v/>
      </c>
      <c r="H691" t="b">
        <f t="shared" si="32"/>
        <v>0</v>
      </c>
      <c r="J691" s="3" t="str">
        <v>356</v>
      </c>
      <c r="K691" s="4" t="str">
        <v>Potidaea and Anthemus are annexed by Chalcidian League</v>
      </c>
      <c r="P691" t="str">
        <v>358</v>
      </c>
      <c r="Q691" t="str">
        <v>Makedonia annexes Paeonia</v>
      </c>
    </row>
    <row r="692" spans="1:17" x14ac:dyDescent="0.25">
      <c r="A692" t="s">
        <v>691</v>
      </c>
      <c r="B692" t="str" cm="1">
        <f t="array" ref="B692">INDEX(_xlfn.TEXTSPLIT(A692, " "), 1)</f>
        <v>356</v>
      </c>
      <c r="C692" t="str" cm="1">
        <f t="array" ref="C692">INDEX(_xlfn.TEXTSPLIT(B692, "-"), 1)</f>
        <v>356</v>
      </c>
      <c r="D692" t="str" cm="1">
        <f t="array" ref="D692">IFERROR(INDEX(_xlfn.TEXTSPLIT(B692, "-"), 2), "")</f>
        <v/>
      </c>
      <c r="E692" t="str">
        <f t="shared" si="30"/>
        <v>Makedonia besieges Methone</v>
      </c>
      <c r="F692" t="str">
        <f t="shared" si="31"/>
        <v/>
      </c>
      <c r="H692" t="b">
        <f t="shared" si="32"/>
        <v>0</v>
      </c>
      <c r="J692" s="3" t="str">
        <v>356</v>
      </c>
      <c r="K692" s="4" t="str">
        <v>Makedonia besieges Methone</v>
      </c>
      <c r="P692" t="str">
        <v>357</v>
      </c>
      <c r="Q692" t="str">
        <v>Social War Starts</v>
      </c>
    </row>
    <row r="693" spans="1:17" x14ac:dyDescent="0.25">
      <c r="A693" t="s">
        <v>692</v>
      </c>
      <c r="B693" t="str" cm="1">
        <f t="array" ref="B693">INDEX(_xlfn.TEXTSPLIT(A693, " "), 1)</f>
        <v>356</v>
      </c>
      <c r="C693" t="str" cm="1">
        <f t="array" ref="C693">INDEX(_xlfn.TEXTSPLIT(B693, "-"), 1)</f>
        <v>356</v>
      </c>
      <c r="D693" t="str" cm="1">
        <f t="array" ref="D693">IFERROR(INDEX(_xlfn.TEXTSPLIT(B693, "-"), 2), "")</f>
        <v/>
      </c>
      <c r="E693" t="str">
        <f t="shared" si="30"/>
        <v>Lokros is overthrown by Dionysius II</v>
      </c>
      <c r="F693" t="str">
        <f t="shared" si="31"/>
        <v/>
      </c>
      <c r="H693" t="b">
        <f t="shared" si="32"/>
        <v>0</v>
      </c>
      <c r="J693" s="3" t="str">
        <v>356</v>
      </c>
      <c r="K693" s="4" t="str">
        <v>Lokros is overthrown by Dionysius II</v>
      </c>
      <c r="P693" t="str">
        <v>357</v>
      </c>
      <c r="Q693" t="str">
        <v>Kos, Khios, Rodos and Byzantium leave the Delian League</v>
      </c>
    </row>
    <row r="694" spans="1:17" x14ac:dyDescent="0.25">
      <c r="A694" t="s">
        <v>693</v>
      </c>
      <c r="B694" t="str" cm="1">
        <f t="array" ref="B694">INDEX(_xlfn.TEXTSPLIT(A694, " "), 1)</f>
        <v>355</v>
      </c>
      <c r="C694" t="str" cm="1">
        <f t="array" ref="C694">INDEX(_xlfn.TEXTSPLIT(B694, "-"), 1)</f>
        <v>355</v>
      </c>
      <c r="D694" t="str" cm="1">
        <f t="array" ref="D694">IFERROR(INDEX(_xlfn.TEXTSPLIT(B694, "-"), 2), "")</f>
        <v/>
      </c>
      <c r="E694" t="str">
        <f t="shared" si="30"/>
        <v>Social War Ends</v>
      </c>
      <c r="F694" t="str">
        <f t="shared" si="31"/>
        <v/>
      </c>
      <c r="H694" t="b">
        <f t="shared" si="32"/>
        <v>0</v>
      </c>
      <c r="J694" s="3" t="str">
        <v>355</v>
      </c>
      <c r="K694" s="4" t="str">
        <v>Social War Ends</v>
      </c>
      <c r="P694" t="str">
        <v>357</v>
      </c>
      <c r="Q694" t="str">
        <v>Makedonia annexes Pydna and Amphipolis</v>
      </c>
    </row>
    <row r="695" spans="1:17" x14ac:dyDescent="0.25">
      <c r="A695" t="s">
        <v>694</v>
      </c>
      <c r="B695" t="str" cm="1">
        <f t="array" ref="B695">INDEX(_xlfn.TEXTSPLIT(A695, " "), 1)</f>
        <v>355</v>
      </c>
      <c r="C695" t="str" cm="1">
        <f t="array" ref="C695">INDEX(_xlfn.TEXTSPLIT(B695, "-"), 1)</f>
        <v>355</v>
      </c>
      <c r="D695" t="str" cm="1">
        <f t="array" ref="D695">IFERROR(INDEX(_xlfn.TEXTSPLIT(B695, "-"), 2), "")</f>
        <v/>
      </c>
      <c r="E695" t="str">
        <f t="shared" si="30"/>
        <v>Argolas is besieged by Phocis</v>
      </c>
      <c r="F695" t="str">
        <f t="shared" si="31"/>
        <v/>
      </c>
      <c r="H695" t="b">
        <f t="shared" si="32"/>
        <v>0</v>
      </c>
      <c r="J695" s="3" t="str">
        <v>355</v>
      </c>
      <c r="K695" s="4" t="str">
        <v>Argolas is besieged by Phocis</v>
      </c>
      <c r="P695" t="str">
        <v>357</v>
      </c>
      <c r="Q695" t="str">
        <v>Dionysius II is overthrown by Dion</v>
      </c>
    </row>
    <row r="696" spans="1:17" x14ac:dyDescent="0.25">
      <c r="A696" t="s">
        <v>695</v>
      </c>
      <c r="B696" t="str" cm="1">
        <f t="array" ref="B696">INDEX(_xlfn.TEXTSPLIT(A696, " "), 1)</f>
        <v>355</v>
      </c>
      <c r="C696" t="str" cm="1">
        <f t="array" ref="C696">INDEX(_xlfn.TEXTSPLIT(B696, "-"), 1)</f>
        <v>355</v>
      </c>
      <c r="D696" t="str" cm="1">
        <f t="array" ref="D696">IFERROR(INDEX(_xlfn.TEXTSPLIT(B696, "-"), 2), "")</f>
        <v/>
      </c>
      <c r="E696" t="str">
        <f t="shared" si="30"/>
        <v>Dion is overthrown by Callipus</v>
      </c>
      <c r="F696" t="str">
        <f t="shared" si="31"/>
        <v/>
      </c>
      <c r="H696" t="b">
        <f t="shared" si="32"/>
        <v>0</v>
      </c>
      <c r="J696" s="3" t="str">
        <v>355</v>
      </c>
      <c r="K696" s="4" t="str">
        <v>Dion is overthrown by Callipus</v>
      </c>
      <c r="P696" t="str">
        <v>356</v>
      </c>
      <c r="Q696" t="str">
        <v>Phocis annexes Delphi</v>
      </c>
    </row>
    <row r="697" spans="1:17" x14ac:dyDescent="0.25">
      <c r="A697" t="s">
        <v>696</v>
      </c>
      <c r="B697" t="str" cm="1">
        <f t="array" ref="B697">INDEX(_xlfn.TEXTSPLIT(A697, " "), 1)</f>
        <v>354</v>
      </c>
      <c r="C697" t="str" cm="1">
        <f t="array" ref="C697">INDEX(_xlfn.TEXTSPLIT(B697, "-"), 1)</f>
        <v>354</v>
      </c>
      <c r="D697" t="str" cm="1">
        <f t="array" ref="D697">IFERROR(INDEX(_xlfn.TEXTSPLIT(B697, "-"), 2), "")</f>
        <v/>
      </c>
      <c r="E697" t="str">
        <f t="shared" si="30"/>
        <v>Methone and Abdera are annexed by Makedonia</v>
      </c>
      <c r="F697" t="str">
        <f t="shared" si="31"/>
        <v/>
      </c>
      <c r="H697" t="b">
        <f t="shared" si="32"/>
        <v>0</v>
      </c>
      <c r="J697" s="3" t="str">
        <v>354</v>
      </c>
      <c r="K697" s="4" t="str">
        <v>Methone and Abdera are annexed by Makedonia</v>
      </c>
      <c r="P697" t="str">
        <v>356</v>
      </c>
      <c r="Q697" t="str">
        <v>Locris is annexed by Dionysius II</v>
      </c>
    </row>
    <row r="698" spans="1:17" x14ac:dyDescent="0.25">
      <c r="A698" t="s">
        <v>697</v>
      </c>
      <c r="B698" t="str" cm="1">
        <f t="array" ref="B698">INDEX(_xlfn.TEXTSPLIT(A698, " "), 1)</f>
        <v>354</v>
      </c>
      <c r="C698" t="str" cm="1">
        <f t="array" ref="C698">INDEX(_xlfn.TEXTSPLIT(B698, "-"), 1)</f>
        <v>354</v>
      </c>
      <c r="D698" t="str" cm="1">
        <f t="array" ref="D698">IFERROR(INDEX(_xlfn.TEXTSPLIT(B698, "-"), 2), "")</f>
        <v/>
      </c>
      <c r="E698" t="str">
        <f t="shared" si="30"/>
        <v>Phocis abandons the Siege of Argolas</v>
      </c>
      <c r="F698" t="str">
        <f t="shared" si="31"/>
        <v/>
      </c>
      <c r="H698" t="b">
        <f t="shared" si="32"/>
        <v>0</v>
      </c>
      <c r="J698" s="3" t="str">
        <v>354</v>
      </c>
      <c r="K698" s="4" t="str">
        <v>Phocis abandons the Siege of Argolas</v>
      </c>
      <c r="P698" t="str">
        <v>356</v>
      </c>
      <c r="Q698" t="str">
        <v>Lemnos, Samos and Imbros is occupied by Chios and leave the Delian League</v>
      </c>
    </row>
    <row r="699" spans="1:17" x14ac:dyDescent="0.25">
      <c r="A699" t="s">
        <v>698</v>
      </c>
      <c r="B699" t="str" cm="1">
        <f t="array" ref="B699">INDEX(_xlfn.TEXTSPLIT(A699, " "), 1)</f>
        <v>354</v>
      </c>
      <c r="C699" t="str" cm="1">
        <f t="array" ref="C699">INDEX(_xlfn.TEXTSPLIT(B699, "-"), 1)</f>
        <v>354</v>
      </c>
      <c r="D699" t="str" cm="1">
        <f t="array" ref="D699">IFERROR(INDEX(_xlfn.TEXTSPLIT(B699, "-"), 2), "")</f>
        <v/>
      </c>
      <c r="E699" t="str">
        <f t="shared" si="30"/>
        <v>Thessaly is vassalized by Phocis</v>
      </c>
      <c r="F699" t="str">
        <f t="shared" si="31"/>
        <v/>
      </c>
      <c r="H699" t="b">
        <f t="shared" si="32"/>
        <v>0</v>
      </c>
      <c r="J699" s="3" t="str">
        <v>354</v>
      </c>
      <c r="K699" s="4" t="str">
        <v>Thessaly is vassalized by Phocis</v>
      </c>
      <c r="P699" t="str">
        <v>356</v>
      </c>
      <c r="Q699" t="str">
        <v>Makedonia annexes Crenides, renames it Philippi and settles it with Makedonians</v>
      </c>
    </row>
    <row r="700" spans="1:17" x14ac:dyDescent="0.25">
      <c r="A700" t="s">
        <v>699</v>
      </c>
      <c r="B700" t="str" cm="1">
        <f t="array" ref="B700">INDEX(_xlfn.TEXTSPLIT(A700, " "), 1)</f>
        <v>353</v>
      </c>
      <c r="C700" t="str" cm="1">
        <f t="array" ref="C700">INDEX(_xlfn.TEXTSPLIT(B700, "-"), 1)</f>
        <v>353</v>
      </c>
      <c r="D700" t="str" cm="1">
        <f t="array" ref="D700">IFERROR(INDEX(_xlfn.TEXTSPLIT(B700, "-"), 2), "")</f>
        <v/>
      </c>
      <c r="E700" t="str">
        <f t="shared" si="30"/>
        <v>Catania is annexed by Callipus</v>
      </c>
      <c r="F700" t="str">
        <f t="shared" si="31"/>
        <v/>
      </c>
      <c r="H700" t="b">
        <f t="shared" si="32"/>
        <v>0</v>
      </c>
      <c r="J700" s="3" t="str">
        <v>353</v>
      </c>
      <c r="K700" s="4" t="str">
        <v>Catania is annexed by Callipus</v>
      </c>
      <c r="P700" t="str">
        <v>356</v>
      </c>
      <c r="Q700" t="str">
        <v>Makedonian border set on Nestus river</v>
      </c>
    </row>
    <row r="701" spans="1:17" x14ac:dyDescent="0.25">
      <c r="A701" t="s">
        <v>700</v>
      </c>
      <c r="B701" t="str" cm="1">
        <f t="array" ref="B701">INDEX(_xlfn.TEXTSPLIT(A701, " "), 1)</f>
        <v>353</v>
      </c>
      <c r="C701" t="str" cm="1">
        <f t="array" ref="C701">INDEX(_xlfn.TEXTSPLIT(B701, "-"), 1)</f>
        <v>353</v>
      </c>
      <c r="D701" t="str" cm="1">
        <f t="array" ref="D701">IFERROR(INDEX(_xlfn.TEXTSPLIT(B701, "-"), 2), "")</f>
        <v/>
      </c>
      <c r="E701" t="str">
        <f t="shared" si="30"/>
        <v>Makedonia occupied Pagasae</v>
      </c>
      <c r="F701" t="str">
        <f t="shared" si="31"/>
        <v/>
      </c>
      <c r="H701" t="b">
        <f t="shared" si="32"/>
        <v>0</v>
      </c>
      <c r="J701" s="3" t="str">
        <v>353</v>
      </c>
      <c r="K701" s="4" t="str">
        <v>Makedonia occupied Pagasae</v>
      </c>
      <c r="P701" t="str">
        <v>356</v>
      </c>
      <c r="Q701" t="str">
        <v>Potidaea and Anthemus are annexed by Chalcidian League</v>
      </c>
    </row>
    <row r="702" spans="1:17" x14ac:dyDescent="0.25">
      <c r="A702" t="s">
        <v>701</v>
      </c>
      <c r="B702" t="str" cm="1">
        <f t="array" ref="B702">INDEX(_xlfn.TEXTSPLIT(A702, " "), 1)</f>
        <v>353</v>
      </c>
      <c r="C702" t="str" cm="1">
        <f t="array" ref="C702">INDEX(_xlfn.TEXTSPLIT(B702, "-"), 1)</f>
        <v>353</v>
      </c>
      <c r="D702" t="str" cm="1">
        <f t="array" ref="D702">IFERROR(INDEX(_xlfn.TEXTSPLIT(B702, "-"), 2), "")</f>
        <v/>
      </c>
      <c r="E702" t="str">
        <f t="shared" si="30"/>
        <v>Thessaly is vassalized by Makedonia</v>
      </c>
      <c r="F702" t="str">
        <f t="shared" si="31"/>
        <v/>
      </c>
      <c r="H702" t="b">
        <f t="shared" si="32"/>
        <v>0</v>
      </c>
      <c r="J702" s="3" t="str">
        <v>353</v>
      </c>
      <c r="K702" s="4" t="str">
        <v>Thessaly is vassalized by Makedonia</v>
      </c>
      <c r="P702" t="str">
        <v>356</v>
      </c>
      <c r="Q702" t="str">
        <v>Makedonia besieges Methone</v>
      </c>
    </row>
    <row r="703" spans="1:17" x14ac:dyDescent="0.25">
      <c r="A703" t="s">
        <v>702</v>
      </c>
      <c r="B703" t="str" cm="1">
        <f t="array" ref="B703">INDEX(_xlfn.TEXTSPLIT(A703, " "), 1)</f>
        <v>352</v>
      </c>
      <c r="C703" t="str" cm="1">
        <f t="array" ref="C703">INDEX(_xlfn.TEXTSPLIT(B703, "-"), 1)</f>
        <v>352</v>
      </c>
      <c r="D703" t="str" cm="1">
        <f t="array" ref="D703">IFERROR(INDEX(_xlfn.TEXTSPLIT(B703, "-"), 2), "")</f>
        <v/>
      </c>
      <c r="E703" t="str">
        <f t="shared" si="30"/>
        <v>Callipus is overthrown by Hipparinos (Callipus keeps Catania)</v>
      </c>
      <c r="F703" t="str">
        <f t="shared" si="31"/>
        <v/>
      </c>
      <c r="H703" t="b">
        <f t="shared" si="32"/>
        <v>0</v>
      </c>
      <c r="J703" s="3" t="str">
        <v>352</v>
      </c>
      <c r="K703" s="4" t="str">
        <v>Callipus is overthrown by Hipparinos (Callipus keeps Catania)</v>
      </c>
      <c r="P703" t="str">
        <v>356</v>
      </c>
      <c r="Q703" t="str">
        <v>Lokros is overthrown by Dionysius II</v>
      </c>
    </row>
    <row r="704" spans="1:17" x14ac:dyDescent="0.25">
      <c r="A704" t="s">
        <v>703</v>
      </c>
      <c r="B704" t="str" cm="1">
        <f t="array" ref="B704">INDEX(_xlfn.TEXTSPLIT(A704, " "), 1)</f>
        <v>352</v>
      </c>
      <c r="C704" t="str" cm="1">
        <f t="array" ref="C704">INDEX(_xlfn.TEXTSPLIT(B704, "-"), 1)</f>
        <v>352</v>
      </c>
      <c r="D704" t="str" cm="1">
        <f t="array" ref="D704">IFERROR(INDEX(_xlfn.TEXTSPLIT(B704, "-"), 2), "")</f>
        <v/>
      </c>
      <c r="E704" t="str">
        <f t="shared" si="30"/>
        <v>Nicodemus overthrows Centuripe</v>
      </c>
      <c r="F704" t="str">
        <f t="shared" si="31"/>
        <v/>
      </c>
      <c r="H704" t="b">
        <f t="shared" si="32"/>
        <v>0</v>
      </c>
      <c r="J704" s="3" t="str">
        <v>352</v>
      </c>
      <c r="K704" s="4" t="str">
        <v>Nicodemus overthrows Centuripe</v>
      </c>
      <c r="P704" t="str">
        <v>355</v>
      </c>
      <c r="Q704" t="str">
        <v>Social War Ends</v>
      </c>
    </row>
    <row r="705" spans="1:17" x14ac:dyDescent="0.25">
      <c r="A705" t="s">
        <v>704</v>
      </c>
      <c r="B705" t="str" cm="1">
        <f t="array" ref="B705">INDEX(_xlfn.TEXTSPLIT(A705, " "), 1)</f>
        <v>352</v>
      </c>
      <c r="C705" t="str" cm="1">
        <f t="array" ref="C705">INDEX(_xlfn.TEXTSPLIT(B705, "-"), 1)</f>
        <v>352</v>
      </c>
      <c r="D705" t="str" cm="1">
        <f t="array" ref="D705">IFERROR(INDEX(_xlfn.TEXTSPLIT(B705, "-"), 2), "")</f>
        <v/>
      </c>
      <c r="E705" t="str">
        <f t="shared" si="30"/>
        <v>Orchmenus and Chaeronea are occupied by Phocis</v>
      </c>
      <c r="F705" t="str">
        <f t="shared" si="31"/>
        <v/>
      </c>
      <c r="H705" t="b">
        <f t="shared" si="32"/>
        <v>0</v>
      </c>
      <c r="J705" s="3" t="str">
        <v>352</v>
      </c>
      <c r="K705" s="4" t="str">
        <v>Orchmenus and Chaeronea are occupied by Phocis</v>
      </c>
      <c r="P705" t="str">
        <v>355</v>
      </c>
      <c r="Q705" t="str">
        <v>Argolas is besieged by Phocis</v>
      </c>
    </row>
    <row r="706" spans="1:17" x14ac:dyDescent="0.25">
      <c r="A706" t="s">
        <v>705</v>
      </c>
      <c r="B706" t="str" cm="1">
        <f t="array" ref="B706">INDEX(_xlfn.TEXTSPLIT(A706, " "), 1)</f>
        <v>351</v>
      </c>
      <c r="C706" t="str" cm="1">
        <f t="array" ref="C706">INDEX(_xlfn.TEXTSPLIT(B706, "-"), 1)</f>
        <v>351</v>
      </c>
      <c r="D706" t="str" cm="1">
        <f t="array" ref="D706">IFERROR(INDEX(_xlfn.TEXTSPLIT(B706, "-"), 2), "")</f>
        <v/>
      </c>
      <c r="E706" t="str">
        <f t="shared" si="30"/>
        <v>Rhegion is annexed by Callipus</v>
      </c>
      <c r="F706" t="str">
        <f t="shared" si="31"/>
        <v/>
      </c>
      <c r="H706" t="b">
        <f t="shared" si="32"/>
        <v>0</v>
      </c>
      <c r="J706" s="3" t="str">
        <v>351</v>
      </c>
      <c r="K706" s="4" t="str">
        <v>Rhegion is annexed by Callipus</v>
      </c>
      <c r="P706" t="str">
        <v>355</v>
      </c>
      <c r="Q706" t="str">
        <v>Dion is overthrown by Callipus</v>
      </c>
    </row>
    <row r="707" spans="1:17" x14ac:dyDescent="0.25">
      <c r="A707" t="s">
        <v>706</v>
      </c>
      <c r="B707" t="str" cm="1">
        <f t="array" ref="B707">INDEX(_xlfn.TEXTSPLIT(A707, " "), 1)</f>
        <v>350</v>
      </c>
      <c r="C707" t="str" cm="1">
        <f t="array" ref="C707">INDEX(_xlfn.TEXTSPLIT(B707, "-"), 1)</f>
        <v>350</v>
      </c>
      <c r="D707" t="str" cm="1">
        <f t="array" ref="D707">IFERROR(INDEX(_xlfn.TEXTSPLIT(B707, "-"), 2), "")</f>
        <v/>
      </c>
      <c r="E707" t="str">
        <f t="shared" ref="E707:E770" si="33">_xlfn.LET(
  _xlpm.szoveg,
  MID(A707, SEARCH(" ", A707) + 1, LEN(A707)),
  IF(ISNUMBER(SEARCH("-",B707)), _xlpm.szoveg &amp; " --&gt;", _xlpm.szoveg)
)</f>
        <v>Akanthos is annexed by Makedonia</v>
      </c>
      <c r="F707" t="str">
        <f t="shared" ref="F707:F770" si="34">_xlfn.LET(
  _xlpm.szoveg,
  MID(A707, SEARCH(" ", A707) + 1, LEN(A707)),
  IF(ISNUMBER(SEARCH("-",B707)), "--&gt; " &amp; _xlpm.szoveg, "")
)</f>
        <v/>
      </c>
      <c r="H707" t="b">
        <f t="shared" ref="H707:H770" si="35">ISNUMBER(SEARCH("-", B707))</f>
        <v>0</v>
      </c>
      <c r="J707" s="3" t="str">
        <v>350</v>
      </c>
      <c r="K707" s="4" t="str">
        <v>Akanthos is annexed by Makedonia</v>
      </c>
      <c r="P707" t="str">
        <v>354</v>
      </c>
      <c r="Q707" t="str">
        <v>Methone and Abdera are annexed by Makedonia</v>
      </c>
    </row>
    <row r="708" spans="1:17" x14ac:dyDescent="0.25">
      <c r="A708" t="s">
        <v>707</v>
      </c>
      <c r="B708" t="str" cm="1">
        <f t="array" ref="B708">INDEX(_xlfn.TEXTSPLIT(A708, " "), 1)</f>
        <v>350</v>
      </c>
      <c r="C708" t="str" cm="1">
        <f t="array" ref="C708">INDEX(_xlfn.TEXTSPLIT(B708, "-"), 1)</f>
        <v>350</v>
      </c>
      <c r="D708" t="str" cm="1">
        <f t="array" ref="D708">IFERROR(INDEX(_xlfn.TEXTSPLIT(B708, "-"), 2), "")</f>
        <v/>
      </c>
      <c r="E708" t="str">
        <f t="shared" si="33"/>
        <v>Nice (Nicaea) is founded by the Greeks of Massalia (Marseille), and was given the name of Nikaia (Νίκαια) in honour of a victory over the neighbouring Ligurians; Nike (Νίκη) was the Greek goddess of victory.</v>
      </c>
      <c r="F708" t="str">
        <f t="shared" si="34"/>
        <v/>
      </c>
      <c r="H708" t="b">
        <f t="shared" si="35"/>
        <v>0</v>
      </c>
      <c r="J708" s="3" t="str">
        <v>350</v>
      </c>
      <c r="K708" s="4" t="str">
        <v>Nice (Nicaea) is founded by the Greeks of Massalia (Marseille), and was given the name of Nikaia (Νίκαια) in honour of a victory over the neighbouring Ligurians; Nike (Νίκη) was the Greek goddess of victory.</v>
      </c>
      <c r="P708" t="str">
        <v>354</v>
      </c>
      <c r="Q708" t="str">
        <v>Phocis abandons the Siege of Argolas</v>
      </c>
    </row>
    <row r="709" spans="1:17" x14ac:dyDescent="0.25">
      <c r="A709" t="s">
        <v>708</v>
      </c>
      <c r="B709" t="str" cm="1">
        <f t="array" ref="B709">INDEX(_xlfn.TEXTSPLIT(A709, " "), 1)</f>
        <v>350</v>
      </c>
      <c r="C709" t="str" cm="1">
        <f t="array" ref="C709">INDEX(_xlfn.TEXTSPLIT(B709, "-"), 1)</f>
        <v>350</v>
      </c>
      <c r="D709" t="str" cm="1">
        <f t="array" ref="D709">IFERROR(INDEX(_xlfn.TEXTSPLIT(B709, "-"), 2), "")</f>
        <v/>
      </c>
      <c r="E709" t="str">
        <f t="shared" si="33"/>
        <v>Hipparinos is overthrown by Aretaeus</v>
      </c>
      <c r="F709" t="str">
        <f t="shared" si="34"/>
        <v/>
      </c>
      <c r="H709" t="b">
        <f t="shared" si="35"/>
        <v>0</v>
      </c>
      <c r="J709" s="3" t="str">
        <v>350</v>
      </c>
      <c r="K709" s="4" t="str">
        <v>Hipparinos is overthrown by Aretaeus</v>
      </c>
      <c r="P709" t="str">
        <v>354</v>
      </c>
      <c r="Q709" t="str">
        <v>Thessaly is vassalized by Phocis</v>
      </c>
    </row>
    <row r="710" spans="1:17" x14ac:dyDescent="0.25">
      <c r="A710" t="s">
        <v>709</v>
      </c>
      <c r="B710" t="str" cm="1">
        <f t="array" ref="B710">INDEX(_xlfn.TEXTSPLIT(A710, " "), 1)</f>
        <v>350</v>
      </c>
      <c r="C710" t="str" cm="1">
        <f t="array" ref="C710">INDEX(_xlfn.TEXTSPLIT(B710, "-"), 1)</f>
        <v>350</v>
      </c>
      <c r="D710" t="str" cm="1">
        <f t="array" ref="D710">IFERROR(INDEX(_xlfn.TEXTSPLIT(B710, "-"), 2), "")</f>
        <v/>
      </c>
      <c r="E710" t="str">
        <f t="shared" si="33"/>
        <v>Mamercus ousts Callippus from Catania</v>
      </c>
      <c r="F710" t="str">
        <f t="shared" si="34"/>
        <v/>
      </c>
      <c r="H710" t="b">
        <f t="shared" si="35"/>
        <v>0</v>
      </c>
      <c r="J710" s="3" t="str">
        <v>350</v>
      </c>
      <c r="K710" s="4" t="str">
        <v>Mamercus ousts Callippus from Catania</v>
      </c>
      <c r="P710" t="str">
        <v>353</v>
      </c>
      <c r="Q710" t="str">
        <v>Catania is annexed by Callipus</v>
      </c>
    </row>
    <row r="711" spans="1:17" x14ac:dyDescent="0.25">
      <c r="A711" t="s">
        <v>710</v>
      </c>
      <c r="B711" t="str" cm="1">
        <f t="array" ref="B711">INDEX(_xlfn.TEXTSPLIT(A711, " "), 1)</f>
        <v>349</v>
      </c>
      <c r="C711" t="str" cm="1">
        <f t="array" ref="C711">INDEX(_xlfn.TEXTSPLIT(B711, "-"), 1)</f>
        <v>349</v>
      </c>
      <c r="D711" t="str" cm="1">
        <f t="array" ref="D711">IFERROR(INDEX(_xlfn.TEXTSPLIT(B711, "-"), 2), "")</f>
        <v/>
      </c>
      <c r="E711" t="str">
        <f t="shared" si="33"/>
        <v>Plutarch is expelled from Eretria</v>
      </c>
      <c r="F711" t="str">
        <f t="shared" si="34"/>
        <v/>
      </c>
      <c r="H711" t="b">
        <f t="shared" si="35"/>
        <v>0</v>
      </c>
      <c r="J711" s="3" t="str">
        <v>349</v>
      </c>
      <c r="K711" s="4" t="str">
        <v>Plutarch is expelled from Eretria</v>
      </c>
      <c r="P711" t="str">
        <v>353</v>
      </c>
      <c r="Q711" t="str">
        <v>Makedonia occupied Pagasae</v>
      </c>
    </row>
    <row r="712" spans="1:17" x14ac:dyDescent="0.25">
      <c r="A712" t="s">
        <v>711</v>
      </c>
      <c r="B712" t="str" cm="1">
        <f t="array" ref="B712">INDEX(_xlfn.TEXTSPLIT(A712, " "), 1)</f>
        <v>349</v>
      </c>
      <c r="C712" t="str" cm="1">
        <f t="array" ref="C712">INDEX(_xlfn.TEXTSPLIT(B712, "-"), 1)</f>
        <v>349</v>
      </c>
      <c r="D712" t="str" cm="1">
        <f t="array" ref="D712">IFERROR(INDEX(_xlfn.TEXTSPLIT(B712, "-"), 2), "")</f>
        <v/>
      </c>
      <c r="E712" t="str">
        <f t="shared" si="33"/>
        <v>Aretaeus is overthrown by Nysaios</v>
      </c>
      <c r="F712" t="str">
        <f t="shared" si="34"/>
        <v/>
      </c>
      <c r="H712" t="b">
        <f t="shared" si="35"/>
        <v>0</v>
      </c>
      <c r="J712" s="3" t="str">
        <v>349</v>
      </c>
      <c r="K712" s="4" t="str">
        <v>Aretaeus is overthrown by Nysaios</v>
      </c>
      <c r="P712" t="str">
        <v>353</v>
      </c>
      <c r="Q712" t="str">
        <v>Thessaly is vassalized by Makedonia</v>
      </c>
    </row>
    <row r="713" spans="1:17" x14ac:dyDescent="0.25">
      <c r="A713" t="s">
        <v>712</v>
      </c>
      <c r="B713" t="str" cm="1">
        <f t="array" ref="B713">INDEX(_xlfn.TEXTSPLIT(A713, " "), 1)</f>
        <v>348</v>
      </c>
      <c r="C713" t="str" cm="1">
        <f t="array" ref="C713">INDEX(_xlfn.TEXTSPLIT(B713, "-"), 1)</f>
        <v>348</v>
      </c>
      <c r="D713" t="str" cm="1">
        <f t="array" ref="D713">IFERROR(INDEX(_xlfn.TEXTSPLIT(B713, "-"), 2), "")</f>
        <v/>
      </c>
      <c r="E713" t="str">
        <f t="shared" si="33"/>
        <v>Stagira is annexed by Makedonia</v>
      </c>
      <c r="F713" t="str">
        <f t="shared" si="34"/>
        <v/>
      </c>
      <c r="H713" t="b">
        <f t="shared" si="35"/>
        <v>0</v>
      </c>
      <c r="J713" s="3" t="str">
        <v>348</v>
      </c>
      <c r="K713" s="4" t="str">
        <v>Stagira is annexed by Makedonia</v>
      </c>
      <c r="P713" t="str">
        <v>352</v>
      </c>
      <c r="Q713" t="str">
        <v>Callipus is overthrown by Hipparinos (Callipus keeps Catania)</v>
      </c>
    </row>
    <row r="714" spans="1:17" x14ac:dyDescent="0.25">
      <c r="A714" t="s">
        <v>713</v>
      </c>
      <c r="B714" t="str" cm="1">
        <f t="array" ref="B714">INDEX(_xlfn.TEXTSPLIT(A714, " "), 1)</f>
        <v>348</v>
      </c>
      <c r="C714" t="str" cm="1">
        <f t="array" ref="C714">INDEX(_xlfn.TEXTSPLIT(B714, "-"), 1)</f>
        <v>348</v>
      </c>
      <c r="D714" t="str" cm="1">
        <f t="array" ref="D714">IFERROR(INDEX(_xlfn.TEXTSPLIT(B714, "-"), 2), "")</f>
        <v/>
      </c>
      <c r="E714" t="str">
        <f t="shared" si="33"/>
        <v>Callipus is overthrown by Leptines</v>
      </c>
      <c r="F714" t="str">
        <f t="shared" si="34"/>
        <v/>
      </c>
      <c r="H714" t="b">
        <f t="shared" si="35"/>
        <v>0</v>
      </c>
      <c r="J714" s="3" t="str">
        <v>348</v>
      </c>
      <c r="K714" s="4" t="str">
        <v>Callipus is overthrown by Leptines</v>
      </c>
      <c r="P714" t="str">
        <v>352</v>
      </c>
      <c r="Q714" t="str">
        <v>Nicodemus overthrows Centuripe</v>
      </c>
    </row>
    <row r="715" spans="1:17" x14ac:dyDescent="0.25">
      <c r="A715" t="s">
        <v>714</v>
      </c>
      <c r="B715" t="str" cm="1">
        <f t="array" ref="B715">INDEX(_xlfn.TEXTSPLIT(A715, " "), 1)</f>
        <v>347</v>
      </c>
      <c r="C715" t="str" cm="1">
        <f t="array" ref="C715">INDEX(_xlfn.TEXTSPLIT(B715, "-"), 1)</f>
        <v>347</v>
      </c>
      <c r="D715" t="str" cm="1">
        <f t="array" ref="D715">IFERROR(INDEX(_xlfn.TEXTSPLIT(B715, "-"), 2), "")</f>
        <v/>
      </c>
      <c r="E715" t="str">
        <f t="shared" si="33"/>
        <v>Leontini is overthrown by Hicetas</v>
      </c>
      <c r="F715" t="str">
        <f t="shared" si="34"/>
        <v/>
      </c>
      <c r="H715" t="b">
        <f t="shared" si="35"/>
        <v>0</v>
      </c>
      <c r="J715" s="3" t="str">
        <v>347</v>
      </c>
      <c r="K715" s="4" t="str">
        <v>Leontini is overthrown by Hicetas</v>
      </c>
      <c r="P715" t="str">
        <v>352</v>
      </c>
      <c r="Q715" t="str">
        <v>Orchmenus and Chaeronea are occupied by Phocis</v>
      </c>
    </row>
    <row r="716" spans="1:17" x14ac:dyDescent="0.25">
      <c r="A716" t="s">
        <v>715</v>
      </c>
      <c r="B716" t="str" cm="1">
        <f t="array" ref="B716">INDEX(_xlfn.TEXTSPLIT(A716, " "), 1)</f>
        <v>347</v>
      </c>
      <c r="C716" t="str" cm="1">
        <f t="array" ref="C716">INDEX(_xlfn.TEXTSPLIT(B716, "-"), 1)</f>
        <v>347</v>
      </c>
      <c r="D716" t="str" cm="1">
        <f t="array" ref="D716">IFERROR(INDEX(_xlfn.TEXTSPLIT(B716, "-"), 2), "")</f>
        <v/>
      </c>
      <c r="E716" t="str">
        <f t="shared" si="33"/>
        <v>Plato, Greek philosopher, founder of Academy, dies.</v>
      </c>
      <c r="F716" t="str">
        <f t="shared" si="34"/>
        <v/>
      </c>
      <c r="H716" t="b">
        <f t="shared" si="35"/>
        <v>0</v>
      </c>
      <c r="J716" s="3" t="str">
        <v>347</v>
      </c>
      <c r="K716" s="4" t="str">
        <v>Plato, Greek philosopher, founder of Academy, dies.</v>
      </c>
      <c r="P716" t="str">
        <v>351</v>
      </c>
      <c r="Q716" t="str">
        <v>Rhegion is annexed by Callipus</v>
      </c>
    </row>
    <row r="717" spans="1:17" x14ac:dyDescent="0.25">
      <c r="A717" t="s">
        <v>716</v>
      </c>
      <c r="B717" t="str" cm="1">
        <f t="array" ref="B717">INDEX(_xlfn.TEXTSPLIT(A717, " "), 1)</f>
        <v>347</v>
      </c>
      <c r="C717" t="str" cm="1">
        <f t="array" ref="C717">INDEX(_xlfn.TEXTSPLIT(B717, "-"), 1)</f>
        <v>347</v>
      </c>
      <c r="D717" t="str" cm="1">
        <f t="array" ref="D717">IFERROR(INDEX(_xlfn.TEXTSPLIT(B717, "-"), 2), "")</f>
        <v/>
      </c>
      <c r="E717" t="str">
        <f t="shared" si="33"/>
        <v>Methymna is overthrown by Kleommis</v>
      </c>
      <c r="F717" t="str">
        <f t="shared" si="34"/>
        <v/>
      </c>
      <c r="H717" t="b">
        <f t="shared" si="35"/>
        <v>0</v>
      </c>
      <c r="J717" s="3" t="str">
        <v>347</v>
      </c>
      <c r="K717" s="4" t="str">
        <v>Methymna is overthrown by Kleommis</v>
      </c>
      <c r="P717" t="str">
        <v>350</v>
      </c>
      <c r="Q717" t="str">
        <v>Akanthos is annexed by Makedonia</v>
      </c>
    </row>
    <row r="718" spans="1:17" x14ac:dyDescent="0.25">
      <c r="A718" t="s">
        <v>717</v>
      </c>
      <c r="B718" t="str" cm="1">
        <f t="array" ref="B718">INDEX(_xlfn.TEXTSPLIT(A718, " "), 1)</f>
        <v>346</v>
      </c>
      <c r="C718" t="str" cm="1">
        <f t="array" ref="C718">INDEX(_xlfn.TEXTSPLIT(B718, "-"), 1)</f>
        <v>346</v>
      </c>
      <c r="D718" t="str" cm="1">
        <f t="array" ref="D718">IFERROR(INDEX(_xlfn.TEXTSPLIT(B718, "-"), 2), "")</f>
        <v/>
      </c>
      <c r="E718" t="str">
        <f t="shared" si="33"/>
        <v>Phocis withdraws from Boeotia</v>
      </c>
      <c r="F718" t="str">
        <f t="shared" si="34"/>
        <v/>
      </c>
      <c r="H718" t="b">
        <f t="shared" si="35"/>
        <v>0</v>
      </c>
      <c r="J718" s="3" t="str">
        <v>346</v>
      </c>
      <c r="K718" s="4" t="str">
        <v>Phocis withdraws from Boeotia</v>
      </c>
      <c r="P718" t="str">
        <v>350</v>
      </c>
      <c r="Q718" t="str">
        <v>Nice (Nicaea) is founded by the Greeks of Massalia (Marseille), and was given the name of Nikaia (Νίκαια) in honour of a victory over the neighbouring Ligurians; Nike (Νίκη) was the Greek goddess of victory.</v>
      </c>
    </row>
    <row r="719" spans="1:17" x14ac:dyDescent="0.25">
      <c r="A719" t="s">
        <v>718</v>
      </c>
      <c r="B719" t="str" cm="1">
        <f t="array" ref="B719">INDEX(_xlfn.TEXTSPLIT(A719, " "), 1)</f>
        <v>346</v>
      </c>
      <c r="C719" t="str" cm="1">
        <f t="array" ref="C719">INDEX(_xlfn.TEXTSPLIT(B719, "-"), 1)</f>
        <v>346</v>
      </c>
      <c r="D719" t="str" cm="1">
        <f t="array" ref="D719">IFERROR(INDEX(_xlfn.TEXTSPLIT(B719, "-"), 2), "")</f>
        <v/>
      </c>
      <c r="E719" t="str">
        <f t="shared" si="33"/>
        <v>Dionysius II leaves Locris and overthrows Nysaios</v>
      </c>
      <c r="F719" t="str">
        <f t="shared" si="34"/>
        <v/>
      </c>
      <c r="H719" t="b">
        <f t="shared" si="35"/>
        <v>0</v>
      </c>
      <c r="J719" s="3" t="str">
        <v>346</v>
      </c>
      <c r="K719" s="4" t="str">
        <v>Dionysius II leaves Locris and overthrows Nysaios</v>
      </c>
      <c r="P719" t="str">
        <v>350</v>
      </c>
      <c r="Q719" t="str">
        <v>Hipparinos is overthrown by Aretaeus</v>
      </c>
    </row>
    <row r="720" spans="1:17" x14ac:dyDescent="0.25">
      <c r="A720" t="s">
        <v>719</v>
      </c>
      <c r="B720" t="str" cm="1">
        <f t="array" ref="B720">INDEX(_xlfn.TEXTSPLIT(A720, " "), 1)</f>
        <v>346</v>
      </c>
      <c r="C720" t="str" cm="1">
        <f t="array" ref="C720">INDEX(_xlfn.TEXTSPLIT(B720, "-"), 1)</f>
        <v>346</v>
      </c>
      <c r="D720" t="str" cm="1">
        <f t="array" ref="D720">IFERROR(INDEX(_xlfn.TEXTSPLIT(B720, "-"), 2), "")</f>
        <v/>
      </c>
      <c r="E720" t="str">
        <f t="shared" si="33"/>
        <v>Lyttos is besieged by Knossos</v>
      </c>
      <c r="F720" t="str">
        <f t="shared" si="34"/>
        <v/>
      </c>
      <c r="H720" t="b">
        <f t="shared" si="35"/>
        <v>0</v>
      </c>
      <c r="J720" s="3" t="str">
        <v>346</v>
      </c>
      <c r="K720" s="4" t="str">
        <v>Lyttos is besieged by Knossos</v>
      </c>
      <c r="P720" t="str">
        <v>350</v>
      </c>
      <c r="Q720" t="str">
        <v>Mamercus ousts Callippus from Catania</v>
      </c>
    </row>
    <row r="721" spans="1:17" x14ac:dyDescent="0.25">
      <c r="A721" t="s">
        <v>720</v>
      </c>
      <c r="B721" t="str" cm="1">
        <f t="array" ref="B721">INDEX(_xlfn.TEXTSPLIT(A721, " "), 1)</f>
        <v>346</v>
      </c>
      <c r="C721" t="str" cm="1">
        <f t="array" ref="C721">INDEX(_xlfn.TEXTSPLIT(B721, "-"), 1)</f>
        <v>346</v>
      </c>
      <c r="D721" t="str" cm="1">
        <f t="array" ref="D721">IFERROR(INDEX(_xlfn.TEXTSPLIT(B721, "-"), 2), "")</f>
        <v/>
      </c>
      <c r="E721" t="str">
        <f t="shared" si="33"/>
        <v>Makedonia occupies Thermopylae and Antikyra, Nicaea is occupied by Thessaly</v>
      </c>
      <c r="F721" t="str">
        <f t="shared" si="34"/>
        <v/>
      </c>
      <c r="H721" t="b">
        <f t="shared" si="35"/>
        <v>0</v>
      </c>
      <c r="J721" s="3" t="str">
        <v>346</v>
      </c>
      <c r="K721" s="4" t="str">
        <v>Makedonia occupies Thermopylae and Antikyra, Nicaea is occupied by Thessaly</v>
      </c>
      <c r="P721" t="str">
        <v>349</v>
      </c>
      <c r="Q721" t="str">
        <v>Plutarch is expelled from Eretria</v>
      </c>
    </row>
    <row r="722" spans="1:17" x14ac:dyDescent="0.25">
      <c r="A722" t="s">
        <v>721</v>
      </c>
      <c r="B722" t="str" cm="1">
        <f t="array" ref="B722">INDEX(_xlfn.TEXTSPLIT(A722, " "), 1)</f>
        <v>345</v>
      </c>
      <c r="C722" t="str" cm="1">
        <f t="array" ref="C722">INDEX(_xlfn.TEXTSPLIT(B722, "-"), 1)</f>
        <v>345</v>
      </c>
      <c r="D722" t="str" cm="1">
        <f t="array" ref="D722">IFERROR(INDEX(_xlfn.TEXTSPLIT(B722, "-"), 2), "")</f>
        <v/>
      </c>
      <c r="E722" t="str">
        <f t="shared" si="33"/>
        <v>Makedonia withdraws from Thermopylae and Antikyra</v>
      </c>
      <c r="F722" t="str">
        <f t="shared" si="34"/>
        <v/>
      </c>
      <c r="H722" t="b">
        <f t="shared" si="35"/>
        <v>0</v>
      </c>
      <c r="J722" s="3" t="str">
        <v>345</v>
      </c>
      <c r="K722" s="4" t="str">
        <v>Makedonia withdraws from Thermopylae and Antikyra</v>
      </c>
      <c r="P722" t="str">
        <v>349</v>
      </c>
      <c r="Q722" t="str">
        <v>Aretaeus is overthrown by Nysaios</v>
      </c>
    </row>
    <row r="723" spans="1:17" x14ac:dyDescent="0.25">
      <c r="A723" t="s">
        <v>722</v>
      </c>
      <c r="B723" t="str" cm="1">
        <f t="array" ref="B723">INDEX(_xlfn.TEXTSPLIT(A723, " "), 1)</f>
        <v>345</v>
      </c>
      <c r="C723" t="str" cm="1">
        <f t="array" ref="C723">INDEX(_xlfn.TEXTSPLIT(B723, "-"), 1)</f>
        <v>345</v>
      </c>
      <c r="D723" t="str" cm="1">
        <f t="array" ref="D723">IFERROR(INDEX(_xlfn.TEXTSPLIT(B723, "-"), 2), "")</f>
        <v/>
      </c>
      <c r="E723" t="str">
        <f t="shared" si="33"/>
        <v>Grabaei becomes a vassal of Macedonia</v>
      </c>
      <c r="F723" t="str">
        <f t="shared" si="34"/>
        <v/>
      </c>
      <c r="H723" t="b">
        <f t="shared" si="35"/>
        <v>0</v>
      </c>
      <c r="J723" s="3" t="str">
        <v>345</v>
      </c>
      <c r="K723" s="4" t="str">
        <v>Grabaei becomes a vassal of Macedonia</v>
      </c>
      <c r="P723" t="str">
        <v>348</v>
      </c>
      <c r="Q723" t="str">
        <v>Stagira is annexed by Makedonia</v>
      </c>
    </row>
    <row r="724" spans="1:17" x14ac:dyDescent="0.25">
      <c r="A724" t="s">
        <v>723</v>
      </c>
      <c r="B724" t="str" cm="1">
        <f t="array" ref="B724">INDEX(_xlfn.TEXTSPLIT(A724, " "), 1)</f>
        <v>345</v>
      </c>
      <c r="C724" t="str" cm="1">
        <f t="array" ref="C724">INDEX(_xlfn.TEXTSPLIT(B724, "-"), 1)</f>
        <v>345</v>
      </c>
      <c r="D724" t="str" cm="1">
        <f t="array" ref="D724">IFERROR(INDEX(_xlfn.TEXTSPLIT(B724, "-"), 2), "")</f>
        <v/>
      </c>
      <c r="E724" t="str">
        <f t="shared" si="33"/>
        <v>Hicetas sieges Syracuse and seizes Syracuse's territory</v>
      </c>
      <c r="F724" t="str">
        <f t="shared" si="34"/>
        <v/>
      </c>
      <c r="H724" t="b">
        <f t="shared" si="35"/>
        <v>0</v>
      </c>
      <c r="J724" s="3" t="str">
        <v>345</v>
      </c>
      <c r="K724" s="4" t="str">
        <v>Hicetas sieges Syracuse and seizes Syracuse's territory</v>
      </c>
      <c r="P724" t="str">
        <v>348</v>
      </c>
      <c r="Q724" t="str">
        <v>Callipus is overthrown by Leptines</v>
      </c>
    </row>
    <row r="725" spans="1:17" x14ac:dyDescent="0.25">
      <c r="A725" t="s">
        <v>724</v>
      </c>
      <c r="B725" t="str" cm="1">
        <f t="array" ref="B725">INDEX(_xlfn.TEXTSPLIT(A725, " "), 1)</f>
        <v>345</v>
      </c>
      <c r="C725" t="str" cm="1">
        <f t="array" ref="C725">INDEX(_xlfn.TEXTSPLIT(B725, "-"), 1)</f>
        <v>345</v>
      </c>
      <c r="D725" t="str" cm="1">
        <f t="array" ref="D725">IFERROR(INDEX(_xlfn.TEXTSPLIT(B725, "-"), 2), "")</f>
        <v/>
      </c>
      <c r="E725" t="str">
        <f t="shared" si="33"/>
        <v>The Pro-Makedonian Tyrant Hipparchus overthrows Eretria</v>
      </c>
      <c r="F725" t="str">
        <f t="shared" si="34"/>
        <v/>
      </c>
      <c r="H725" t="b">
        <f t="shared" si="35"/>
        <v>0</v>
      </c>
      <c r="J725" s="3" t="str">
        <v>345</v>
      </c>
      <c r="K725" s="4" t="str">
        <v>The Pro-Makedonian Tyrant Hipparchus overthrows Eretria</v>
      </c>
      <c r="P725" t="str">
        <v>347</v>
      </c>
      <c r="Q725" t="str">
        <v>Leontini is overthrown by Hicetas</v>
      </c>
    </row>
    <row r="726" spans="1:17" x14ac:dyDescent="0.25">
      <c r="A726" t="s">
        <v>725</v>
      </c>
      <c r="B726" t="str" cm="1">
        <f t="array" ref="B726">INDEX(_xlfn.TEXTSPLIT(A726, " "), 1)</f>
        <v>345</v>
      </c>
      <c r="C726" t="str" cm="1">
        <f t="array" ref="C726">INDEX(_xlfn.TEXTSPLIT(B726, "-"), 1)</f>
        <v>345</v>
      </c>
      <c r="D726" t="str" cm="1">
        <f t="array" ref="D726">IFERROR(INDEX(_xlfn.TEXTSPLIT(B726, "-"), 2), "")</f>
        <v/>
      </c>
      <c r="E726" t="str">
        <f t="shared" si="33"/>
        <v>Mainland Syracuse (City) is occupied by Hicetas leaving only the citadel in Dionysius' control</v>
      </c>
      <c r="F726" t="str">
        <f t="shared" si="34"/>
        <v/>
      </c>
      <c r="H726" t="b">
        <f t="shared" si="35"/>
        <v>0</v>
      </c>
      <c r="J726" s="3" t="str">
        <v>345</v>
      </c>
      <c r="K726" s="4" t="str">
        <v>Mainland Syracuse (City) is occupied by Hicetas leaving only the citadel in Dionysius' control</v>
      </c>
      <c r="P726" t="str">
        <v>347</v>
      </c>
      <c r="Q726" t="str">
        <v>Plato, Greek philosopher, founder of Academy, dies.</v>
      </c>
    </row>
    <row r="727" spans="1:17" x14ac:dyDescent="0.25">
      <c r="A727" t="s">
        <v>726</v>
      </c>
      <c r="B727" t="str" cm="1">
        <f t="array" ref="B727">INDEX(_xlfn.TEXTSPLIT(A727, " "), 1)</f>
        <v>344</v>
      </c>
      <c r="C727" t="str" cm="1">
        <f t="array" ref="C727">INDEX(_xlfn.TEXTSPLIT(B727, "-"), 1)</f>
        <v>344</v>
      </c>
      <c r="D727" t="str" cm="1">
        <f t="array" ref="D727">IFERROR(INDEX(_xlfn.TEXTSPLIT(B727, "-"), 2), "")</f>
        <v/>
      </c>
      <c r="E727" t="str">
        <f t="shared" si="33"/>
        <v>Macedonia occupies Illios and annexes Tenedos</v>
      </c>
      <c r="F727" t="str">
        <f t="shared" si="34"/>
        <v/>
      </c>
      <c r="H727" t="b">
        <f t="shared" si="35"/>
        <v>0</v>
      </c>
      <c r="J727" s="3" t="str">
        <v>344</v>
      </c>
      <c r="K727" s="4" t="str">
        <v>Macedonia occupies Illios and annexes Tenedos</v>
      </c>
      <c r="P727" t="str">
        <v>347</v>
      </c>
      <c r="Q727" t="str">
        <v>Methymna is overthrown by Kleommis</v>
      </c>
    </row>
    <row r="728" spans="1:17" x14ac:dyDescent="0.25">
      <c r="A728" t="s">
        <v>727</v>
      </c>
      <c r="B728" t="str" cm="1">
        <f t="array" ref="B728">INDEX(_xlfn.TEXTSPLIT(A728, " "), 1)</f>
        <v>344</v>
      </c>
      <c r="C728" t="str" cm="1">
        <f t="array" ref="C728">INDEX(_xlfn.TEXTSPLIT(B728, "-"), 1)</f>
        <v>344</v>
      </c>
      <c r="D728" t="str" cm="1">
        <f t="array" ref="D728">IFERROR(INDEX(_xlfn.TEXTSPLIT(B728, "-"), 2), "")</f>
        <v/>
      </c>
      <c r="E728" t="str">
        <f t="shared" si="33"/>
        <v>Siege of Lyttos lifted by Knossos</v>
      </c>
      <c r="F728" t="str">
        <f t="shared" si="34"/>
        <v/>
      </c>
      <c r="H728" t="b">
        <f t="shared" si="35"/>
        <v>0</v>
      </c>
      <c r="J728" s="3" t="str">
        <v>344</v>
      </c>
      <c r="K728" s="4" t="str">
        <v>Siege of Lyttos lifted by Knossos</v>
      </c>
      <c r="P728" t="str">
        <v>346</v>
      </c>
      <c r="Q728" t="str">
        <v>Phocis withdraws from Boeotia</v>
      </c>
    </row>
    <row r="729" spans="1:17" x14ac:dyDescent="0.25">
      <c r="A729" t="s">
        <v>728</v>
      </c>
      <c r="B729" t="str" cm="1">
        <f t="array" ref="B729">INDEX(_xlfn.TEXTSPLIT(A729, " "), 1)</f>
        <v>344</v>
      </c>
      <c r="C729" t="str" cm="1">
        <f t="array" ref="C729">INDEX(_xlfn.TEXTSPLIT(B729, "-"), 1)</f>
        <v>344</v>
      </c>
      <c r="D729" t="str" cm="1">
        <f t="array" ref="D729">IFERROR(INDEX(_xlfn.TEXTSPLIT(B729, "-"), 2), "")</f>
        <v/>
      </c>
      <c r="E729" t="str">
        <f t="shared" si="33"/>
        <v>Knossos besieges Kydonia</v>
      </c>
      <c r="F729" t="str">
        <f t="shared" si="34"/>
        <v/>
      </c>
      <c r="H729" t="b">
        <f t="shared" si="35"/>
        <v>0</v>
      </c>
      <c r="J729" s="3" t="str">
        <v>344</v>
      </c>
      <c r="K729" s="4" t="str">
        <v>Knossos besieges Kydonia</v>
      </c>
      <c r="P729" t="str">
        <v>346</v>
      </c>
      <c r="Q729" t="str">
        <v>Dionysius II leaves Locris and overthrows Nysaios</v>
      </c>
    </row>
    <row r="730" spans="1:17" x14ac:dyDescent="0.25">
      <c r="A730" t="s">
        <v>729</v>
      </c>
      <c r="B730" t="str" cm="1">
        <f t="array" ref="B730">INDEX(_xlfn.TEXTSPLIT(A730, " "), 1)</f>
        <v>344</v>
      </c>
      <c r="C730" t="str" cm="1">
        <f t="array" ref="C730">INDEX(_xlfn.TEXTSPLIT(B730, "-"), 1)</f>
        <v>344</v>
      </c>
      <c r="D730" t="str" cm="1">
        <f t="array" ref="D730">IFERROR(INDEX(_xlfn.TEXTSPLIT(B730, "-"), 2), "")</f>
        <v/>
      </c>
      <c r="E730" t="str">
        <f t="shared" si="33"/>
        <v>Hicetas is repulsed by Timoleon from Syracuse</v>
      </c>
      <c r="F730" t="str">
        <f t="shared" si="34"/>
        <v/>
      </c>
      <c r="H730" t="b">
        <f t="shared" si="35"/>
        <v>0</v>
      </c>
      <c r="J730" s="3" t="str">
        <v>344</v>
      </c>
      <c r="K730" s="4" t="str">
        <v>Hicetas is repulsed by Timoleon from Syracuse</v>
      </c>
      <c r="P730" t="str">
        <v>346</v>
      </c>
      <c r="Q730" t="str">
        <v>Lyttos is besieged by Knossos</v>
      </c>
    </row>
    <row r="731" spans="1:17" x14ac:dyDescent="0.25">
      <c r="A731" t="s">
        <v>730</v>
      </c>
      <c r="B731" t="str" cm="1">
        <f t="array" ref="B731">INDEX(_xlfn.TEXTSPLIT(A731, " "), 1)</f>
        <v>344</v>
      </c>
      <c r="C731" t="str" cm="1">
        <f t="array" ref="C731">INDEX(_xlfn.TEXTSPLIT(B731, "-"), 1)</f>
        <v>344</v>
      </c>
      <c r="D731" t="str" cm="1">
        <f t="array" ref="D731">IFERROR(INDEX(_xlfn.TEXTSPLIT(B731, "-"), 2), "")</f>
        <v/>
      </c>
      <c r="E731" t="str">
        <f t="shared" si="33"/>
        <v>Timoleon takes control of all Syracusan forces outside the citadel</v>
      </c>
      <c r="F731" t="str">
        <f t="shared" si="34"/>
        <v/>
      </c>
      <c r="H731" t="b">
        <f t="shared" si="35"/>
        <v>0</v>
      </c>
      <c r="J731" s="3" t="str">
        <v>344</v>
      </c>
      <c r="K731" s="4" t="str">
        <v>Timoleon takes control of all Syracusan forces outside the citadel</v>
      </c>
      <c r="P731" t="str">
        <v>346</v>
      </c>
      <c r="Q731" t="str">
        <v>Makedonia occupies Thermopylae and Antikyra, Nicaea is occupied by Thessaly</v>
      </c>
    </row>
    <row r="732" spans="1:17" x14ac:dyDescent="0.25">
      <c r="A732" t="s">
        <v>731</v>
      </c>
      <c r="B732" t="str" cm="1">
        <f t="array" ref="B732">INDEX(_xlfn.TEXTSPLIT(A732, " "), 1)</f>
        <v>343</v>
      </c>
      <c r="C732" t="str" cm="1">
        <f t="array" ref="C732">INDEX(_xlfn.TEXTSPLIT(B732, "-"), 1)</f>
        <v>343</v>
      </c>
      <c r="D732" t="str" cm="1">
        <f t="array" ref="D732">IFERROR(INDEX(_xlfn.TEXTSPLIT(B732, "-"), 2), "")</f>
        <v/>
      </c>
      <c r="E732" t="str">
        <f t="shared" si="33"/>
        <v>Messene is rebuilt by Timoelon, Adranon is freed from mercenary control, Nicodemus is overthrown by Centuripe with help of Timoleon</v>
      </c>
      <c r="F732" t="str">
        <f t="shared" si="34"/>
        <v/>
      </c>
      <c r="H732" t="b">
        <f t="shared" si="35"/>
        <v>0</v>
      </c>
      <c r="J732" s="3" t="str">
        <v>343</v>
      </c>
      <c r="K732" s="4" t="str">
        <v>Messene is rebuilt by Timoelon, Adranon is freed from mercenary control, Nicodemus is overthrown by Centuripe with help of Timoleon</v>
      </c>
      <c r="P732" t="str">
        <v>345</v>
      </c>
      <c r="Q732" t="str">
        <v>Makedonia withdraws from Thermopylae and Antikyra</v>
      </c>
    </row>
    <row r="733" spans="1:17" x14ac:dyDescent="0.25">
      <c r="A733" t="s">
        <v>732</v>
      </c>
      <c r="B733" t="str" cm="1">
        <f t="array" ref="B733">INDEX(_xlfn.TEXTSPLIT(A733, " "), 1)</f>
        <v>343</v>
      </c>
      <c r="C733" t="str" cm="1">
        <f t="array" ref="C733">INDEX(_xlfn.TEXTSPLIT(B733, "-"), 1)</f>
        <v>343</v>
      </c>
      <c r="D733" t="str" cm="1">
        <f t="array" ref="D733">IFERROR(INDEX(_xlfn.TEXTSPLIT(B733, "-"), 2), "")</f>
        <v/>
      </c>
      <c r="E733" t="str">
        <f t="shared" si="33"/>
        <v>Timoleon annexes the citadel</v>
      </c>
      <c r="F733" t="str">
        <f t="shared" si="34"/>
        <v/>
      </c>
      <c r="H733" t="b">
        <f t="shared" si="35"/>
        <v>0</v>
      </c>
      <c r="J733" s="3" t="str">
        <v>343</v>
      </c>
      <c r="K733" s="4" t="str">
        <v>Timoleon annexes the citadel</v>
      </c>
      <c r="P733" t="str">
        <v>345</v>
      </c>
      <c r="Q733" t="str">
        <v>Grabaei becomes a vassal of Macedonia</v>
      </c>
    </row>
    <row r="734" spans="1:17" x14ac:dyDescent="0.25">
      <c r="A734" t="s">
        <v>733</v>
      </c>
      <c r="B734" t="str" cm="1">
        <f t="array" ref="B734">INDEX(_xlfn.TEXTSPLIT(A734, " "), 1)</f>
        <v>343</v>
      </c>
      <c r="C734" t="str" cm="1">
        <f t="array" ref="C734">INDEX(_xlfn.TEXTSPLIT(B734, "-"), 1)</f>
        <v>343</v>
      </c>
      <c r="D734" t="str" cm="1">
        <f t="array" ref="D734">IFERROR(INDEX(_xlfn.TEXTSPLIT(B734, "-"), 2), "")</f>
        <v/>
      </c>
      <c r="E734" t="str">
        <f t="shared" si="33"/>
        <v>Siege of Kydonia is lifted by Knossos</v>
      </c>
      <c r="F734" t="str">
        <f t="shared" si="34"/>
        <v/>
      </c>
      <c r="H734" t="b">
        <f t="shared" si="35"/>
        <v>0</v>
      </c>
      <c r="J734" s="3" t="str">
        <v>343</v>
      </c>
      <c r="K734" s="4" t="str">
        <v>Siege of Kydonia is lifted by Knossos</v>
      </c>
      <c r="P734" t="str">
        <v>345</v>
      </c>
      <c r="Q734" t="str">
        <v>Hicetas sieges Syracuse and seizes Syracuse's territory</v>
      </c>
    </row>
    <row r="735" spans="1:17" x14ac:dyDescent="0.25">
      <c r="A735" t="s">
        <v>734</v>
      </c>
      <c r="B735" t="str" cm="1">
        <f t="array" ref="B735">INDEX(_xlfn.TEXTSPLIT(A735, " "), 1)</f>
        <v>342</v>
      </c>
      <c r="C735" t="str" cm="1">
        <f t="array" ref="C735">INDEX(_xlfn.TEXTSPLIT(B735, "-"), 1)</f>
        <v>342</v>
      </c>
      <c r="D735" t="str" cm="1">
        <f t="array" ref="D735">IFERROR(INDEX(_xlfn.TEXTSPLIT(B735, "-"), 2), "")</f>
        <v/>
      </c>
      <c r="E735" t="str">
        <f t="shared" si="33"/>
        <v>Rhegion is freed by Timoleon</v>
      </c>
      <c r="F735" t="str">
        <f t="shared" si="34"/>
        <v/>
      </c>
      <c r="H735" t="b">
        <f t="shared" si="35"/>
        <v>0</v>
      </c>
      <c r="J735" s="3" t="str">
        <v>342</v>
      </c>
      <c r="K735" s="4" t="str">
        <v>Rhegion is freed by Timoleon</v>
      </c>
      <c r="P735" t="str">
        <v>345</v>
      </c>
      <c r="Q735" t="str">
        <v>The Pro-Makedonian Tyrant Hipparchus overthrows Eretria</v>
      </c>
    </row>
    <row r="736" spans="1:17" x14ac:dyDescent="0.25">
      <c r="A736" t="s">
        <v>735</v>
      </c>
      <c r="B736" t="str" cm="1">
        <f t="array" ref="B736">INDEX(_xlfn.TEXTSPLIT(A736, " "), 1)</f>
        <v>342</v>
      </c>
      <c r="C736" t="str" cm="1">
        <f t="array" ref="C736">INDEX(_xlfn.TEXTSPLIT(B736, "-"), 1)</f>
        <v>342</v>
      </c>
      <c r="D736" t="str" cm="1">
        <f t="array" ref="D736">IFERROR(INDEX(_xlfn.TEXTSPLIT(B736, "-"), 2), "")</f>
        <v/>
      </c>
      <c r="E736" t="str">
        <f t="shared" si="33"/>
        <v>Aristotle, Greek philosopher, begins teaching Alexander, son of Philip of Macedon.</v>
      </c>
      <c r="F736" t="str">
        <f t="shared" si="34"/>
        <v/>
      </c>
      <c r="H736" t="b">
        <f t="shared" si="35"/>
        <v>0</v>
      </c>
      <c r="J736" s="3" t="str">
        <v>342</v>
      </c>
      <c r="K736" s="4" t="str">
        <v>Aristotle, Greek philosopher, begins teaching Alexander, son of Philip of Macedon.</v>
      </c>
      <c r="P736" t="str">
        <v>345</v>
      </c>
      <c r="Q736" t="str">
        <v>Mainland Syracuse (City) is occupied by Hicetas leaving only the citadel in Dionysius' control</v>
      </c>
    </row>
    <row r="737" spans="1:17" x14ac:dyDescent="0.25">
      <c r="A737" t="s">
        <v>736</v>
      </c>
      <c r="B737" t="str" cm="1">
        <f t="array" ref="B737">INDEX(_xlfn.TEXTSPLIT(A737, " "), 1)</f>
        <v>341</v>
      </c>
      <c r="C737" t="str" cm="1">
        <f t="array" ref="C737">INDEX(_xlfn.TEXTSPLIT(B737, "-"), 1)</f>
        <v>341</v>
      </c>
      <c r="D737" t="str" cm="1">
        <f t="array" ref="D737">IFERROR(INDEX(_xlfn.TEXTSPLIT(B737, "-"), 2), "")</f>
        <v/>
      </c>
      <c r="E737" t="str">
        <f t="shared" si="33"/>
        <v>Hipparchus is overthrown by Athenian forces and impressed into the Delian league</v>
      </c>
      <c r="F737" t="str">
        <f t="shared" si="34"/>
        <v/>
      </c>
      <c r="H737" t="b">
        <f t="shared" si="35"/>
        <v>0</v>
      </c>
      <c r="J737" s="3" t="str">
        <v>341</v>
      </c>
      <c r="K737" s="4" t="str">
        <v>Hipparchus is overthrown by Athenian forces and impressed into the Delian league</v>
      </c>
      <c r="P737" t="str">
        <v>344</v>
      </c>
      <c r="Q737" t="str">
        <v>Macedonia occupies Illios and annexes Tenedos</v>
      </c>
    </row>
    <row r="738" spans="1:17" x14ac:dyDescent="0.25">
      <c r="A738" t="s">
        <v>737</v>
      </c>
      <c r="B738" t="str" cm="1">
        <f t="array" ref="B738">INDEX(_xlfn.TEXTSPLIT(A738, " "), 1)</f>
        <v>341</v>
      </c>
      <c r="C738" t="str" cm="1">
        <f t="array" ref="C738">INDEX(_xlfn.TEXTSPLIT(B738, "-"), 1)</f>
        <v>341</v>
      </c>
      <c r="D738" t="str" cm="1">
        <f t="array" ref="D738">IFERROR(INDEX(_xlfn.TEXTSPLIT(B738, "-"), 2), "")</f>
        <v/>
      </c>
      <c r="E738" t="str">
        <f t="shared" si="33"/>
        <v>Samothrace is annexed by Makedonia</v>
      </c>
      <c r="F738" t="str">
        <f t="shared" si="34"/>
        <v/>
      </c>
      <c r="H738" t="b">
        <f t="shared" si="35"/>
        <v>0</v>
      </c>
      <c r="J738" s="3" t="str">
        <v>341</v>
      </c>
      <c r="K738" s="4" t="str">
        <v>Samothrace is annexed by Makedonia</v>
      </c>
      <c r="P738" t="str">
        <v>344</v>
      </c>
      <c r="Q738" t="str">
        <v>Siege of Lyttos lifted by Knossos</v>
      </c>
    </row>
    <row r="739" spans="1:17" x14ac:dyDescent="0.25">
      <c r="A739" t="s">
        <v>738</v>
      </c>
      <c r="B739" t="str" cm="1">
        <f t="array" ref="B739">INDEX(_xlfn.TEXTSPLIT(A739, " "), 1)</f>
        <v>340</v>
      </c>
      <c r="C739" t="str" cm="1">
        <f t="array" ref="C739">INDEX(_xlfn.TEXTSPLIT(B739, "-"), 1)</f>
        <v>340</v>
      </c>
      <c r="D739" t="str" cm="1">
        <f t="array" ref="D739">IFERROR(INDEX(_xlfn.TEXTSPLIT(B739, "-"), 2), "")</f>
        <v/>
      </c>
      <c r="E739" t="str">
        <f t="shared" si="33"/>
        <v>Antipolis (modern day Antibes) is founded by Phocaean Greeks from Massilia.[12]</v>
      </c>
      <c r="F739" t="str">
        <f t="shared" si="34"/>
        <v/>
      </c>
      <c r="H739" t="b">
        <f t="shared" si="35"/>
        <v>0</v>
      </c>
      <c r="J739" s="3" t="str">
        <v>340</v>
      </c>
      <c r="K739" s="4" t="str">
        <v>Antipolis (modern day Antibes) is founded by Phocaean Greeks from Massilia.[12]</v>
      </c>
      <c r="P739" t="str">
        <v>344</v>
      </c>
      <c r="Q739" t="str">
        <v>Knossos besieges Kydonia</v>
      </c>
    </row>
    <row r="740" spans="1:17" x14ac:dyDescent="0.25">
      <c r="A740" t="s">
        <v>739</v>
      </c>
      <c r="B740" t="str" cm="1">
        <f t="array" ref="B740">INDEX(_xlfn.TEXTSPLIT(A740, " "), 1)</f>
        <v>340</v>
      </c>
      <c r="C740" t="str" cm="1">
        <f t="array" ref="C740">INDEX(_xlfn.TEXTSPLIT(B740, "-"), 1)</f>
        <v>340</v>
      </c>
      <c r="D740" t="str" cm="1">
        <f t="array" ref="D740">IFERROR(INDEX(_xlfn.TEXTSPLIT(B740, "-"), 2), "")</f>
        <v/>
      </c>
      <c r="E740" t="str">
        <f t="shared" si="33"/>
        <v>Skyros is annexed by Makedonia</v>
      </c>
      <c r="F740" t="str">
        <f t="shared" si="34"/>
        <v/>
      </c>
      <c r="H740" t="b">
        <f t="shared" si="35"/>
        <v>0</v>
      </c>
      <c r="J740" s="3" t="str">
        <v>340</v>
      </c>
      <c r="K740" s="4" t="str">
        <v>Skyros is annexed by Makedonia</v>
      </c>
      <c r="P740" t="str">
        <v>344</v>
      </c>
      <c r="Q740" t="str">
        <v>Hicetas is repulsed by Timoleon from Syracuse</v>
      </c>
    </row>
    <row r="741" spans="1:17" x14ac:dyDescent="0.25">
      <c r="A741" t="s">
        <v>740</v>
      </c>
      <c r="B741" t="str" cm="1">
        <f t="array" ref="B741">INDEX(_xlfn.TEXTSPLIT(A741, " "), 1)</f>
        <v>340</v>
      </c>
      <c r="C741" t="str" cm="1">
        <f t="array" ref="C741">INDEX(_xlfn.TEXTSPLIT(B741, "-"), 1)</f>
        <v>340</v>
      </c>
      <c r="D741" t="str" cm="1">
        <f t="array" ref="D741">IFERROR(INDEX(_xlfn.TEXTSPLIT(B741, "-"), 2), "")</f>
        <v/>
      </c>
      <c r="E741" t="str">
        <f t="shared" si="33"/>
        <v>Entella is freed by Timoleon</v>
      </c>
      <c r="F741" t="str">
        <f t="shared" si="34"/>
        <v/>
      </c>
      <c r="H741" t="b">
        <f t="shared" si="35"/>
        <v>0</v>
      </c>
      <c r="J741" s="3" t="str">
        <v>340</v>
      </c>
      <c r="K741" s="4" t="str">
        <v>Entella is freed by Timoleon</v>
      </c>
      <c r="P741" t="str">
        <v>344</v>
      </c>
      <c r="Q741" t="str">
        <v>Timoleon takes control of all Syracusan forces outside the citadel</v>
      </c>
    </row>
    <row r="742" spans="1:17" x14ac:dyDescent="0.25">
      <c r="A742" t="s">
        <v>741</v>
      </c>
      <c r="B742" t="str" cm="1">
        <f t="array" ref="B742">INDEX(_xlfn.TEXTSPLIT(A742, " "), 1)</f>
        <v>339</v>
      </c>
      <c r="C742" t="str" cm="1">
        <f t="array" ref="C742">INDEX(_xlfn.TEXTSPLIT(B742, "-"), 1)</f>
        <v>339</v>
      </c>
      <c r="D742" t="str" cm="1">
        <f t="array" ref="D742">IFERROR(INDEX(_xlfn.TEXTSPLIT(B742, "-"), 2), "")</f>
        <v/>
      </c>
      <c r="E742" t="str">
        <f t="shared" si="33"/>
        <v>Elateia is occupied by Makedonia</v>
      </c>
      <c r="F742" t="str">
        <f t="shared" si="34"/>
        <v/>
      </c>
      <c r="H742" t="b">
        <f t="shared" si="35"/>
        <v>0</v>
      </c>
      <c r="J742" s="3" t="str">
        <v>339</v>
      </c>
      <c r="K742" s="4" t="str">
        <v>Elateia is occupied by Makedonia</v>
      </c>
      <c r="P742" t="str">
        <v>343</v>
      </c>
      <c r="Q742" t="str">
        <v>Messene is rebuilt by Timoelon, Adranon is freed from mercenary control, Nicodemus is overthrown by Centuripe with help of Timoleon</v>
      </c>
    </row>
    <row r="743" spans="1:17" x14ac:dyDescent="0.25">
      <c r="A743" t="s">
        <v>742</v>
      </c>
      <c r="B743" t="str" cm="1">
        <f t="array" ref="B743">INDEX(_xlfn.TEXTSPLIT(A743, " "), 1)</f>
        <v>339</v>
      </c>
      <c r="C743" t="str" cm="1">
        <f t="array" ref="C743">INDEX(_xlfn.TEXTSPLIT(B743, "-"), 1)</f>
        <v>339</v>
      </c>
      <c r="D743" t="str" cm="1">
        <f t="array" ref="D743">IFERROR(INDEX(_xlfn.TEXTSPLIT(B743, "-"), 2), "")</f>
        <v/>
      </c>
      <c r="E743" t="str">
        <f t="shared" si="33"/>
        <v>Agyris and Aetna are freed by Timoleon</v>
      </c>
      <c r="F743" t="str">
        <f t="shared" si="34"/>
        <v/>
      </c>
      <c r="H743" t="b">
        <f t="shared" si="35"/>
        <v>0</v>
      </c>
      <c r="J743" s="3" t="str">
        <v>339</v>
      </c>
      <c r="K743" s="4" t="str">
        <v>Agyris and Aetna are freed by Timoleon</v>
      </c>
      <c r="P743" t="str">
        <v>343</v>
      </c>
      <c r="Q743" t="str">
        <v>Timoleon annexes the citadel</v>
      </c>
    </row>
    <row r="744" spans="1:17" x14ac:dyDescent="0.25">
      <c r="A744" t="s">
        <v>743</v>
      </c>
      <c r="B744" t="str" cm="1">
        <f t="array" ref="B744">INDEX(_xlfn.TEXTSPLIT(A744, " "), 1)</f>
        <v>339</v>
      </c>
      <c r="C744" t="str" cm="1">
        <f t="array" ref="C744">INDEX(_xlfn.TEXTSPLIT(B744, "-"), 1)</f>
        <v>339</v>
      </c>
      <c r="D744" t="str" cm="1">
        <f t="array" ref="D744">IFERROR(INDEX(_xlfn.TEXTSPLIT(B744, "-"), 2), "")</f>
        <v/>
      </c>
      <c r="E744" t="str">
        <f t="shared" si="33"/>
        <v>Nicaea is occupied by Boeotia</v>
      </c>
      <c r="F744" t="str">
        <f t="shared" si="34"/>
        <v/>
      </c>
      <c r="H744" t="b">
        <f t="shared" si="35"/>
        <v>0</v>
      </c>
      <c r="J744" s="3" t="str">
        <v>339</v>
      </c>
      <c r="K744" s="4" t="str">
        <v>Nicaea is occupied by Boeotia</v>
      </c>
      <c r="P744" t="str">
        <v>343</v>
      </c>
      <c r="Q744" t="str">
        <v>Siege of Kydonia is lifted by Knossos</v>
      </c>
    </row>
    <row r="745" spans="1:17" x14ac:dyDescent="0.25">
      <c r="A745" t="s">
        <v>744</v>
      </c>
      <c r="B745" t="str" cm="1">
        <f t="array" ref="B745">INDEX(_xlfn.TEXTSPLIT(A745, " "), 1)</f>
        <v>338</v>
      </c>
      <c r="C745" t="str" cm="1">
        <f t="array" ref="C745">INDEX(_xlfn.TEXTSPLIT(B745, "-"), 1)</f>
        <v>338</v>
      </c>
      <c r="D745" t="str" cm="1">
        <f t="array" ref="D745">IFERROR(INDEX(_xlfn.TEXTSPLIT(B745, "-"), 2), "")</f>
        <v/>
      </c>
      <c r="E745" t="str">
        <f t="shared" si="33"/>
        <v>Amphissa is annexed by Delphi</v>
      </c>
      <c r="F745" t="str">
        <f t="shared" si="34"/>
        <v/>
      </c>
      <c r="H745" t="b">
        <f t="shared" si="35"/>
        <v>0</v>
      </c>
      <c r="J745" s="3" t="str">
        <v>338</v>
      </c>
      <c r="K745" s="4" t="str">
        <v>Amphissa is annexed by Delphi</v>
      </c>
      <c r="P745" t="str">
        <v>342</v>
      </c>
      <c r="Q745" t="str">
        <v>Rhegion is freed by Timoleon</v>
      </c>
    </row>
    <row r="746" spans="1:17" x14ac:dyDescent="0.25">
      <c r="A746" t="s">
        <v>745</v>
      </c>
      <c r="B746" t="str" cm="1">
        <f t="array" ref="B746">INDEX(_xlfn.TEXTSPLIT(A746, " "), 1)</f>
        <v>338</v>
      </c>
      <c r="C746" t="str" cm="1">
        <f t="array" ref="C746">INDEX(_xlfn.TEXTSPLIT(B746, "-"), 1)</f>
        <v>338</v>
      </c>
      <c r="D746" t="str" cm="1">
        <f t="array" ref="D746">IFERROR(INDEX(_xlfn.TEXTSPLIT(B746, "-"), 2), "")</f>
        <v/>
      </c>
      <c r="E746" t="str">
        <f t="shared" si="33"/>
        <v>Thyrea is annexed by Argos</v>
      </c>
      <c r="F746" t="str">
        <f t="shared" si="34"/>
        <v/>
      </c>
      <c r="H746" t="b">
        <f t="shared" si="35"/>
        <v>0</v>
      </c>
      <c r="J746" s="3" t="str">
        <v>338</v>
      </c>
      <c r="K746" s="4" t="str">
        <v>Thyrea is annexed by Argos</v>
      </c>
      <c r="P746" t="str">
        <v>342</v>
      </c>
      <c r="Q746" t="str">
        <v>Aristotle, Greek philosopher, begins teaching Alexander, son of Philip of Macedon.</v>
      </c>
    </row>
    <row r="747" spans="1:17" x14ac:dyDescent="0.25">
      <c r="A747" t="s">
        <v>746</v>
      </c>
      <c r="B747" t="str" cm="1">
        <f t="array" ref="B747">INDEX(_xlfn.TEXTSPLIT(A747, " "), 1)</f>
        <v>338</v>
      </c>
      <c r="C747" t="str" cm="1">
        <f t="array" ref="C747">INDEX(_xlfn.TEXTSPLIT(B747, "-"), 1)</f>
        <v>338</v>
      </c>
      <c r="D747" t="str" cm="1">
        <f t="array" ref="D747">IFERROR(INDEX(_xlfn.TEXTSPLIT(B747, "-"), 2), "")</f>
        <v/>
      </c>
      <c r="E747" t="str">
        <f t="shared" si="33"/>
        <v>Mamercus dies</v>
      </c>
      <c r="F747" t="str">
        <f t="shared" si="34"/>
        <v/>
      </c>
      <c r="H747" t="b">
        <f t="shared" si="35"/>
        <v>0</v>
      </c>
      <c r="J747" s="3" t="str">
        <v>338</v>
      </c>
      <c r="K747" s="4" t="str">
        <v>Mamercus dies</v>
      </c>
      <c r="P747" t="str">
        <v>341</v>
      </c>
      <c r="Q747" t="str">
        <v>Hipparchus is overthrown by Athenian forces and impressed into the Delian league</v>
      </c>
    </row>
    <row r="748" spans="1:17" x14ac:dyDescent="0.25">
      <c r="A748" t="s">
        <v>747</v>
      </c>
      <c r="B748" t="str" cm="1">
        <f t="array" ref="B748">INDEX(_xlfn.TEXTSPLIT(A748, " "), 1)</f>
        <v>338</v>
      </c>
      <c r="C748" t="str" cm="1">
        <f t="array" ref="C748">INDEX(_xlfn.TEXTSPLIT(B748, "-"), 1)</f>
        <v>338</v>
      </c>
      <c r="D748" t="str" cm="1">
        <f t="array" ref="D748">IFERROR(INDEX(_xlfn.TEXTSPLIT(B748, "-"), 2), "")</f>
        <v/>
      </c>
      <c r="E748" t="str">
        <f t="shared" si="33"/>
        <v>Cumae is annexed by Rome</v>
      </c>
      <c r="F748" t="str">
        <f t="shared" si="34"/>
        <v/>
      </c>
      <c r="H748" t="b">
        <f t="shared" si="35"/>
        <v>0</v>
      </c>
      <c r="J748" s="3" t="str">
        <v>338</v>
      </c>
      <c r="K748" s="4" t="str">
        <v>Cumae is annexed by Rome</v>
      </c>
      <c r="P748" t="str">
        <v>341</v>
      </c>
      <c r="Q748" t="str">
        <v>Samothrace is annexed by Makedonia</v>
      </c>
    </row>
    <row r="749" spans="1:17" x14ac:dyDescent="0.25">
      <c r="A749" t="s">
        <v>748</v>
      </c>
      <c r="B749" t="str" cm="1">
        <f t="array" ref="B749">INDEX(_xlfn.TEXTSPLIT(A749, " "), 1)</f>
        <v>338</v>
      </c>
      <c r="C749" t="str" cm="1">
        <f t="array" ref="C749">INDEX(_xlfn.TEXTSPLIT(B749, "-"), 1)</f>
        <v>338</v>
      </c>
      <c r="D749" t="str" cm="1">
        <f t="array" ref="D749">IFERROR(INDEX(_xlfn.TEXTSPLIT(B749, "-"), 2), "")</f>
        <v/>
      </c>
      <c r="E749" t="str">
        <f t="shared" si="33"/>
        <v>Leontini is freed by Timoleon</v>
      </c>
      <c r="F749" t="str">
        <f t="shared" si="34"/>
        <v/>
      </c>
      <c r="H749" t="b">
        <f t="shared" si="35"/>
        <v>0</v>
      </c>
      <c r="J749" s="3" t="str">
        <v>338</v>
      </c>
      <c r="K749" s="4" t="str">
        <v>Leontini is freed by Timoleon</v>
      </c>
      <c r="P749" t="str">
        <v>340</v>
      </c>
      <c r="Q749" t="str">
        <v>Antipolis (modern day Antibes) is founded by Phocaean Greeks from Massilia.[12]</v>
      </c>
    </row>
    <row r="750" spans="1:17" x14ac:dyDescent="0.25">
      <c r="A750" t="s">
        <v>749</v>
      </c>
      <c r="B750" t="str" cm="1">
        <f t="array" ref="B750">INDEX(_xlfn.TEXTSPLIT(A750, " "), 1)</f>
        <v>338</v>
      </c>
      <c r="C750" t="str" cm="1">
        <f t="array" ref="C750">INDEX(_xlfn.TEXTSPLIT(B750, "-"), 1)</f>
        <v>338</v>
      </c>
      <c r="D750" t="str" cm="1">
        <f t="array" ref="D750">IFERROR(INDEX(_xlfn.TEXTSPLIT(B750, "-"), 2), "")</f>
        <v/>
      </c>
      <c r="E750" t="str">
        <f t="shared" si="33"/>
        <v>Nafpaktos joins the Aetolian League</v>
      </c>
      <c r="F750" t="str">
        <f t="shared" si="34"/>
        <v/>
      </c>
      <c r="H750" t="b">
        <f t="shared" si="35"/>
        <v>0</v>
      </c>
      <c r="J750" s="3" t="str">
        <v>338</v>
      </c>
      <c r="K750" s="4" t="str">
        <v>Nafpaktos joins the Aetolian League</v>
      </c>
      <c r="P750" t="str">
        <v>340</v>
      </c>
      <c r="Q750" t="str">
        <v>Skyros is annexed by Makedonia</v>
      </c>
    </row>
    <row r="751" spans="1:17" x14ac:dyDescent="0.25">
      <c r="A751" t="s">
        <v>750</v>
      </c>
      <c r="B751" t="str" cm="1">
        <f t="array" ref="B751">INDEX(_xlfn.TEXTSPLIT(A751, " "), 1)</f>
        <v>338</v>
      </c>
      <c r="C751" t="str" cm="1">
        <f t="array" ref="C751">INDEX(_xlfn.TEXTSPLIT(B751, "-"), 1)</f>
        <v>338</v>
      </c>
      <c r="D751" t="str" cm="1">
        <f t="array" ref="D751">IFERROR(INDEX(_xlfn.TEXTSPLIT(B751, "-"), 2), "")</f>
        <v/>
      </c>
      <c r="E751" t="str">
        <f t="shared" si="33"/>
        <v>King Philip II of Macedon defeats Athens and Thebes at Battle of Chaeronea August 2 and establishes League of Corinth during winter of 338 BC/337 BC.</v>
      </c>
      <c r="F751" t="str">
        <f t="shared" si="34"/>
        <v/>
      </c>
      <c r="H751" t="b">
        <f t="shared" si="35"/>
        <v>0</v>
      </c>
      <c r="J751" s="3" t="str">
        <v>338</v>
      </c>
      <c r="K751" s="4" t="str">
        <v>King Philip II of Macedon defeats Athens and Thebes at Battle of Chaeronea August 2 and establishes League of Corinth during winter of 338 BC/337 BC.</v>
      </c>
      <c r="P751" t="str">
        <v>340</v>
      </c>
      <c r="Q751" t="str">
        <v>Entella is freed by Timoleon</v>
      </c>
    </row>
    <row r="752" spans="1:17" x14ac:dyDescent="0.25">
      <c r="A752" t="s">
        <v>751</v>
      </c>
      <c r="B752" t="str" cm="1">
        <f t="array" ref="B752">INDEX(_xlfn.TEXTSPLIT(A752, " "), 1)</f>
        <v>337</v>
      </c>
      <c r="C752" t="str" cm="1">
        <f t="array" ref="C752">INDEX(_xlfn.TEXTSPLIT(B752, "-"), 1)</f>
        <v>337</v>
      </c>
      <c r="D752" t="str" cm="1">
        <f t="array" ref="D752">IFERROR(INDEX(_xlfn.TEXTSPLIT(B752, "-"), 2), "")</f>
        <v/>
      </c>
      <c r="E752" t="str">
        <f t="shared" si="33"/>
        <v>Amfissa declares independence from Delphi</v>
      </c>
      <c r="F752" t="str">
        <f t="shared" si="34"/>
        <v/>
      </c>
      <c r="H752" t="b">
        <f t="shared" si="35"/>
        <v>0</v>
      </c>
      <c r="J752" s="3" t="str">
        <v>337</v>
      </c>
      <c r="K752" s="4" t="str">
        <v>Amfissa declares independence from Delphi</v>
      </c>
      <c r="P752" t="str">
        <v>339</v>
      </c>
      <c r="Q752" t="str">
        <v>Elateia is occupied by Makedonia</v>
      </c>
    </row>
    <row r="753" spans="1:17" x14ac:dyDescent="0.25">
      <c r="A753" t="s">
        <v>752</v>
      </c>
      <c r="B753" t="str" cm="1">
        <f t="array" ref="B753">INDEX(_xlfn.TEXTSPLIT(A753, " "), 1)</f>
        <v>336</v>
      </c>
      <c r="C753" t="str" cm="1">
        <f t="array" ref="C753">INDEX(_xlfn.TEXTSPLIT(B753, "-"), 1)</f>
        <v>336</v>
      </c>
      <c r="D753" t="str" cm="1">
        <f t="array" ref="D753">IFERROR(INDEX(_xlfn.TEXTSPLIT(B753, "-"), 2), "")</f>
        <v/>
      </c>
      <c r="E753" t="str">
        <f t="shared" si="33"/>
        <v>Timoleon dies</v>
      </c>
      <c r="F753" t="str">
        <f t="shared" si="34"/>
        <v/>
      </c>
      <c r="H753" t="b">
        <f t="shared" si="35"/>
        <v>0</v>
      </c>
      <c r="J753" s="3" t="str">
        <v>336</v>
      </c>
      <c r="K753" s="4" t="str">
        <v>Timoleon dies</v>
      </c>
      <c r="P753" t="str">
        <v>339</v>
      </c>
      <c r="Q753" t="str">
        <v>Agyris and Aetna are freed by Timoleon</v>
      </c>
    </row>
    <row r="754" spans="1:17" x14ac:dyDescent="0.25">
      <c r="A754" t="s">
        <v>753</v>
      </c>
      <c r="B754" t="str" cm="1">
        <f t="array" ref="B754">INDEX(_xlfn.TEXTSPLIT(A754, " "), 1)</f>
        <v>336</v>
      </c>
      <c r="C754" t="str" cm="1">
        <f t="array" ref="C754">INDEX(_xlfn.TEXTSPLIT(B754, "-"), 1)</f>
        <v>336</v>
      </c>
      <c r="D754" t="str" cm="1">
        <f t="array" ref="D754">IFERROR(INDEX(_xlfn.TEXTSPLIT(B754, "-"), 2), "")</f>
        <v/>
      </c>
      <c r="E754" t="str">
        <f t="shared" si="33"/>
        <v>Lesbos is annexed by Makedonia</v>
      </c>
      <c r="F754" t="str">
        <f t="shared" si="34"/>
        <v/>
      </c>
      <c r="H754" t="b">
        <f t="shared" si="35"/>
        <v>0</v>
      </c>
      <c r="J754" s="3" t="str">
        <v>336</v>
      </c>
      <c r="K754" s="4" t="str">
        <v>Lesbos is annexed by Makedonia</v>
      </c>
      <c r="P754" t="str">
        <v>339</v>
      </c>
      <c r="Q754" t="str">
        <v>Nicaea is occupied by Boeotia</v>
      </c>
    </row>
    <row r="755" spans="1:17" x14ac:dyDescent="0.25">
      <c r="A755" t="s">
        <v>754</v>
      </c>
      <c r="B755" t="str" cm="1">
        <f t="array" ref="B755">INDEX(_xlfn.TEXTSPLIT(A755, " "), 1)</f>
        <v>336</v>
      </c>
      <c r="C755" t="str" cm="1">
        <f t="array" ref="C755">INDEX(_xlfn.TEXTSPLIT(B755, "-"), 1)</f>
        <v>336</v>
      </c>
      <c r="D755" t="str" cm="1">
        <f t="array" ref="D755">IFERROR(INDEX(_xlfn.TEXTSPLIT(B755, "-"), 2), "")</f>
        <v/>
      </c>
      <c r="E755" t="str">
        <f t="shared" si="33"/>
        <v>Alexander succeeds father Philip II, who was assassinated by Pausanias of Orestis.</v>
      </c>
      <c r="F755" t="str">
        <f t="shared" si="34"/>
        <v/>
      </c>
      <c r="H755" t="b">
        <f t="shared" si="35"/>
        <v>0</v>
      </c>
      <c r="J755" s="3" t="str">
        <v>336</v>
      </c>
      <c r="K755" s="4" t="str">
        <v>Alexander succeeds father Philip II, who was assassinated by Pausanias of Orestis.</v>
      </c>
      <c r="P755" t="str">
        <v>338</v>
      </c>
      <c r="Q755" t="str">
        <v>Amphissa is annexed by Delphi</v>
      </c>
    </row>
    <row r="756" spans="1:17" x14ac:dyDescent="0.25">
      <c r="A756" t="s">
        <v>755</v>
      </c>
      <c r="B756" t="str" cm="1">
        <f t="array" ref="B756">INDEX(_xlfn.TEXTSPLIT(A756, " "), 1)</f>
        <v>334</v>
      </c>
      <c r="C756" t="str" cm="1">
        <f t="array" ref="C756">INDEX(_xlfn.TEXTSPLIT(B756, "-"), 1)</f>
        <v>334</v>
      </c>
      <c r="D756" t="str" cm="1">
        <f t="array" ref="D756">IFERROR(INDEX(_xlfn.TEXTSPLIT(B756, "-"), 2), "")</f>
        <v/>
      </c>
      <c r="E756" t="str">
        <f t="shared" si="33"/>
        <v>Andromache dies and his city is annexed by Syracuse</v>
      </c>
      <c r="F756" t="str">
        <f t="shared" si="34"/>
        <v/>
      </c>
      <c r="H756" t="b">
        <f t="shared" si="35"/>
        <v>0</v>
      </c>
      <c r="J756" s="3" t="str">
        <v>334</v>
      </c>
      <c r="K756" s="4" t="str">
        <v>Andromache dies and his city is annexed by Syracuse</v>
      </c>
      <c r="P756" t="str">
        <v>338</v>
      </c>
      <c r="Q756" t="str">
        <v>Thyrea is annexed by Argos</v>
      </c>
    </row>
    <row r="757" spans="1:17" x14ac:dyDescent="0.25">
      <c r="A757" t="s">
        <v>756</v>
      </c>
      <c r="B757" t="str" cm="1">
        <f t="array" ref="B757">INDEX(_xlfn.TEXTSPLIT(A757, " "), 1)</f>
        <v>334</v>
      </c>
      <c r="C757" t="str" cm="1">
        <f t="array" ref="C757">INDEX(_xlfn.TEXTSPLIT(B757, "-"), 1)</f>
        <v>334</v>
      </c>
      <c r="D757" t="str" cm="1">
        <f t="array" ref="D757">IFERROR(INDEX(_xlfn.TEXTSPLIT(B757, "-"), 2), "")</f>
        <v/>
      </c>
      <c r="E757" t="str">
        <f t="shared" si="33"/>
        <v>Battle of the Granicus</v>
      </c>
      <c r="F757" t="str">
        <f t="shared" si="34"/>
        <v/>
      </c>
      <c r="H757" t="b">
        <f t="shared" si="35"/>
        <v>0</v>
      </c>
      <c r="J757" s="3" t="str">
        <v>334</v>
      </c>
      <c r="K757" s="4" t="str">
        <v>Battle of the Granicus</v>
      </c>
      <c r="P757" t="str">
        <v>338</v>
      </c>
      <c r="Q757" t="str">
        <v>Mamercus dies</v>
      </c>
    </row>
    <row r="758" spans="1:17" x14ac:dyDescent="0.25">
      <c r="A758" t="s">
        <v>757</v>
      </c>
      <c r="B758" t="str" cm="1">
        <f t="array" ref="B758">INDEX(_xlfn.TEXTSPLIT(A758, " "), 1)</f>
        <v>333</v>
      </c>
      <c r="C758" t="str" cm="1">
        <f t="array" ref="C758">INDEX(_xlfn.TEXTSPLIT(B758, "-"), 1)</f>
        <v>333</v>
      </c>
      <c r="D758" t="str" cm="1">
        <f t="array" ref="D758">IFERROR(INDEX(_xlfn.TEXTSPLIT(B758, "-"), 2), "")</f>
        <v/>
      </c>
      <c r="E758" t="str">
        <f t="shared" si="33"/>
        <v>Saminum is occupied by Epirus</v>
      </c>
      <c r="F758" t="str">
        <f t="shared" si="34"/>
        <v/>
      </c>
      <c r="H758" t="b">
        <f t="shared" si="35"/>
        <v>0</v>
      </c>
      <c r="J758" s="3" t="str">
        <v>333</v>
      </c>
      <c r="K758" s="4" t="str">
        <v>Saminum is occupied by Epirus</v>
      </c>
      <c r="P758" t="str">
        <v>338</v>
      </c>
      <c r="Q758" t="str">
        <v>Cumae is annexed by Rome</v>
      </c>
    </row>
    <row r="759" spans="1:17" x14ac:dyDescent="0.25">
      <c r="A759" t="s">
        <v>758</v>
      </c>
      <c r="B759" t="str" cm="1">
        <f t="array" ref="B759">INDEX(_xlfn.TEXTSPLIT(A759, " "), 1)</f>
        <v>333</v>
      </c>
      <c r="C759" t="str" cm="1">
        <f t="array" ref="C759">INDEX(_xlfn.TEXTSPLIT(B759, "-"), 1)</f>
        <v>333</v>
      </c>
      <c r="D759" t="str" cm="1">
        <f t="array" ref="D759">IFERROR(INDEX(_xlfn.TEXTSPLIT(B759, "-"), 2), "")</f>
        <v/>
      </c>
      <c r="E759" t="str">
        <f t="shared" si="33"/>
        <v>Alexander defeats Persians at Battle of Issus, but Darius III escapes.</v>
      </c>
      <c r="F759" t="str">
        <f t="shared" si="34"/>
        <v/>
      </c>
      <c r="H759" t="b">
        <f t="shared" si="35"/>
        <v>0</v>
      </c>
      <c r="J759" s="3" t="str">
        <v>333</v>
      </c>
      <c r="K759" s="4" t="str">
        <v>Alexander defeats Persians at Battle of Issus, but Darius III escapes.</v>
      </c>
      <c r="P759" t="str">
        <v>338</v>
      </c>
      <c r="Q759" t="str">
        <v>Leontini is freed by Timoleon</v>
      </c>
    </row>
    <row r="760" spans="1:17" x14ac:dyDescent="0.25">
      <c r="A760" t="s">
        <v>759</v>
      </c>
      <c r="B760" t="str" cm="1">
        <f t="array" ref="B760">INDEX(_xlfn.TEXTSPLIT(A760, " "), 1)</f>
        <v>332</v>
      </c>
      <c r="C760" t="str" cm="1">
        <f t="array" ref="C760">INDEX(_xlfn.TEXTSPLIT(B760, "-"), 1)</f>
        <v>332</v>
      </c>
      <c r="D760" t="str" cm="1">
        <f t="array" ref="D760">IFERROR(INDEX(_xlfn.TEXTSPLIT(B760, "-"), 2), "")</f>
        <v/>
      </c>
      <c r="E760" t="str">
        <f t="shared" si="33"/>
        <v>Epirus occupies Heraclea, Metapontium, Southern Lucania, Daunia, Paestum, Terina and Sipontum</v>
      </c>
      <c r="F760" t="str">
        <f t="shared" si="34"/>
        <v/>
      </c>
      <c r="H760" t="b">
        <f t="shared" si="35"/>
        <v>0</v>
      </c>
      <c r="J760" s="3" t="str">
        <v>332</v>
      </c>
      <c r="K760" s="4" t="str">
        <v>Epirus occupies Heraclea, Metapontium, Southern Lucania, Daunia, Paestum, Terina and Sipontum</v>
      </c>
      <c r="P760" t="str">
        <v>338</v>
      </c>
      <c r="Q760" t="str">
        <v>Nafpaktos joins the Aetolian League</v>
      </c>
    </row>
    <row r="761" spans="1:17" x14ac:dyDescent="0.25">
      <c r="A761" t="s">
        <v>760</v>
      </c>
      <c r="B761" t="str" cm="1">
        <f t="array" ref="B761">INDEX(_xlfn.TEXTSPLIT(A761, " "), 1)</f>
        <v>332</v>
      </c>
      <c r="C761" t="str" cm="1">
        <f t="array" ref="C761">INDEX(_xlfn.TEXTSPLIT(B761, "-"), 1)</f>
        <v>332</v>
      </c>
      <c r="D761" t="str" cm="1">
        <f t="array" ref="D761">IFERROR(INDEX(_xlfn.TEXTSPLIT(B761, "-"), 2), "")</f>
        <v/>
      </c>
      <c r="E761" t="str">
        <f t="shared" si="33"/>
        <v>Siege of Tyre</v>
      </c>
      <c r="F761" t="str">
        <f t="shared" si="34"/>
        <v/>
      </c>
      <c r="H761" t="b">
        <f t="shared" si="35"/>
        <v>0</v>
      </c>
      <c r="J761" s="3" t="str">
        <v>332</v>
      </c>
      <c r="K761" s="4" t="str">
        <v>Siege of Tyre</v>
      </c>
      <c r="P761" t="str">
        <v>338</v>
      </c>
      <c r="Q761" t="str">
        <v>King Philip II of Macedon defeats Athens and Thebes at Battle of Chaeronea August 2 and establishes League of Corinth during winter of 338 BC/337 BC.</v>
      </c>
    </row>
    <row r="762" spans="1:17" x14ac:dyDescent="0.25">
      <c r="A762" t="s">
        <v>761</v>
      </c>
      <c r="B762" t="str" cm="1">
        <f t="array" ref="B762">INDEX(_xlfn.TEXTSPLIT(A762, " "), 1)</f>
        <v>332</v>
      </c>
      <c r="C762" t="str" cm="1">
        <f t="array" ref="C762">INDEX(_xlfn.TEXTSPLIT(B762, "-"), 1)</f>
        <v>332</v>
      </c>
      <c r="D762" t="str" cm="1">
        <f t="array" ref="D762">IFERROR(INDEX(_xlfn.TEXTSPLIT(B762, "-"), 2), "")</f>
        <v/>
      </c>
      <c r="E762" t="str">
        <f t="shared" si="33"/>
        <v>Siege of Gaza</v>
      </c>
      <c r="F762" t="str">
        <f t="shared" si="34"/>
        <v/>
      </c>
      <c r="H762" t="b">
        <f t="shared" si="35"/>
        <v>0</v>
      </c>
      <c r="J762" s="3" t="str">
        <v>332</v>
      </c>
      <c r="K762" s="4" t="str">
        <v>Siege of Gaza</v>
      </c>
      <c r="P762" t="str">
        <v>337</v>
      </c>
      <c r="Q762" t="str">
        <v>Amfissa declares independence from Delphi</v>
      </c>
    </row>
    <row r="763" spans="1:17" x14ac:dyDescent="0.25">
      <c r="A763" t="s">
        <v>762</v>
      </c>
      <c r="B763" t="str" cm="1">
        <f t="array" ref="B763">INDEX(_xlfn.TEXTSPLIT(A763, " "), 1)</f>
        <v>332</v>
      </c>
      <c r="C763" t="str" cm="1">
        <f t="array" ref="C763">INDEX(_xlfn.TEXTSPLIT(B763, "-"), 1)</f>
        <v>332</v>
      </c>
      <c r="D763" t="str" cm="1">
        <f t="array" ref="D763">IFERROR(INDEX(_xlfn.TEXTSPLIT(B763, "-"), 2), "")</f>
        <v/>
      </c>
      <c r="E763" t="str">
        <f t="shared" si="33"/>
        <v>Alexander conquers Egypt.</v>
      </c>
      <c r="F763" t="str">
        <f t="shared" si="34"/>
        <v/>
      </c>
      <c r="H763" t="b">
        <f t="shared" si="35"/>
        <v>0</v>
      </c>
      <c r="J763" s="3" t="str">
        <v>332</v>
      </c>
      <c r="K763" s="4" t="str">
        <v>Alexander conquers Egypt.</v>
      </c>
      <c r="P763" t="str">
        <v>336</v>
      </c>
      <c r="Q763" t="str">
        <v>Timoleon dies</v>
      </c>
    </row>
    <row r="764" spans="1:17" x14ac:dyDescent="0.25">
      <c r="A764" t="s">
        <v>763</v>
      </c>
      <c r="B764" t="str" cm="1">
        <f t="array" ref="B764">INDEX(_xlfn.TEXTSPLIT(A764, " "), 1)</f>
        <v>332</v>
      </c>
      <c r="C764" t="str" cm="1">
        <f t="array" ref="C764">INDEX(_xlfn.TEXTSPLIT(B764, "-"), 1)</f>
        <v>332</v>
      </c>
      <c r="D764" t="str" cm="1">
        <f t="array" ref="D764">IFERROR(INDEX(_xlfn.TEXTSPLIT(B764, "-"), 2), "")</f>
        <v/>
      </c>
      <c r="E764" t="str">
        <f t="shared" si="33"/>
        <v>Alexandria is founded by Alexander the Great</v>
      </c>
      <c r="F764" t="str">
        <f t="shared" si="34"/>
        <v/>
      </c>
      <c r="H764" t="b">
        <f t="shared" si="35"/>
        <v>0</v>
      </c>
      <c r="J764" s="3" t="str">
        <v>332</v>
      </c>
      <c r="K764" s="4" t="str">
        <v>Alexandria is founded by Alexander the Great</v>
      </c>
      <c r="P764" t="str">
        <v>336</v>
      </c>
      <c r="Q764" t="str">
        <v>Lesbos is annexed by Makedonia</v>
      </c>
    </row>
    <row r="765" spans="1:17" x14ac:dyDescent="0.25">
      <c r="A765" t="s">
        <v>764</v>
      </c>
      <c r="B765" t="str" cm="1">
        <f t="array" ref="B765">INDEX(_xlfn.TEXTSPLIT(A765, " "), 1)</f>
        <v>331</v>
      </c>
      <c r="C765" t="str" cm="1">
        <f t="array" ref="C765">INDEX(_xlfn.TEXTSPLIT(B765, "-"), 1)</f>
        <v>331</v>
      </c>
      <c r="D765" t="str" cm="1">
        <f t="array" ref="D765">IFERROR(INDEX(_xlfn.TEXTSPLIT(B765, "-"), 2), "")</f>
        <v/>
      </c>
      <c r="E765" t="str">
        <f t="shared" si="33"/>
        <v>Epirus occupies Cosentia</v>
      </c>
      <c r="F765" t="str">
        <f t="shared" si="34"/>
        <v/>
      </c>
      <c r="H765" t="b">
        <f t="shared" si="35"/>
        <v>0</v>
      </c>
      <c r="J765" s="3" t="str">
        <v>331</v>
      </c>
      <c r="K765" s="4" t="str">
        <v>Epirus occupies Cosentia</v>
      </c>
      <c r="P765" t="str">
        <v>336</v>
      </c>
      <c r="Q765" t="str">
        <v>Alexander succeeds father Philip II, who was assassinated by Pausanias of Orestis.</v>
      </c>
    </row>
    <row r="766" spans="1:17" x14ac:dyDescent="0.25">
      <c r="A766" t="s">
        <v>765</v>
      </c>
      <c r="B766" t="str" cm="1">
        <f t="array" ref="B766">INDEX(_xlfn.TEXTSPLIT(A766, " "), 1)</f>
        <v>331</v>
      </c>
      <c r="C766" t="str" cm="1">
        <f t="array" ref="C766">INDEX(_xlfn.TEXTSPLIT(B766, "-"), 1)</f>
        <v>331</v>
      </c>
      <c r="D766" t="str" cm="1">
        <f t="array" ref="D766">IFERROR(INDEX(_xlfn.TEXTSPLIT(B766, "-"), 2), "")</f>
        <v/>
      </c>
      <c r="E766" t="str">
        <f t="shared" si="33"/>
        <v>Battle of Pandosia</v>
      </c>
      <c r="F766" t="str">
        <f t="shared" si="34"/>
        <v/>
      </c>
      <c r="H766" t="b">
        <f t="shared" si="35"/>
        <v>0</v>
      </c>
      <c r="J766" s="3" t="str">
        <v>331</v>
      </c>
      <c r="K766" s="4" t="str">
        <v>Battle of Pandosia</v>
      </c>
      <c r="P766" t="str">
        <v>334</v>
      </c>
      <c r="Q766" t="str">
        <v>Andromache dies and his city is annexed by Syracuse</v>
      </c>
    </row>
    <row r="767" spans="1:17" x14ac:dyDescent="0.25">
      <c r="A767" t="s">
        <v>766</v>
      </c>
      <c r="B767" t="str" cm="1">
        <f t="array" ref="B767">INDEX(_xlfn.TEXTSPLIT(A767, " "), 1)</f>
        <v>331</v>
      </c>
      <c r="C767" t="str" cm="1">
        <f t="array" ref="C767">INDEX(_xlfn.TEXTSPLIT(B767, "-"), 1)</f>
        <v>331</v>
      </c>
      <c r="D767" t="str" cm="1">
        <f t="array" ref="D767">IFERROR(INDEX(_xlfn.TEXTSPLIT(B767, "-"), 2), "")</f>
        <v/>
      </c>
      <c r="E767" t="str">
        <f t="shared" si="33"/>
        <v>Gerasa (Jordan) is founded by Makedonian veterans</v>
      </c>
      <c r="F767" t="str">
        <f t="shared" si="34"/>
        <v/>
      </c>
      <c r="H767" t="b">
        <f t="shared" si="35"/>
        <v>0</v>
      </c>
      <c r="J767" s="3" t="str">
        <v>331</v>
      </c>
      <c r="K767" s="4" t="str">
        <v>Gerasa (Jordan) is founded by Makedonian veterans</v>
      </c>
      <c r="P767" t="str">
        <v>334</v>
      </c>
      <c r="Q767" t="str">
        <v>Battle of the Granicus</v>
      </c>
    </row>
    <row r="768" spans="1:17" x14ac:dyDescent="0.25">
      <c r="A768" t="s">
        <v>767</v>
      </c>
      <c r="B768" t="str" cm="1">
        <f t="array" ref="B768">INDEX(_xlfn.TEXTSPLIT(A768, " "), 1)</f>
        <v>331</v>
      </c>
      <c r="C768" t="str" cm="1">
        <f t="array" ref="C768">INDEX(_xlfn.TEXTSPLIT(B768, "-"), 1)</f>
        <v>331</v>
      </c>
      <c r="D768" t="str" cm="1">
        <f t="array" ref="D768">IFERROR(INDEX(_xlfn.TEXTSPLIT(B768, "-"), 2), "")</f>
        <v/>
      </c>
      <c r="E768" t="str">
        <f t="shared" si="33"/>
        <v>at Battle of Gaugamela October 1, Alexander ends Achaemenid Dynasty and conquers Persian Empire.</v>
      </c>
      <c r="F768" t="str">
        <f t="shared" si="34"/>
        <v/>
      </c>
      <c r="H768" t="b">
        <f t="shared" si="35"/>
        <v>0</v>
      </c>
      <c r="J768" s="3" t="str">
        <v>331</v>
      </c>
      <c r="K768" s="4" t="str">
        <v>at Battle of Gaugamela October 1, Alexander ends Achaemenid Dynasty and conquers Persian Empire.</v>
      </c>
      <c r="P768" t="str">
        <v>333</v>
      </c>
      <c r="Q768" t="str">
        <v>Saminum is occupied by Epirus</v>
      </c>
    </row>
    <row r="769" spans="1:17" x14ac:dyDescent="0.25">
      <c r="A769" t="s">
        <v>768</v>
      </c>
      <c r="B769" t="str" cm="1">
        <f t="array" ref="B769">INDEX(_xlfn.TEXTSPLIT(A769, " "), 1)</f>
        <v>331</v>
      </c>
      <c r="C769" t="str" cm="1">
        <f t="array" ref="C769">INDEX(_xlfn.TEXTSPLIT(B769, "-"), 1)</f>
        <v>331</v>
      </c>
      <c r="D769" t="str" cm="1">
        <f t="array" ref="D769">IFERROR(INDEX(_xlfn.TEXTSPLIT(B769, "-"), 2), "")</f>
        <v/>
      </c>
      <c r="E769" t="str">
        <f t="shared" si="33"/>
        <v>Alexander the Great enters in Babylon</v>
      </c>
      <c r="F769" t="str">
        <f t="shared" si="34"/>
        <v/>
      </c>
      <c r="H769" t="b">
        <f t="shared" si="35"/>
        <v>0</v>
      </c>
      <c r="J769" s="3" t="str">
        <v>331</v>
      </c>
      <c r="K769" s="4" t="str">
        <v>Alexander the Great enters in Babylon</v>
      </c>
      <c r="P769" t="str">
        <v>333</v>
      </c>
      <c r="Q769" t="str">
        <v>Alexander defeats Persians at Battle of Issus, but Darius III escapes.</v>
      </c>
    </row>
    <row r="770" spans="1:17" x14ac:dyDescent="0.25">
      <c r="A770" t="s">
        <v>769</v>
      </c>
      <c r="B770" t="str" cm="1">
        <f t="array" ref="B770">INDEX(_xlfn.TEXTSPLIT(A770, " "), 1)</f>
        <v>331</v>
      </c>
      <c r="C770" t="str" cm="1">
        <f t="array" ref="C770">INDEX(_xlfn.TEXTSPLIT(B770, "-"), 1)</f>
        <v>331</v>
      </c>
      <c r="D770" t="str" cm="1">
        <f t="array" ref="D770">IFERROR(INDEX(_xlfn.TEXTSPLIT(B770, "-"), 2), "")</f>
        <v/>
      </c>
      <c r="E770" t="str">
        <f t="shared" si="33"/>
        <v>Tauromenion is freed by Carthage</v>
      </c>
      <c r="F770" t="str">
        <f t="shared" si="34"/>
        <v/>
      </c>
      <c r="H770" t="b">
        <f t="shared" si="35"/>
        <v>0</v>
      </c>
      <c r="J770" s="3" t="str">
        <v>331</v>
      </c>
      <c r="K770" s="4" t="str">
        <v>Tauromenion is freed by Carthage</v>
      </c>
      <c r="P770" t="str">
        <v>332</v>
      </c>
      <c r="Q770" t="str">
        <v>Epirus occupies Heraclea, Metapontium, Southern Lucania, Daunia, Paestum, Terina and Sipontum</v>
      </c>
    </row>
    <row r="771" spans="1:17" x14ac:dyDescent="0.25">
      <c r="A771" t="s">
        <v>770</v>
      </c>
      <c r="B771" t="str" cm="1">
        <f t="array" ref="B771">INDEX(_xlfn.TEXTSPLIT(A771, " "), 1)</f>
        <v>331</v>
      </c>
      <c r="C771" t="str" cm="1">
        <f t="array" ref="C771">INDEX(_xlfn.TEXTSPLIT(B771, "-"), 1)</f>
        <v>331</v>
      </c>
      <c r="D771" t="str" cm="1">
        <f t="array" ref="D771">IFERROR(INDEX(_xlfn.TEXTSPLIT(B771, "-"), 2), "")</f>
        <v/>
      </c>
      <c r="E771" t="str">
        <f t="shared" ref="E771:E832" si="36">_xlfn.LET(
  _xlpm.szoveg,
  MID(A771, SEARCH(" ", A771) + 1, LEN(A771)),
  IF(ISNUMBER(SEARCH("-",B771)), _xlpm.szoveg &amp; " --&gt;", _xlpm.szoveg)
)</f>
        <v>Battle of the Uxian Defile (East of Susa, Iran)</v>
      </c>
      <c r="F771" t="str">
        <f t="shared" ref="F771:F832" si="37">_xlfn.LET(
  _xlpm.szoveg,
  MID(A771, SEARCH(" ", A771) + 1, LEN(A771)),
  IF(ISNUMBER(SEARCH("-",B771)), "--&gt; " &amp; _xlpm.szoveg, "")
)</f>
        <v/>
      </c>
      <c r="H771" t="b">
        <f t="shared" ref="H771:H832" si="38">ISNUMBER(SEARCH("-", B771))</f>
        <v>0</v>
      </c>
      <c r="J771" s="3" t="str">
        <v>331</v>
      </c>
      <c r="K771" s="4" t="str">
        <v>Battle of the Uxian Defile (East of Susa, Iran)</v>
      </c>
      <c r="P771" t="str">
        <v>332</v>
      </c>
      <c r="Q771" t="str">
        <v>Siege of Tyre</v>
      </c>
    </row>
    <row r="772" spans="1:17" x14ac:dyDescent="0.25">
      <c r="A772" t="s">
        <v>771</v>
      </c>
      <c r="B772" t="str" cm="1">
        <f t="array" ref="B772">INDEX(_xlfn.TEXTSPLIT(A772, " "), 1)</f>
        <v>330</v>
      </c>
      <c r="C772" t="str" cm="1">
        <f t="array" ref="C772">INDEX(_xlfn.TEXTSPLIT(B772, "-"), 1)</f>
        <v>330</v>
      </c>
      <c r="D772" t="str" cm="1">
        <f t="array" ref="D772">IFERROR(INDEX(_xlfn.TEXTSPLIT(B772, "-"), 2), "")</f>
        <v/>
      </c>
      <c r="E772" t="str">
        <f t="shared" si="36"/>
        <v>Sparta joins the League of Corinth</v>
      </c>
      <c r="F772" t="str">
        <f t="shared" si="37"/>
        <v/>
      </c>
      <c r="H772" t="b">
        <f t="shared" si="38"/>
        <v>0</v>
      </c>
      <c r="J772" s="3" t="str">
        <v>330</v>
      </c>
      <c r="K772" s="4" t="str">
        <v>Sparta joins the League of Corinth</v>
      </c>
      <c r="P772" t="str">
        <v>332</v>
      </c>
      <c r="Q772" t="str">
        <v>Siege of Gaza</v>
      </c>
    </row>
    <row r="773" spans="1:17" x14ac:dyDescent="0.25">
      <c r="A773" t="s">
        <v>772</v>
      </c>
      <c r="B773" t="str" cm="1">
        <f t="array" ref="B773">INDEX(_xlfn.TEXTSPLIT(A773, " "), 1)</f>
        <v>330</v>
      </c>
      <c r="C773" t="str" cm="1">
        <f t="array" ref="C773">INDEX(_xlfn.TEXTSPLIT(B773, "-"), 1)</f>
        <v>330</v>
      </c>
      <c r="D773" t="str" cm="1">
        <f t="array" ref="D773">IFERROR(INDEX(_xlfn.TEXTSPLIT(B773, "-"), 2), "")</f>
        <v/>
      </c>
      <c r="E773" t="str">
        <f t="shared" si="36"/>
        <v>Battle of the Persian Gate, destruction of Persepolis (modern Iran)</v>
      </c>
      <c r="F773" t="str">
        <f t="shared" si="37"/>
        <v/>
      </c>
      <c r="H773" t="b">
        <f t="shared" si="38"/>
        <v>0</v>
      </c>
      <c r="J773" s="3" t="str">
        <v>330</v>
      </c>
      <c r="K773" s="4" t="str">
        <v>Battle of the Persian Gate, destruction of Persepolis (modern Iran)</v>
      </c>
      <c r="P773" t="str">
        <v>332</v>
      </c>
      <c r="Q773" t="str">
        <v>Alexander conquers Egypt.</v>
      </c>
    </row>
    <row r="774" spans="1:17" x14ac:dyDescent="0.25">
      <c r="A774" t="s">
        <v>773</v>
      </c>
      <c r="B774" t="str" cm="1">
        <f t="array" ref="B774">INDEX(_xlfn.TEXTSPLIT(A774, " "), 1)</f>
        <v>330-325</v>
      </c>
      <c r="C774" t="str" cm="1">
        <f t="array" ref="C774">INDEX(_xlfn.TEXTSPLIT(B774, "-"), 1)</f>
        <v>330</v>
      </c>
      <c r="D774" t="str" cm="1">
        <f t="array" ref="D774">IFERROR(INDEX(_xlfn.TEXTSPLIT(B774, "-"), 2), "")</f>
        <v>325</v>
      </c>
      <c r="E774" t="str">
        <f t="shared" si="36"/>
        <v>Pytheas makes the earliest Greek voyage to Great Britain and the Arctic Circle for which there is a record. --&gt;</v>
      </c>
      <c r="F774" t="str">
        <f t="shared" si="37"/>
        <v>--&gt; Pytheas makes the earliest Greek voyage to Great Britain and the Arctic Circle for which there is a record.</v>
      </c>
      <c r="H774" t="b">
        <f t="shared" si="38"/>
        <v>1</v>
      </c>
      <c r="J774" s="3" t="str">
        <v>330</v>
      </c>
      <c r="K774" s="4" t="str">
        <v>Pytheas makes the earliest Greek voyage to Great Britain and the Arctic Circle for which there is a record. --&gt;</v>
      </c>
      <c r="P774" t="str">
        <v>332</v>
      </c>
      <c r="Q774" t="str">
        <v>Alexandria is founded by Alexander the Great</v>
      </c>
    </row>
    <row r="775" spans="1:17" x14ac:dyDescent="0.25">
      <c r="A775" t="s">
        <v>774</v>
      </c>
      <c r="B775" t="str" cm="1">
        <f t="array" ref="B775">INDEX(_xlfn.TEXTSPLIT(A775, " "), 1)</f>
        <v>329</v>
      </c>
      <c r="C775" t="str" cm="1">
        <f t="array" ref="C775">INDEX(_xlfn.TEXTSPLIT(B775, "-"), 1)</f>
        <v>329</v>
      </c>
      <c r="D775" t="str" cm="1">
        <f t="array" ref="D775">IFERROR(INDEX(_xlfn.TEXTSPLIT(B775, "-"), 2), "")</f>
        <v/>
      </c>
      <c r="E775" t="str">
        <f t="shared" si="36"/>
        <v>Siege of Cyropolis</v>
      </c>
      <c r="F775" t="str">
        <f t="shared" si="37"/>
        <v/>
      </c>
      <c r="H775" t="b">
        <f t="shared" si="38"/>
        <v>0</v>
      </c>
      <c r="J775" s="3" t="str">
        <v>329</v>
      </c>
      <c r="K775" s="4" t="str">
        <v>Siege of Cyropolis</v>
      </c>
      <c r="P775" t="str">
        <v>331</v>
      </c>
      <c r="Q775" t="str">
        <v>Epirus occupies Cosentia</v>
      </c>
    </row>
    <row r="776" spans="1:17" x14ac:dyDescent="0.25">
      <c r="A776" t="s">
        <v>775</v>
      </c>
      <c r="B776" t="str" cm="1">
        <f t="array" ref="B776">INDEX(_xlfn.TEXTSPLIT(A776, " "), 1)</f>
        <v>329</v>
      </c>
      <c r="C776" t="str" cm="1">
        <f t="array" ref="C776">INDEX(_xlfn.TEXTSPLIT(B776, "-"), 1)</f>
        <v>329</v>
      </c>
      <c r="D776" t="str" cm="1">
        <f t="array" ref="D776">IFERROR(INDEX(_xlfn.TEXTSPLIT(B776, "-"), 2), "")</f>
        <v/>
      </c>
      <c r="E776" t="str">
        <f t="shared" si="36"/>
        <v>Battle of Jaxartes</v>
      </c>
      <c r="F776" t="str">
        <f t="shared" si="37"/>
        <v/>
      </c>
      <c r="H776" t="b">
        <f t="shared" si="38"/>
        <v>0</v>
      </c>
      <c r="J776" s="3" t="str">
        <v>329</v>
      </c>
      <c r="K776" s="4" t="str">
        <v>Battle of Jaxartes</v>
      </c>
      <c r="P776" t="str">
        <v>331</v>
      </c>
      <c r="Q776" t="str">
        <v>Battle of Pandosia</v>
      </c>
    </row>
    <row r="777" spans="1:17" x14ac:dyDescent="0.25">
      <c r="A777" t="s">
        <v>776</v>
      </c>
      <c r="B777" t="str" cm="1">
        <f t="array" ref="B777">INDEX(_xlfn.TEXTSPLIT(A777, " "), 1)</f>
        <v>329</v>
      </c>
      <c r="C777" t="str" cm="1">
        <f t="array" ref="C777">INDEX(_xlfn.TEXTSPLIT(B777, "-"), 1)</f>
        <v>329</v>
      </c>
      <c r="D777" t="str" cm="1">
        <f t="array" ref="D777">IFERROR(INDEX(_xlfn.TEXTSPLIT(B777, "-"), 2), "")</f>
        <v/>
      </c>
      <c r="E777" t="str">
        <f t="shared" si="36"/>
        <v>Alexander conquers Samarkand, Uzbekistan</v>
      </c>
      <c r="F777" t="str">
        <f t="shared" si="37"/>
        <v/>
      </c>
      <c r="H777" t="b">
        <f t="shared" si="38"/>
        <v>0</v>
      </c>
      <c r="J777" s="3" t="str">
        <v>329</v>
      </c>
      <c r="K777" s="4" t="str">
        <v>Alexander conquers Samarkand, Uzbekistan</v>
      </c>
      <c r="P777" t="str">
        <v>331</v>
      </c>
      <c r="Q777" t="str">
        <v>Gerasa (Jordan) is founded by Makedonian veterans</v>
      </c>
    </row>
    <row r="778" spans="1:17" x14ac:dyDescent="0.25">
      <c r="A778" t="s">
        <v>777</v>
      </c>
      <c r="B778" t="str" cm="1">
        <f t="array" ref="B778">INDEX(_xlfn.TEXTSPLIT(A778, " "), 1)</f>
        <v>329</v>
      </c>
      <c r="C778" t="str" cm="1">
        <f t="array" ref="C778">INDEX(_xlfn.TEXTSPLIT(B778, "-"), 1)</f>
        <v>329</v>
      </c>
      <c r="D778" t="str" cm="1">
        <f t="array" ref="D778">IFERROR(INDEX(_xlfn.TEXTSPLIT(B778, "-"), 2), "")</f>
        <v/>
      </c>
      <c r="E778" t="str">
        <f t="shared" si="36"/>
        <v>Alexander the Great founds Alexandria Eschate in modern Tajikistan</v>
      </c>
      <c r="F778" t="str">
        <f t="shared" si="37"/>
        <v/>
      </c>
      <c r="H778" t="b">
        <f t="shared" si="38"/>
        <v>0</v>
      </c>
      <c r="J778" s="3" t="str">
        <v>329</v>
      </c>
      <c r="K778" s="4" t="str">
        <v>Alexander the Great founds Alexandria Eschate in modern Tajikistan</v>
      </c>
      <c r="P778" t="str">
        <v>331</v>
      </c>
      <c r="Q778" t="str">
        <v>at Battle of Gaugamela October 1, Alexander ends Achaemenid Dynasty and conquers Persian Empire.</v>
      </c>
    </row>
    <row r="779" spans="1:17" x14ac:dyDescent="0.25">
      <c r="A779" t="s">
        <v>778</v>
      </c>
      <c r="B779" t="str" cm="1">
        <f t="array" ref="B779">INDEX(_xlfn.TEXTSPLIT(A779, " "), 1)</f>
        <v>329-160</v>
      </c>
      <c r="C779" t="str" cm="1">
        <f t="array" ref="C779">INDEX(_xlfn.TEXTSPLIT(B779, "-"), 1)</f>
        <v>329</v>
      </c>
      <c r="D779" t="str" cm="1">
        <f t="array" ref="D779">IFERROR(INDEX(_xlfn.TEXTSPLIT(B779, "-"), 2), "")</f>
        <v>160</v>
      </c>
      <c r="E779" t="str">
        <f t="shared" si="36"/>
        <v>Dayuan Kingdom.[13] --&gt;</v>
      </c>
      <c r="F779" t="str">
        <f t="shared" si="37"/>
        <v>--&gt; Dayuan Kingdom.[13]</v>
      </c>
      <c r="H779" t="b">
        <f t="shared" si="38"/>
        <v>1</v>
      </c>
      <c r="J779" s="3" t="str">
        <v>329</v>
      </c>
      <c r="K779" s="4" t="str">
        <v>Dayuan Kingdom.[13] --&gt;</v>
      </c>
      <c r="P779" t="str">
        <v>331</v>
      </c>
      <c r="Q779" t="str">
        <v>Alexander the Great enters in Babylon</v>
      </c>
    </row>
    <row r="780" spans="1:17" x14ac:dyDescent="0.25">
      <c r="A780" t="s">
        <v>779</v>
      </c>
      <c r="B780" t="str" cm="1">
        <f t="array" ref="B780">INDEX(_xlfn.TEXTSPLIT(A780, " "), 1)</f>
        <v>328</v>
      </c>
      <c r="C780" t="str" cm="1">
        <f t="array" ref="C780">INDEX(_xlfn.TEXTSPLIT(B780, "-"), 1)</f>
        <v>328</v>
      </c>
      <c r="D780" t="str" cm="1">
        <f t="array" ref="D780">IFERROR(INDEX(_xlfn.TEXTSPLIT(B780, "-"), 2), "")</f>
        <v/>
      </c>
      <c r="E780" t="str">
        <f t="shared" si="36"/>
        <v>Sybaris on the Traeis is annexed by Bruttian League</v>
      </c>
      <c r="F780" t="str">
        <f t="shared" si="37"/>
        <v/>
      </c>
      <c r="H780" t="b">
        <f t="shared" si="38"/>
        <v>0</v>
      </c>
      <c r="J780" s="3" t="str">
        <v>328</v>
      </c>
      <c r="K780" s="4" t="str">
        <v>Sybaris on the Traeis is annexed by Bruttian League</v>
      </c>
      <c r="P780" t="str">
        <v>331</v>
      </c>
      <c r="Q780" t="str">
        <v>Tauromenion is freed by Carthage</v>
      </c>
    </row>
    <row r="781" spans="1:17" x14ac:dyDescent="0.25">
      <c r="A781" t="s">
        <v>780</v>
      </c>
      <c r="B781" t="str" cm="1">
        <f t="array" ref="B781">INDEX(_xlfn.TEXTSPLIT(A781, " "), 1)</f>
        <v>327</v>
      </c>
      <c r="C781" t="str" cm="1">
        <f t="array" ref="C781">INDEX(_xlfn.TEXTSPLIT(B781, "-"), 1)</f>
        <v>327</v>
      </c>
      <c r="D781" t="str" cm="1">
        <f t="array" ref="D781">IFERROR(INDEX(_xlfn.TEXTSPLIT(B781, "-"), 2), "")</f>
        <v/>
      </c>
      <c r="E781" t="str">
        <f t="shared" si="36"/>
        <v>Oenidae is impressed into the Aetolian League</v>
      </c>
      <c r="F781" t="str">
        <f t="shared" si="37"/>
        <v/>
      </c>
      <c r="H781" t="b">
        <f t="shared" si="38"/>
        <v>0</v>
      </c>
      <c r="J781" s="3" t="str">
        <v>327</v>
      </c>
      <c r="K781" s="4" t="str">
        <v>Oenidae is impressed into the Aetolian League</v>
      </c>
      <c r="P781" t="str">
        <v>331</v>
      </c>
      <c r="Q781" t="str">
        <v>Battle of the Uxian Defile (East of Susa, Iran)</v>
      </c>
    </row>
    <row r="782" spans="1:17" x14ac:dyDescent="0.25">
      <c r="A782" t="s">
        <v>781</v>
      </c>
      <c r="B782" t="str" cm="1">
        <f t="array" ref="B782">INDEX(_xlfn.TEXTSPLIT(A782, " "), 1)</f>
        <v>327</v>
      </c>
      <c r="C782" t="str" cm="1">
        <f t="array" ref="C782">INDEX(_xlfn.TEXTSPLIT(B782, "-"), 1)</f>
        <v>327</v>
      </c>
      <c r="D782" t="str" cm="1">
        <f t="array" ref="D782">IFERROR(INDEX(_xlfn.TEXTSPLIT(B782, "-"), 2), "")</f>
        <v/>
      </c>
      <c r="E782" t="str">
        <f t="shared" si="36"/>
        <v>Under the command of Alexander the Great the forces of the Hellenic League captures the fortress of the Sogdian Rock. Sogdiana and the Kabul region came under Hellenic control</v>
      </c>
      <c r="F782" t="str">
        <f t="shared" si="37"/>
        <v/>
      </c>
      <c r="H782" t="b">
        <f t="shared" si="38"/>
        <v>0</v>
      </c>
      <c r="J782" s="3" t="str">
        <v>327</v>
      </c>
      <c r="K782" s="4" t="str">
        <v>Under the command of Alexander the Great the forces of the Hellenic League captures the fortress of the Sogdian Rock. Sogdiana and the Kabul region came under Hellenic control</v>
      </c>
      <c r="P782" t="str">
        <v>330</v>
      </c>
      <c r="Q782" t="str">
        <v>Sparta joins the League of Corinth</v>
      </c>
    </row>
    <row r="783" spans="1:17" x14ac:dyDescent="0.25">
      <c r="A783" t="s">
        <v>782</v>
      </c>
      <c r="B783" t="str" cm="1">
        <f t="array" ref="B783">INDEX(_xlfn.TEXTSPLIT(A783, " "), 1)</f>
        <v>327</v>
      </c>
      <c r="C783" t="str" cm="1">
        <f t="array" ref="C783">INDEX(_xlfn.TEXTSPLIT(B783, "-"), 1)</f>
        <v>327</v>
      </c>
      <c r="D783" t="str" cm="1">
        <f t="array" ref="D783">IFERROR(INDEX(_xlfn.TEXTSPLIT(B783, "-"), 2), "")</f>
        <v/>
      </c>
      <c r="E783" t="str">
        <f t="shared" si="36"/>
        <v>Alexander invades northern India, but his army is despondent and refuses to march further eastwards.</v>
      </c>
      <c r="F783" t="str">
        <f t="shared" si="37"/>
        <v/>
      </c>
      <c r="H783" t="b">
        <f t="shared" si="38"/>
        <v>0</v>
      </c>
      <c r="J783" s="3" t="str">
        <v>327</v>
      </c>
      <c r="K783" s="4" t="str">
        <v>Alexander invades northern India, but his army is despondent and refuses to march further eastwards.</v>
      </c>
      <c r="P783" t="str">
        <v>330</v>
      </c>
      <c r="Q783" t="str">
        <v>Battle of the Persian Gate, destruction of Persepolis (modern Iran)</v>
      </c>
    </row>
    <row r="784" spans="1:17" x14ac:dyDescent="0.25">
      <c r="A784" t="s">
        <v>783</v>
      </c>
      <c r="B784" t="str" cm="1">
        <f t="array" ref="B784">INDEX(_xlfn.TEXTSPLIT(A784, " "), 1)</f>
        <v>326</v>
      </c>
      <c r="C784" t="str" cm="1">
        <f t="array" ref="C784">INDEX(_xlfn.TEXTSPLIT(B784, "-"), 1)</f>
        <v>326</v>
      </c>
      <c r="D784" t="str" cm="1">
        <f t="array" ref="D784">IFERROR(INDEX(_xlfn.TEXTSPLIT(B784, "-"), 2), "")</f>
        <v/>
      </c>
      <c r="E784" t="str">
        <f t="shared" si="36"/>
        <v>Battle of the Hydaspes</v>
      </c>
      <c r="F784" t="str">
        <f t="shared" si="37"/>
        <v/>
      </c>
      <c r="H784" t="b">
        <f t="shared" si="38"/>
        <v>0</v>
      </c>
      <c r="J784" s="3" t="str">
        <v>326</v>
      </c>
      <c r="K784" s="4" t="str">
        <v>Battle of the Hydaspes</v>
      </c>
      <c r="P784" t="str">
        <v>330</v>
      </c>
      <c r="Q784" t="str">
        <v>Pytheas makes the earliest Greek voyage to Great Britain and the Arctic Circle for which there is a record. --&gt;</v>
      </c>
    </row>
    <row r="785" spans="1:17" x14ac:dyDescent="0.25">
      <c r="A785" t="s">
        <v>784</v>
      </c>
      <c r="B785" t="str" cm="1">
        <f t="array" ref="B785">INDEX(_xlfn.TEXTSPLIT(A785, " "), 1)</f>
        <v>326</v>
      </c>
      <c r="C785" t="str" cm="1">
        <f t="array" ref="C785">INDEX(_xlfn.TEXTSPLIT(B785, "-"), 1)</f>
        <v>326</v>
      </c>
      <c r="D785" t="str" cm="1">
        <f t="array" ref="D785">IFERROR(INDEX(_xlfn.TEXTSPLIT(B785, "-"), 2), "")</f>
        <v/>
      </c>
      <c r="E785" t="str">
        <f t="shared" si="36"/>
        <v>Samos joins the Delian League</v>
      </c>
      <c r="F785" t="str">
        <f t="shared" si="37"/>
        <v/>
      </c>
      <c r="H785" t="b">
        <f t="shared" si="38"/>
        <v>0</v>
      </c>
      <c r="J785" s="3" t="str">
        <v>326</v>
      </c>
      <c r="K785" s="4" t="str">
        <v>Samos joins the Delian League</v>
      </c>
      <c r="P785" t="str">
        <v>329</v>
      </c>
      <c r="Q785" t="str">
        <v>Siege of Cyropolis</v>
      </c>
    </row>
    <row r="786" spans="1:17" x14ac:dyDescent="0.25">
      <c r="A786" t="s">
        <v>785</v>
      </c>
      <c r="B786" t="str" cm="1">
        <f t="array" ref="B786">INDEX(_xlfn.TEXTSPLIT(A786, " "), 1)</f>
        <v>326</v>
      </c>
      <c r="C786" t="str" cm="1">
        <f t="array" ref="C786">INDEX(_xlfn.TEXTSPLIT(B786, "-"), 1)</f>
        <v>326</v>
      </c>
      <c r="D786" t="str" cm="1">
        <f t="array" ref="D786">IFERROR(INDEX(_xlfn.TEXTSPLIT(B786, "-"), 2), "")</f>
        <v/>
      </c>
      <c r="E786" t="str">
        <f t="shared" si="36"/>
        <v>Alexandria Bucephalous (located on the Hydaspes river, Pakistan) is founded by Alexander the Great in memory of his beloved horse Bucephalus</v>
      </c>
      <c r="F786" t="str">
        <f t="shared" si="37"/>
        <v/>
      </c>
      <c r="H786" t="b">
        <f t="shared" si="38"/>
        <v>0</v>
      </c>
      <c r="J786" s="3" t="str">
        <v>326</v>
      </c>
      <c r="K786" s="4" t="str">
        <v>Alexandria Bucephalous (located on the Hydaspes river, Pakistan) is founded by Alexander the Great in memory of his beloved horse Bucephalus</v>
      </c>
      <c r="P786" t="str">
        <v>329</v>
      </c>
      <c r="Q786" t="str">
        <v>Battle of Jaxartes</v>
      </c>
    </row>
    <row r="787" spans="1:17" x14ac:dyDescent="0.25">
      <c r="A787" t="s">
        <v>786</v>
      </c>
      <c r="B787" t="str" cm="1">
        <f t="array" ref="B787">INDEX(_xlfn.TEXTSPLIT(A787, " "), 1)</f>
        <v>325</v>
      </c>
      <c r="C787" t="str" cm="1">
        <f t="array" ref="C787">INDEX(_xlfn.TEXTSPLIT(B787, "-"), 1)</f>
        <v>325</v>
      </c>
      <c r="D787" t="str" cm="1">
        <f t="array" ref="D787">IFERROR(INDEX(_xlfn.TEXTSPLIT(B787, "-"), 2), "")</f>
        <v/>
      </c>
      <c r="E787" t="str">
        <f t="shared" si="36"/>
        <v>Nearchus serving under Alexander the Great discovers Tylos (the name used by the Greeks to refer to Bahrain).[14]</v>
      </c>
      <c r="F787" t="str">
        <f t="shared" si="37"/>
        <v/>
      </c>
      <c r="H787" t="b">
        <f t="shared" si="38"/>
        <v>0</v>
      </c>
      <c r="J787" s="3" t="str">
        <v>325</v>
      </c>
      <c r="K787" s="4" t="str">
        <v>Nearchus serving under Alexander the Great discovers Tylos (the name used by the Greeks to refer to Bahrain).[14]</v>
      </c>
      <c r="P787" t="str">
        <v>329</v>
      </c>
      <c r="Q787" t="str">
        <v>Alexander conquers Samarkand, Uzbekistan</v>
      </c>
    </row>
    <row r="788" spans="1:17" x14ac:dyDescent="0.25">
      <c r="A788" t="s">
        <v>787</v>
      </c>
      <c r="B788" t="str" cm="1">
        <f t="array" ref="B788">INDEX(_xlfn.TEXTSPLIT(A788, " "), 1)</f>
        <v>324</v>
      </c>
      <c r="C788" t="str" cm="1">
        <f t="array" ref="C788">INDEX(_xlfn.TEXTSPLIT(B788, "-"), 1)</f>
        <v>324</v>
      </c>
      <c r="D788" t="str" cm="1">
        <f t="array" ref="D788">IFERROR(INDEX(_xlfn.TEXTSPLIT(B788, "-"), 2), "")</f>
        <v/>
      </c>
      <c r="E788" t="str">
        <f t="shared" si="36"/>
        <v>Kroton is overthrown by Menedemus</v>
      </c>
      <c r="F788" t="str">
        <f t="shared" si="37"/>
        <v/>
      </c>
      <c r="H788" t="b">
        <f t="shared" si="38"/>
        <v>0</v>
      </c>
      <c r="J788" s="3" t="str">
        <v>324</v>
      </c>
      <c r="K788" s="4" t="str">
        <v>Kroton is overthrown by Menedemus</v>
      </c>
      <c r="P788" t="str">
        <v>329</v>
      </c>
      <c r="Q788" t="str">
        <v>Alexander the Great founds Alexandria Eschate in modern Tajikistan</v>
      </c>
    </row>
    <row r="789" spans="1:17" x14ac:dyDescent="0.25">
      <c r="A789" t="s">
        <v>788</v>
      </c>
      <c r="B789" t="str" cm="1">
        <f t="array" ref="B789">INDEX(_xlfn.TEXTSPLIT(A789, " "), 1)</f>
        <v>324</v>
      </c>
      <c r="C789" t="str" cm="1">
        <f t="array" ref="C789">INDEX(_xlfn.TEXTSPLIT(B789, "-"), 1)</f>
        <v>324</v>
      </c>
      <c r="D789" t="str" cm="1">
        <f t="array" ref="D789">IFERROR(INDEX(_xlfn.TEXTSPLIT(B789, "-"), 2), "")</f>
        <v/>
      </c>
      <c r="E789" t="str">
        <f t="shared" si="36"/>
        <v>Charax Spasinu, one of Alexander's last cities before his death, is established at the head of the Persian Gulf (modern Iran) replacing a small Persian settlement, Durine.[15]</v>
      </c>
      <c r="F789" t="str">
        <f t="shared" si="37"/>
        <v/>
      </c>
      <c r="H789" t="b">
        <f t="shared" si="38"/>
        <v>0</v>
      </c>
      <c r="J789" s="3" t="str">
        <v>324</v>
      </c>
      <c r="K789" s="4" t="str">
        <v>Charax Spasinu, one of Alexander's last cities before his death, is established at the head of the Persian Gulf (modern Iran) replacing a small Persian settlement, Durine.[15]</v>
      </c>
      <c r="P789" t="str">
        <v>329</v>
      </c>
      <c r="Q789" t="str">
        <v>Dayuan Kingdom.[13] --&gt;</v>
      </c>
    </row>
    <row r="790" spans="1:17" x14ac:dyDescent="0.25">
      <c r="A790" t="s">
        <v>789</v>
      </c>
      <c r="B790" t="str" cm="1">
        <f t="array" ref="B790">INDEX(_xlfn.TEXTSPLIT(A790, " "), 1)</f>
        <v>323</v>
      </c>
      <c r="C790" t="str" cm="1">
        <f t="array" ref="C790">INDEX(_xlfn.TEXTSPLIT(B790, "-"), 1)</f>
        <v>323</v>
      </c>
      <c r="D790" t="str" cm="1">
        <f t="array" ref="D790">IFERROR(INDEX(_xlfn.TEXTSPLIT(B790, "-"), 2), "")</f>
        <v/>
      </c>
      <c r="E790" t="str">
        <f t="shared" si="36"/>
        <v>King Alexander dies, his generals vie for power in Wars of the Diadochi</v>
      </c>
      <c r="F790" t="str">
        <f t="shared" si="37"/>
        <v/>
      </c>
      <c r="H790" t="b">
        <f t="shared" si="38"/>
        <v>0</v>
      </c>
      <c r="J790" s="3" t="str">
        <v>323</v>
      </c>
      <c r="K790" s="4" t="str">
        <v>King Alexander dies, his generals vie for power in Wars of the Diadochi</v>
      </c>
      <c r="P790" t="str">
        <v>328</v>
      </c>
      <c r="Q790" t="str">
        <v>Sybaris on the Traeis is annexed by Bruttian League</v>
      </c>
    </row>
    <row r="791" spans="1:17" x14ac:dyDescent="0.25">
      <c r="A791" t="s">
        <v>790</v>
      </c>
      <c r="B791" t="str" cm="1">
        <f t="array" ref="B791">INDEX(_xlfn.TEXTSPLIT(A791, " "), 1)</f>
        <v>322-320</v>
      </c>
      <c r="C791" t="str" cm="1">
        <f t="array" ref="C791">INDEX(_xlfn.TEXTSPLIT(B791, "-"), 1)</f>
        <v>322</v>
      </c>
      <c r="D791" t="str" cm="1">
        <f t="array" ref="D791">IFERROR(INDEX(_xlfn.TEXTSPLIT(B791, "-"), 2), "")</f>
        <v>320</v>
      </c>
      <c r="E791" t="str">
        <f t="shared" si="36"/>
        <v>First War of the Diadochi. --&gt;</v>
      </c>
      <c r="F791" t="str">
        <f t="shared" si="37"/>
        <v>--&gt; First War of the Diadochi.</v>
      </c>
      <c r="H791" t="b">
        <f t="shared" si="38"/>
        <v>1</v>
      </c>
      <c r="J791" s="3" t="str">
        <v>322</v>
      </c>
      <c r="K791" s="4" t="str">
        <v>First War of the Diadochi. --&gt;</v>
      </c>
      <c r="P791" t="str">
        <v>327</v>
      </c>
      <c r="Q791" t="str">
        <v>Oenidae is impressed into the Aetolian League</v>
      </c>
    </row>
    <row r="792" spans="1:17" x14ac:dyDescent="0.25">
      <c r="A792" t="s">
        <v>791</v>
      </c>
      <c r="B792" t="str" cm="1">
        <f t="array" ref="B792">INDEX(_xlfn.TEXTSPLIT(A792, " "), 1)</f>
        <v>320</v>
      </c>
      <c r="C792" t="str" cm="1">
        <f t="array" ref="C792">INDEX(_xlfn.TEXTSPLIT(B792, "-"), 1)</f>
        <v>320</v>
      </c>
      <c r="D792" t="str" cm="1">
        <f t="array" ref="D792">IFERROR(INDEX(_xlfn.TEXTSPLIT(B792, "-"), 2), "")</f>
        <v/>
      </c>
      <c r="E792" t="str">
        <f t="shared" si="36"/>
        <v>Partition of Triparadisus</v>
      </c>
      <c r="F792" t="str">
        <f t="shared" si="37"/>
        <v/>
      </c>
      <c r="H792" t="b">
        <f t="shared" si="38"/>
        <v>0</v>
      </c>
      <c r="J792" s="3" t="str">
        <v>320</v>
      </c>
      <c r="K792" s="4" t="str">
        <v>Partition of Triparadisus</v>
      </c>
      <c r="P792" t="str">
        <v>327</v>
      </c>
      <c r="Q792" t="str">
        <v>Under the command of Alexander the Great the forces of the Hellenic League captures the fortress of the Sogdian Rock. Sogdiana and the Kabul region came under Hellenic control</v>
      </c>
    </row>
    <row r="793" spans="1:17" x14ac:dyDescent="0.25">
      <c r="A793" t="s">
        <v>792</v>
      </c>
      <c r="B793" t="str" cm="1">
        <f t="array" ref="B793">INDEX(_xlfn.TEXTSPLIT(A793, " "), 1)</f>
        <v>320-311</v>
      </c>
      <c r="C793" t="str" cm="1">
        <f t="array" ref="C793">INDEX(_xlfn.TEXTSPLIT(B793, "-"), 1)</f>
        <v>320</v>
      </c>
      <c r="D793" t="str" cm="1">
        <f t="array" ref="D793">IFERROR(INDEX(_xlfn.TEXTSPLIT(B793, "-"), 2), "")</f>
        <v>311</v>
      </c>
      <c r="E793" t="str">
        <f t="shared" si="36"/>
        <v>Second War of the Diadochi --&gt;</v>
      </c>
      <c r="F793" t="str">
        <f t="shared" si="37"/>
        <v>--&gt; Second War of the Diadochi</v>
      </c>
      <c r="H793" t="b">
        <f t="shared" si="38"/>
        <v>1</v>
      </c>
      <c r="J793" s="3" t="str">
        <v>320</v>
      </c>
      <c r="K793" s="4" t="str">
        <v>Second War of the Diadochi --&gt;</v>
      </c>
      <c r="P793" t="str">
        <v>327</v>
      </c>
      <c r="Q793" t="str">
        <v>Alexander invades northern India, but his army is despondent and refuses to march further eastwards.</v>
      </c>
    </row>
    <row r="794" spans="1:17" x14ac:dyDescent="0.25">
      <c r="A794" t="s">
        <v>793</v>
      </c>
      <c r="B794" t="str" cm="1">
        <f t="array" ref="B794">INDEX(_xlfn.TEXTSPLIT(A794, " "), 1)</f>
        <v>316</v>
      </c>
      <c r="C794" t="str" cm="1">
        <f t="array" ref="C794">INDEX(_xlfn.TEXTSPLIT(B794, "-"), 1)</f>
        <v>316</v>
      </c>
      <c r="D794" t="str" cm="1">
        <f t="array" ref="D794">IFERROR(INDEX(_xlfn.TEXTSPLIT(B794, "-"), 2), "")</f>
        <v/>
      </c>
      <c r="E794" t="str">
        <f t="shared" si="36"/>
        <v>Menander, Greek playwright, wins Athenian prize.</v>
      </c>
      <c r="F794" t="str">
        <f t="shared" si="37"/>
        <v/>
      </c>
      <c r="H794" t="b">
        <f t="shared" si="38"/>
        <v>0</v>
      </c>
      <c r="J794" s="3" t="str">
        <v>316</v>
      </c>
      <c r="K794" s="4" t="str">
        <v>Menander, Greek playwright, wins Athenian prize.</v>
      </c>
      <c r="P794" t="str">
        <v>326</v>
      </c>
      <c r="Q794" t="str">
        <v>Battle of the Hydaspes</v>
      </c>
    </row>
    <row r="795" spans="1:17" x14ac:dyDescent="0.25">
      <c r="A795" t="s">
        <v>794</v>
      </c>
      <c r="B795" t="str" cm="1">
        <f t="array" ref="B795">INDEX(_xlfn.TEXTSPLIT(A795, " "), 1)</f>
        <v>312-63</v>
      </c>
      <c r="C795" t="str" cm="1">
        <f t="array" ref="C795">INDEX(_xlfn.TEXTSPLIT(B795, "-"), 1)</f>
        <v>312</v>
      </c>
      <c r="D795" t="str" cm="1">
        <f t="array" ref="D795">IFERROR(INDEX(_xlfn.TEXTSPLIT(B795, "-"), 2), "")</f>
        <v>63</v>
      </c>
      <c r="E795" t="str">
        <f t="shared" si="36"/>
        <v>Seleucid Empire --&gt;</v>
      </c>
      <c r="F795" t="str">
        <f t="shared" si="37"/>
        <v>--&gt; Seleucid Empire</v>
      </c>
      <c r="H795" t="b">
        <f t="shared" si="38"/>
        <v>1</v>
      </c>
      <c r="J795" s="3" t="str">
        <v>312</v>
      </c>
      <c r="K795" s="4" t="str">
        <v>Seleucid Empire --&gt;</v>
      </c>
      <c r="P795" t="str">
        <v>326</v>
      </c>
      <c r="Q795" t="str">
        <v>Samos joins the Delian League</v>
      </c>
    </row>
    <row r="796" spans="1:17" x14ac:dyDescent="0.25">
      <c r="A796" t="s">
        <v>795</v>
      </c>
      <c r="B796" t="str" cm="1">
        <f t="array" ref="B796">INDEX(_xlfn.TEXTSPLIT(A796, " "), 1)</f>
        <v>310</v>
      </c>
      <c r="C796" t="str" cm="1">
        <f t="array" ref="C796">INDEX(_xlfn.TEXTSPLIT(B796, "-"), 1)</f>
        <v>310</v>
      </c>
      <c r="D796" t="str" cm="1">
        <f t="array" ref="D796">IFERROR(INDEX(_xlfn.TEXTSPLIT(B796, "-"), 2), "")</f>
        <v/>
      </c>
      <c r="E796" t="str">
        <f t="shared" si="36"/>
        <v>Zeno of Citium founds his stoic school in Athens.</v>
      </c>
      <c r="F796" t="str">
        <f t="shared" si="37"/>
        <v/>
      </c>
      <c r="H796" t="b">
        <f t="shared" si="38"/>
        <v>0</v>
      </c>
      <c r="J796" s="3" t="str">
        <v>310</v>
      </c>
      <c r="K796" s="4" t="str">
        <v>Zeno of Citium founds his stoic school in Athens.</v>
      </c>
      <c r="P796" t="str">
        <v>326</v>
      </c>
      <c r="Q796" t="str">
        <v>Alexandria Bucephalous (located on the Hydaspes river, Pakistan) is founded by Alexander the Great in memory of his beloved horse Bucephalus</v>
      </c>
    </row>
    <row r="797" spans="1:17" x14ac:dyDescent="0.25">
      <c r="A797" t="s">
        <v>796</v>
      </c>
      <c r="B797" t="str" cm="1">
        <f t="array" ref="B797">INDEX(_xlfn.TEXTSPLIT(A797, " "), 1)</f>
        <v>310</v>
      </c>
      <c r="C797" t="str" cm="1">
        <f t="array" ref="C797">INDEX(_xlfn.TEXTSPLIT(B797, "-"), 1)</f>
        <v>310</v>
      </c>
      <c r="D797" t="str" cm="1">
        <f t="array" ref="D797">IFERROR(INDEX(_xlfn.TEXTSPLIT(B797, "-"), 2), "")</f>
        <v/>
      </c>
      <c r="E797" t="str">
        <f t="shared" si="36"/>
        <v>Battle of White Tunis (near modern Tunis, Tunisia)</v>
      </c>
      <c r="F797" t="str">
        <f t="shared" si="37"/>
        <v/>
      </c>
      <c r="H797" t="b">
        <f t="shared" si="38"/>
        <v>0</v>
      </c>
      <c r="J797" s="3" t="str">
        <v>310</v>
      </c>
      <c r="K797" s="4" t="str">
        <v>Battle of White Tunis (near modern Tunis, Tunisia)</v>
      </c>
      <c r="P797" t="str">
        <v>325</v>
      </c>
      <c r="Q797" t="str">
        <v>Nearchus serving under Alexander the Great discovers Tylos (the name used by the Greeks to refer to Bahrain).[14]</v>
      </c>
    </row>
    <row r="798" spans="1:17" x14ac:dyDescent="0.25">
      <c r="A798" t="s">
        <v>797</v>
      </c>
      <c r="B798" t="str" cm="1">
        <f t="array" ref="B798">INDEX(_xlfn.TEXTSPLIT(A798, " "), 1)</f>
        <v>307</v>
      </c>
      <c r="C798" t="str" cm="1">
        <f t="array" ref="C798">INDEX(_xlfn.TEXTSPLIT(B798, "-"), 1)</f>
        <v>307</v>
      </c>
      <c r="D798" t="str" cm="1">
        <f t="array" ref="D798">IFERROR(INDEX(_xlfn.TEXTSPLIT(B798, "-"), 2), "")</f>
        <v/>
      </c>
      <c r="E798" t="str">
        <f t="shared" si="36"/>
        <v>Epicurus founds his philosophic school in Athens.</v>
      </c>
      <c r="F798" t="str">
        <f t="shared" si="37"/>
        <v/>
      </c>
      <c r="H798" t="b">
        <f t="shared" si="38"/>
        <v>0</v>
      </c>
      <c r="J798" s="3" t="str">
        <v>307</v>
      </c>
      <c r="K798" s="4" t="str">
        <v>Epicurus founds his philosophic school in Athens.</v>
      </c>
      <c r="P798" t="str">
        <v>325</v>
      </c>
      <c r="Q798" t="str">
        <v>--&gt; Pytheas makes the earliest Greek voyage to Great Britain and the Arctic Circle for which there is a record.</v>
      </c>
    </row>
    <row r="799" spans="1:17" x14ac:dyDescent="0.25">
      <c r="A799" t="s">
        <v>798</v>
      </c>
      <c r="B799" t="str" cm="1">
        <f t="array" ref="B799">INDEX(_xlfn.TEXTSPLIT(A799, " "), 1)</f>
        <v>305-30</v>
      </c>
      <c r="C799" t="str" cm="1">
        <f t="array" ref="C799">INDEX(_xlfn.TEXTSPLIT(B799, "-"), 1)</f>
        <v>305</v>
      </c>
      <c r="D799" t="str" cm="1">
        <f t="array" ref="D799">IFERROR(INDEX(_xlfn.TEXTSPLIT(B799, "-"), 2), "")</f>
        <v>30</v>
      </c>
      <c r="E799" t="str">
        <f t="shared" si="36"/>
        <v>Ptolemaic Kingdom --&gt;</v>
      </c>
      <c r="F799" t="str">
        <f t="shared" si="37"/>
        <v>--&gt; Ptolemaic Kingdom</v>
      </c>
      <c r="H799" t="b">
        <f t="shared" si="38"/>
        <v>1</v>
      </c>
      <c r="J799" s="3" t="str">
        <v>305</v>
      </c>
      <c r="K799" s="4" t="str">
        <v>Ptolemaic Kingdom --&gt;</v>
      </c>
      <c r="P799" t="str">
        <v>324</v>
      </c>
      <c r="Q799" t="str">
        <v>Kroton is overthrown by Menedemus</v>
      </c>
    </row>
    <row r="800" spans="1:17" x14ac:dyDescent="0.25">
      <c r="A800" t="s">
        <v>799</v>
      </c>
      <c r="B800" t="str" cm="1">
        <f t="array" ref="B800">INDEX(_xlfn.TEXTSPLIT(A800, " "), 1)</f>
        <v>305</v>
      </c>
      <c r="C800" t="str" cm="1">
        <f t="array" ref="C800">INDEX(_xlfn.TEXTSPLIT(B800, "-"), 1)</f>
        <v>305</v>
      </c>
      <c r="D800" t="str" cm="1">
        <f t="array" ref="D800">IFERROR(INDEX(_xlfn.TEXTSPLIT(B800, "-"), 2), "")</f>
        <v/>
      </c>
      <c r="E800" t="str">
        <f t="shared" si="36"/>
        <v>Seleucia, also known as Seleucia-on-Tigris or Seleucia on the Tigris (modern Iraq) is founded by Seleucus I Nicator</v>
      </c>
      <c r="F800" t="str">
        <f t="shared" si="37"/>
        <v/>
      </c>
      <c r="H800" t="b">
        <f t="shared" si="38"/>
        <v>0</v>
      </c>
      <c r="J800" s="3" t="str">
        <v>305</v>
      </c>
      <c r="K800" s="4" t="str">
        <v>Seleucia, also known as Seleucia-on-Tigris or Seleucia on the Tigris (modern Iraq) is founded by Seleucus I Nicator</v>
      </c>
      <c r="P800" t="str">
        <v>324</v>
      </c>
      <c r="Q800" t="str">
        <v>Charax Spasinu, one of Alexander's last cities before his death, is established at the head of the Persian Gulf (modern Iran) replacing a small Persian settlement, Durine.[15]</v>
      </c>
    </row>
    <row r="801" spans="1:17" x14ac:dyDescent="0.25">
      <c r="A801" t="s">
        <v>800</v>
      </c>
      <c r="B801" t="str" cm="1">
        <f t="array" ref="B801">INDEX(_xlfn.TEXTSPLIT(A801, " "), 1)</f>
        <v>301</v>
      </c>
      <c r="C801" t="str" cm="1">
        <f t="array" ref="C801">INDEX(_xlfn.TEXTSPLIT(B801, "-"), 1)</f>
        <v>301</v>
      </c>
      <c r="D801" t="str" cm="1">
        <f t="array" ref="D801">IFERROR(INDEX(_xlfn.TEXTSPLIT(B801, "-"), 2), "")</f>
        <v/>
      </c>
      <c r="E801" t="str">
        <f t="shared" si="36"/>
        <v>Battle of Ipsus</v>
      </c>
      <c r="F801" t="str">
        <f t="shared" si="37"/>
        <v/>
      </c>
      <c r="H801" t="b">
        <f t="shared" si="38"/>
        <v>0</v>
      </c>
      <c r="J801" s="3" t="str">
        <v>301</v>
      </c>
      <c r="K801" s="4" t="str">
        <v>Battle of Ipsus</v>
      </c>
      <c r="P801" t="str">
        <v>323</v>
      </c>
      <c r="Q801" t="str">
        <v>King Alexander dies, his generals vie for power in Wars of the Diadochi</v>
      </c>
    </row>
    <row r="802" spans="1:17" x14ac:dyDescent="0.25">
      <c r="A802" t="s">
        <v>801</v>
      </c>
      <c r="B802" t="str" cm="1">
        <f t="array" ref="B802">INDEX(_xlfn.TEXTSPLIT(A802, " "), 1)</f>
        <v>300</v>
      </c>
      <c r="C802" t="str" cm="1">
        <f t="array" ref="C802">INDEX(_xlfn.TEXTSPLIT(B802, "-"), 1)</f>
        <v>300</v>
      </c>
      <c r="D802" t="str" cm="1">
        <f t="array" ref="D802">IFERROR(INDEX(_xlfn.TEXTSPLIT(B802, "-"), 2), "")</f>
        <v/>
      </c>
      <c r="E802" t="str">
        <f t="shared" si="36"/>
        <v>Antioch, is founded by Seleucus I Nicator in honor of his father Antiochus</v>
      </c>
      <c r="F802" t="str">
        <f t="shared" si="37"/>
        <v/>
      </c>
      <c r="H802" t="b">
        <f t="shared" si="38"/>
        <v>0</v>
      </c>
      <c r="J802" s="3" t="str">
        <v>300</v>
      </c>
      <c r="K802" s="4" t="str">
        <v>Antioch, is founded by Seleucus I Nicator in honor of his father Antiochus</v>
      </c>
      <c r="P802" t="str">
        <v>322</v>
      </c>
      <c r="Q802" t="str">
        <v>First War of the Diadochi. --&gt;</v>
      </c>
    </row>
    <row r="803" spans="1:17" x14ac:dyDescent="0.25">
      <c r="A803" t="s">
        <v>802</v>
      </c>
      <c r="B803" t="str" cm="1">
        <f t="array" ref="B803">INDEX(_xlfn.TEXTSPLIT(A803, " "), 1)</f>
        <v>300</v>
      </c>
      <c r="C803" t="str" cm="1">
        <f t="array" ref="C803">INDEX(_xlfn.TEXTSPLIT(B803, "-"), 1)</f>
        <v>300</v>
      </c>
      <c r="D803" t="str" cm="1">
        <f t="array" ref="D803">IFERROR(INDEX(_xlfn.TEXTSPLIT(B803, "-"), 2), "")</f>
        <v/>
      </c>
      <c r="E803" t="str">
        <f t="shared" si="36"/>
        <v>Euclid, Greek mathematician, publishes Elements, treating both geometry and number theory (see also Euclidean algorithm).</v>
      </c>
      <c r="F803" t="str">
        <f t="shared" si="37"/>
        <v/>
      </c>
      <c r="H803" t="b">
        <f t="shared" si="38"/>
        <v>0</v>
      </c>
      <c r="J803" s="3" t="str">
        <v>300</v>
      </c>
      <c r="K803" s="4" t="str">
        <v>Euclid, Greek mathematician, publishes Elements, treating both geometry and number theory (see also Euclidean algorithm).</v>
      </c>
      <c r="P803" t="str">
        <v>320</v>
      </c>
      <c r="Q803" t="str">
        <v>Partition of Triparadisus</v>
      </c>
    </row>
    <row r="804" spans="1:17" x14ac:dyDescent="0.25">
      <c r="A804" t="s">
        <v>803</v>
      </c>
      <c r="B804" t="str" cm="1">
        <f t="array" ref="B804">INDEX(_xlfn.TEXTSPLIT(A804, " "), 1)</f>
        <v>295</v>
      </c>
      <c r="C804" t="str" cm="1">
        <f t="array" ref="C804">INDEX(_xlfn.TEXTSPLIT(B804, "-"), 1)</f>
        <v>295</v>
      </c>
      <c r="D804" t="str" cm="1">
        <f t="array" ref="D804">IFERROR(INDEX(_xlfn.TEXTSPLIT(B804, "-"), 2), "")</f>
        <v/>
      </c>
      <c r="E804" t="str">
        <f t="shared" si="36"/>
        <v>Athens falls to Demetrius, Lachares killed.</v>
      </c>
      <c r="F804" t="str">
        <f t="shared" si="37"/>
        <v/>
      </c>
      <c r="H804" t="b">
        <f t="shared" si="38"/>
        <v>0</v>
      </c>
      <c r="J804" s="3" t="str">
        <v>295</v>
      </c>
      <c r="K804" s="4" t="str">
        <v>Athens falls to Demetrius, Lachares killed.</v>
      </c>
      <c r="P804" t="str">
        <v>320</v>
      </c>
      <c r="Q804" t="str">
        <v>Second War of the Diadochi --&gt;</v>
      </c>
    </row>
    <row r="805" spans="1:17" x14ac:dyDescent="0.25">
      <c r="A805" t="s">
        <v>804</v>
      </c>
      <c r="B805" t="str" cm="1">
        <f t="array" ref="B805">INDEX(_xlfn.TEXTSPLIT(A805, " "), 1)</f>
        <v>282-133</v>
      </c>
      <c r="C805" t="str" cm="1">
        <f t="array" ref="C805">INDEX(_xlfn.TEXTSPLIT(B805, "-"), 1)</f>
        <v>282</v>
      </c>
      <c r="D805" t="str" cm="1">
        <f t="array" ref="D805">IFERROR(INDEX(_xlfn.TEXTSPLIT(B805, "-"), 2), "")</f>
        <v>133</v>
      </c>
      <c r="E805" t="str">
        <f t="shared" si="36"/>
        <v>Kingdom of Pergamon --&gt;</v>
      </c>
      <c r="F805" t="str">
        <f t="shared" si="37"/>
        <v>--&gt; Kingdom of Pergamon</v>
      </c>
      <c r="H805" t="b">
        <f t="shared" si="38"/>
        <v>1</v>
      </c>
      <c r="J805" s="3" t="str">
        <v>282</v>
      </c>
      <c r="K805" s="4" t="str">
        <v>Kingdom of Pergamon --&gt;</v>
      </c>
      <c r="P805" t="str">
        <v>320</v>
      </c>
      <c r="Q805" t="str">
        <v>--&gt; First War of the Diadochi.</v>
      </c>
    </row>
    <row r="806" spans="1:17" x14ac:dyDescent="0.25">
      <c r="A806" t="s">
        <v>805</v>
      </c>
      <c r="B806" t="str" cm="1">
        <f t="array" ref="B806">INDEX(_xlfn.TEXTSPLIT(A806, " "), 1)</f>
        <v>281</v>
      </c>
      <c r="C806" t="str" cm="1">
        <f t="array" ref="C806">INDEX(_xlfn.TEXTSPLIT(B806, "-"), 1)</f>
        <v>281</v>
      </c>
      <c r="D806" t="str" cm="1">
        <f t="array" ref="D806">IFERROR(INDEX(_xlfn.TEXTSPLIT(B806, "-"), 2), "")</f>
        <v/>
      </c>
      <c r="E806" t="str">
        <f t="shared" si="36"/>
        <v>Creation of the Achaean League</v>
      </c>
      <c r="F806" t="str">
        <f t="shared" si="37"/>
        <v/>
      </c>
      <c r="H806" t="b">
        <f t="shared" si="38"/>
        <v>0</v>
      </c>
      <c r="J806" s="3" t="str">
        <v>281</v>
      </c>
      <c r="K806" s="4" t="str">
        <v>Creation of the Achaean League</v>
      </c>
      <c r="P806" t="str">
        <v>316</v>
      </c>
      <c r="Q806" t="str">
        <v>Menander, Greek playwright, wins Athenian prize.</v>
      </c>
    </row>
    <row r="807" spans="1:17" x14ac:dyDescent="0.25">
      <c r="A807" t="s">
        <v>806</v>
      </c>
      <c r="B807" t="str" cm="1">
        <f t="array" ref="B807">INDEX(_xlfn.TEXTSPLIT(A807, " "), 1)</f>
        <v>280</v>
      </c>
      <c r="C807" t="str" cm="1">
        <f t="array" ref="C807">INDEX(_xlfn.TEXTSPLIT(B807, "-"), 1)</f>
        <v>280</v>
      </c>
      <c r="D807" t="str" cm="1">
        <f t="array" ref="D807">IFERROR(INDEX(_xlfn.TEXTSPLIT(B807, "-"), 2), "")</f>
        <v/>
      </c>
      <c r="E807" t="str">
        <f t="shared" si="36"/>
        <v>The Greek colony of Aspálathos (Aσπάλαθος) is founded (modern day Split).</v>
      </c>
      <c r="F807" t="str">
        <f t="shared" si="37"/>
        <v/>
      </c>
      <c r="H807" t="b">
        <f t="shared" si="38"/>
        <v>0</v>
      </c>
      <c r="J807" s="3" t="str">
        <v>280</v>
      </c>
      <c r="K807" s="4" t="str">
        <v>The Greek colony of Aspálathos (Aσπάλαθος) is founded (modern day Split).</v>
      </c>
      <c r="P807" t="str">
        <v>312</v>
      </c>
      <c r="Q807" t="str">
        <v>Seleucid Empire --&gt;</v>
      </c>
    </row>
    <row r="808" spans="1:17" x14ac:dyDescent="0.25">
      <c r="A808" t="s">
        <v>807</v>
      </c>
      <c r="B808" t="str" cm="1">
        <f t="array" ref="B808">INDEX(_xlfn.TEXTSPLIT(A808, " "), 1)</f>
        <v>280-275</v>
      </c>
      <c r="C808" t="str" cm="1">
        <f t="array" ref="C808">INDEX(_xlfn.TEXTSPLIT(B808, "-"), 1)</f>
        <v>280</v>
      </c>
      <c r="D808" t="str" cm="1">
        <f t="array" ref="D808">IFERROR(INDEX(_xlfn.TEXTSPLIT(B808, "-"), 2), "")</f>
        <v>275</v>
      </c>
      <c r="E808" t="str">
        <f t="shared" si="36"/>
        <v>Pyrrhic War --&gt;</v>
      </c>
      <c r="F808" t="str">
        <f t="shared" si="37"/>
        <v>--&gt; Pyrrhic War</v>
      </c>
      <c r="H808" t="b">
        <f t="shared" si="38"/>
        <v>1</v>
      </c>
      <c r="J808" s="3" t="str">
        <v>280</v>
      </c>
      <c r="K808" s="4" t="str">
        <v>Pyrrhic War --&gt;</v>
      </c>
      <c r="P808" t="str">
        <v>311</v>
      </c>
      <c r="Q808" t="str">
        <v>--&gt; Second War of the Diadochi</v>
      </c>
    </row>
    <row r="809" spans="1:17" x14ac:dyDescent="0.25">
      <c r="A809" t="s">
        <v>808</v>
      </c>
      <c r="B809" t="str" cm="1">
        <f t="array" ref="B809">INDEX(_xlfn.TEXTSPLIT(A809, " "), 1)</f>
        <v>279</v>
      </c>
      <c r="C809" t="str" cm="1">
        <f t="array" ref="C809">INDEX(_xlfn.TEXTSPLIT(B809, "-"), 1)</f>
        <v>279</v>
      </c>
      <c r="D809" t="str" cm="1">
        <f t="array" ref="D809">IFERROR(INDEX(_xlfn.TEXTSPLIT(B809, "-"), 2), "")</f>
        <v/>
      </c>
      <c r="E809" t="str">
        <f t="shared" si="36"/>
        <v>Gallic invasion of the Balkans</v>
      </c>
      <c r="F809" t="str">
        <f t="shared" si="37"/>
        <v/>
      </c>
      <c r="H809" t="b">
        <f t="shared" si="38"/>
        <v>0</v>
      </c>
      <c r="J809" s="3" t="str">
        <v>279</v>
      </c>
      <c r="K809" s="4" t="str">
        <v>Gallic invasion of the Balkans</v>
      </c>
      <c r="P809" t="str">
        <v>310</v>
      </c>
      <c r="Q809" t="str">
        <v>Zeno of Citium founds his stoic school in Athens.</v>
      </c>
    </row>
    <row r="810" spans="1:17" x14ac:dyDescent="0.25">
      <c r="A810" t="s">
        <v>809</v>
      </c>
      <c r="B810" t="str" cm="1">
        <f t="array" ref="B810">INDEX(_xlfn.TEXTSPLIT(A810, " "), 1)</f>
        <v>276</v>
      </c>
      <c r="C810" t="str" cm="1">
        <f t="array" ref="C810">INDEX(_xlfn.TEXTSPLIT(B810, "-"), 1)</f>
        <v>276</v>
      </c>
      <c r="D810" t="str" cm="1">
        <f t="array" ref="D810">IFERROR(INDEX(_xlfn.TEXTSPLIT(B810, "-"), 2), "")</f>
        <v/>
      </c>
      <c r="E810" t="str">
        <f t="shared" si="36"/>
        <v>Eratosthenes is born.</v>
      </c>
      <c r="F810" t="str">
        <f t="shared" si="37"/>
        <v/>
      </c>
      <c r="H810" t="b">
        <f t="shared" si="38"/>
        <v>0</v>
      </c>
      <c r="J810" s="3" t="str">
        <v>276</v>
      </c>
      <c r="K810" s="4" t="str">
        <v>Eratosthenes is born.</v>
      </c>
      <c r="P810" t="str">
        <v>310</v>
      </c>
      <c r="Q810" t="str">
        <v>Battle of White Tunis (near modern Tunis, Tunisia)</v>
      </c>
    </row>
    <row r="811" spans="1:17" x14ac:dyDescent="0.25">
      <c r="A811" t="s">
        <v>810</v>
      </c>
      <c r="B811" t="str" cm="1">
        <f t="array" ref="B811">INDEX(_xlfn.TEXTSPLIT(A811, " "), 1)</f>
        <v>274-271</v>
      </c>
      <c r="C811" t="str" cm="1">
        <f t="array" ref="C811">INDEX(_xlfn.TEXTSPLIT(B811, "-"), 1)</f>
        <v>274</v>
      </c>
      <c r="D811" t="str" cm="1">
        <f t="array" ref="D811">IFERROR(INDEX(_xlfn.TEXTSPLIT(B811, "-"), 2), "")</f>
        <v>271</v>
      </c>
      <c r="E811" t="str">
        <f t="shared" si="36"/>
        <v>First Syrian War --&gt;</v>
      </c>
      <c r="F811" t="str">
        <f t="shared" si="37"/>
        <v>--&gt; First Syrian War</v>
      </c>
      <c r="H811" t="b">
        <f t="shared" si="38"/>
        <v>1</v>
      </c>
      <c r="J811" s="3" t="str">
        <v>274</v>
      </c>
      <c r="K811" s="4" t="str">
        <v>First Syrian War --&gt;</v>
      </c>
      <c r="P811" t="str">
        <v>307</v>
      </c>
      <c r="Q811" t="str">
        <v>Epicurus founds his philosophic school in Athens.</v>
      </c>
    </row>
    <row r="812" spans="1:17" x14ac:dyDescent="0.25">
      <c r="A812" t="s">
        <v>811</v>
      </c>
      <c r="B812" t="str" cm="1">
        <f t="array" ref="B812">INDEX(_xlfn.TEXTSPLIT(A812, " "), 1)</f>
        <v>267-262</v>
      </c>
      <c r="C812" t="str" cm="1">
        <f t="array" ref="C812">INDEX(_xlfn.TEXTSPLIT(B812, "-"), 1)</f>
        <v>267</v>
      </c>
      <c r="D812" t="str" cm="1">
        <f t="array" ref="D812">IFERROR(INDEX(_xlfn.TEXTSPLIT(B812, "-"), 2), "")</f>
        <v>262</v>
      </c>
      <c r="E812" t="str">
        <f t="shared" si="36"/>
        <v>Chremonidean War --&gt;</v>
      </c>
      <c r="F812" t="str">
        <f t="shared" si="37"/>
        <v>--&gt; Chremonidean War</v>
      </c>
      <c r="H812" t="b">
        <f t="shared" si="38"/>
        <v>1</v>
      </c>
      <c r="J812" s="3" t="str">
        <v>267</v>
      </c>
      <c r="K812" s="4" t="str">
        <v>Chremonidean War --&gt;</v>
      </c>
      <c r="P812" t="str">
        <v>305</v>
      </c>
      <c r="Q812" t="str">
        <v>Ptolemaic Kingdom --&gt;</v>
      </c>
    </row>
    <row r="813" spans="1:17" x14ac:dyDescent="0.25">
      <c r="A813" t="s">
        <v>812</v>
      </c>
      <c r="B813" t="str" cm="1">
        <f t="array" ref="B813">INDEX(_xlfn.TEXTSPLIT(A813, " "), 1)</f>
        <v>265</v>
      </c>
      <c r="C813" t="str" cm="1">
        <f t="array" ref="C813">INDEX(_xlfn.TEXTSPLIT(B813, "-"), 1)</f>
        <v>265</v>
      </c>
      <c r="D813" t="str" cm="1">
        <f t="array" ref="D813">IFERROR(INDEX(_xlfn.TEXTSPLIT(B813, "-"), 2), "")</f>
        <v/>
      </c>
      <c r="E813" t="str">
        <f t="shared" si="36"/>
        <v>Archimedes, Greek mathematician, develops Archimedes' screw, specific gravity, center of gravity; anticipates discoveries of integral calculus.</v>
      </c>
      <c r="F813" t="str">
        <f t="shared" si="37"/>
        <v/>
      </c>
      <c r="H813" t="b">
        <f t="shared" si="38"/>
        <v>0</v>
      </c>
      <c r="J813" s="3" t="str">
        <v>265</v>
      </c>
      <c r="K813" s="4" t="str">
        <v>Archimedes, Greek mathematician, develops Archimedes' screw, specific gravity, center of gravity; anticipates discoveries of integral calculus.</v>
      </c>
      <c r="P813" t="str">
        <v>305</v>
      </c>
      <c r="Q813" t="str">
        <v>Seleucia, also known as Seleucia-on-Tigris or Seleucia on the Tigris (modern Iraq) is founded by Seleucus I Nicator</v>
      </c>
    </row>
    <row r="814" spans="1:17" x14ac:dyDescent="0.25">
      <c r="A814" t="s">
        <v>813</v>
      </c>
      <c r="B814" t="str" cm="1">
        <f t="array" ref="B814">INDEX(_xlfn.TEXTSPLIT(A814, " "), 1)</f>
        <v>260-253</v>
      </c>
      <c r="C814" t="str" cm="1">
        <f t="array" ref="C814">INDEX(_xlfn.TEXTSPLIT(B814, "-"), 1)</f>
        <v>260</v>
      </c>
      <c r="D814" t="str" cm="1">
        <f t="array" ref="D814">IFERROR(INDEX(_xlfn.TEXTSPLIT(B814, "-"), 2), "")</f>
        <v>253</v>
      </c>
      <c r="E814" t="str">
        <f t="shared" si="36"/>
        <v>Second Syrian War --&gt;</v>
      </c>
      <c r="F814" t="str">
        <f t="shared" si="37"/>
        <v>--&gt; Second Syrian War</v>
      </c>
      <c r="H814" t="b">
        <f t="shared" si="38"/>
        <v>1</v>
      </c>
      <c r="J814" s="3" t="str">
        <v>260</v>
      </c>
      <c r="K814" s="4" t="str">
        <v>Second Syrian War --&gt;</v>
      </c>
      <c r="P814" t="str">
        <v>301</v>
      </c>
      <c r="Q814" t="str">
        <v>Battle of Ipsus</v>
      </c>
    </row>
    <row r="815" spans="1:17" x14ac:dyDescent="0.25">
      <c r="A815" t="s">
        <v>814</v>
      </c>
      <c r="B815" t="str" cm="1">
        <f t="array" ref="B815">INDEX(_xlfn.TEXTSPLIT(A815, " "), 1)</f>
        <v>256-125</v>
      </c>
      <c r="C815" t="str" cm="1">
        <f t="array" ref="C815">INDEX(_xlfn.TEXTSPLIT(B815, "-"), 1)</f>
        <v>256</v>
      </c>
      <c r="D815" t="str" cm="1">
        <f t="array" ref="D815">IFERROR(INDEX(_xlfn.TEXTSPLIT(B815, "-"), 2), "")</f>
        <v>125</v>
      </c>
      <c r="E815" t="str">
        <f t="shared" si="36"/>
        <v>Greco-Bactrian Kingdom --&gt;</v>
      </c>
      <c r="F815" t="str">
        <f t="shared" si="37"/>
        <v>--&gt; Greco-Bactrian Kingdom</v>
      </c>
      <c r="H815" t="b">
        <f t="shared" si="38"/>
        <v>1</v>
      </c>
      <c r="J815" s="3" t="str">
        <v>256</v>
      </c>
      <c r="K815" s="4" t="str">
        <v>Greco-Bactrian Kingdom --&gt;</v>
      </c>
      <c r="P815" t="str">
        <v>300</v>
      </c>
      <c r="Q815" t="str">
        <v>Antioch, is founded by Seleucus I Nicator in honor of his father Antiochus</v>
      </c>
    </row>
    <row r="816" spans="1:17" x14ac:dyDescent="0.25">
      <c r="A816" t="s">
        <v>815</v>
      </c>
      <c r="B816" t="str" cm="1">
        <f t="array" ref="B816">INDEX(_xlfn.TEXTSPLIT(A816, " "), 1)</f>
        <v>240</v>
      </c>
      <c r="C816" t="str" cm="1">
        <f t="array" ref="C816">INDEX(_xlfn.TEXTSPLIT(B816, "-"), 1)</f>
        <v>240</v>
      </c>
      <c r="D816" t="str" cm="1">
        <f t="array" ref="D816">IFERROR(INDEX(_xlfn.TEXTSPLIT(B816, "-"), 2), "")</f>
        <v/>
      </c>
      <c r="E816" t="str">
        <f t="shared" si="36"/>
        <v>Eratosthenes calculates the circumference of the Earth</v>
      </c>
      <c r="F816" t="str">
        <f t="shared" si="37"/>
        <v/>
      </c>
      <c r="H816" t="b">
        <f t="shared" si="38"/>
        <v>0</v>
      </c>
      <c r="J816" s="3" t="str">
        <v>240</v>
      </c>
      <c r="K816" s="4" t="str">
        <v>Eratosthenes calculates the circumference of the Earth</v>
      </c>
      <c r="P816" t="str">
        <v>300</v>
      </c>
      <c r="Q816" t="str">
        <v>Euclid, Greek mathematician, publishes Elements, treating both geometry and number theory (see also Euclidean algorithm).</v>
      </c>
    </row>
    <row r="817" spans="1:17" x14ac:dyDescent="0.25">
      <c r="A817" t="s">
        <v>816</v>
      </c>
      <c r="B817" t="str" cm="1">
        <f t="array" ref="B817">INDEX(_xlfn.TEXTSPLIT(A817, " "), 1)</f>
        <v>246-241</v>
      </c>
      <c r="C817" t="str" cm="1">
        <f t="array" ref="C817">INDEX(_xlfn.TEXTSPLIT(B817, "-"), 1)</f>
        <v>246</v>
      </c>
      <c r="D817" t="str" cm="1">
        <f t="array" ref="D817">IFERROR(INDEX(_xlfn.TEXTSPLIT(B817, "-"), 2), "")</f>
        <v>241</v>
      </c>
      <c r="E817" t="str">
        <f t="shared" si="36"/>
        <v>Third Syrian War --&gt;</v>
      </c>
      <c r="F817" t="str">
        <f t="shared" si="37"/>
        <v>--&gt; Third Syrian War</v>
      </c>
      <c r="H817" t="b">
        <f t="shared" si="38"/>
        <v>1</v>
      </c>
      <c r="J817" s="3" t="str">
        <v>246</v>
      </c>
      <c r="K817" s="4" t="str">
        <v>Third Syrian War --&gt;</v>
      </c>
      <c r="P817" t="str">
        <v>30</v>
      </c>
      <c r="Q817" t="str">
        <v>Death of Ptolemaic Queen Cleopatra</v>
      </c>
    </row>
    <row r="818" spans="1:17" x14ac:dyDescent="0.25">
      <c r="A818" t="s">
        <v>817</v>
      </c>
      <c r="B818" t="str" cm="1">
        <f t="array" ref="B818">INDEX(_xlfn.TEXTSPLIT(A818, " "), 1)</f>
        <v>235</v>
      </c>
      <c r="C818" t="str" cm="1">
        <f t="array" ref="C818">INDEX(_xlfn.TEXTSPLIT(B818, "-"), 1)</f>
        <v>235</v>
      </c>
      <c r="D818" t="str" cm="1">
        <f t="array" ref="D818">IFERROR(INDEX(_xlfn.TEXTSPLIT(B818, "-"), 2), "")</f>
        <v/>
      </c>
      <c r="E818" t="str">
        <f t="shared" si="36"/>
        <v>Tanais (Rostov-on-Don, Russia) is founded by merchant adventurers from Miletus</v>
      </c>
      <c r="F818" t="str">
        <f t="shared" si="37"/>
        <v/>
      </c>
      <c r="H818" t="b">
        <f t="shared" si="38"/>
        <v>0</v>
      </c>
      <c r="J818" s="3" t="str">
        <v>235</v>
      </c>
      <c r="K818" s="4" t="str">
        <v>Tanais (Rostov-on-Don, Russia) is founded by merchant adventurers from Miletus</v>
      </c>
      <c r="P818" t="str">
        <v>30</v>
      </c>
      <c r="Q818" t="str">
        <v>--&gt; Ptolemaic Kingdom</v>
      </c>
    </row>
    <row r="819" spans="1:17" x14ac:dyDescent="0.25">
      <c r="A819" t="s">
        <v>818</v>
      </c>
      <c r="B819" t="str" cm="1">
        <f t="array" ref="B819">INDEX(_xlfn.TEXTSPLIT(A819, " "), 1)</f>
        <v>220</v>
      </c>
      <c r="C819" t="str" cm="1">
        <f t="array" ref="C819">INDEX(_xlfn.TEXTSPLIT(B819, "-"), 1)</f>
        <v>220</v>
      </c>
      <c r="D819" t="str" cm="1">
        <f t="array" ref="D819">IFERROR(INDEX(_xlfn.TEXTSPLIT(B819, "-"), 2), "")</f>
        <v/>
      </c>
      <c r="E819" t="str">
        <f t="shared" si="36"/>
        <v>Euthydemus I of the Greco-Bactrians led expeditions as far as Kashgar and Ürümqi in Xinjiang, leading to the first known contacts between China and the West.[16]</v>
      </c>
      <c r="F819" t="str">
        <f t="shared" si="37"/>
        <v/>
      </c>
      <c r="H819" t="b">
        <f t="shared" si="38"/>
        <v>0</v>
      </c>
      <c r="J819" s="3" t="str">
        <v>220</v>
      </c>
      <c r="K819" s="4" t="str">
        <v>Euthydemus I of the Greco-Bactrians led expeditions as far as Kashgar and Ürümqi in Xinjiang, leading to the first known contacts between China and the West.[16]</v>
      </c>
      <c r="P819" t="str">
        <v>295</v>
      </c>
      <c r="Q819" t="str">
        <v>Athens falls to Demetrius, Lachares killed.</v>
      </c>
    </row>
    <row r="820" spans="1:17" x14ac:dyDescent="0.25">
      <c r="A820" t="s">
        <v>819</v>
      </c>
      <c r="B820" t="str" cm="1">
        <f t="array" ref="B820">INDEX(_xlfn.TEXTSPLIT(A820, " "), 1)</f>
        <v>219-217</v>
      </c>
      <c r="C820" t="str" cm="1">
        <f t="array" ref="C820">INDEX(_xlfn.TEXTSPLIT(B820, "-"), 1)</f>
        <v>219</v>
      </c>
      <c r="D820" t="str" cm="1">
        <f t="array" ref="D820">IFERROR(INDEX(_xlfn.TEXTSPLIT(B820, "-"), 2), "")</f>
        <v>217</v>
      </c>
      <c r="E820" t="str">
        <f t="shared" si="36"/>
        <v>Fourth Syrian War --&gt;</v>
      </c>
      <c r="F820" t="str">
        <f t="shared" si="37"/>
        <v>--&gt; Fourth Syrian War</v>
      </c>
      <c r="H820" t="b">
        <f t="shared" si="38"/>
        <v>1</v>
      </c>
      <c r="J820" s="3" t="str">
        <v>219</v>
      </c>
      <c r="K820" s="4" t="str">
        <v>Fourth Syrian War --&gt;</v>
      </c>
      <c r="P820" t="str">
        <v>282</v>
      </c>
      <c r="Q820" t="str">
        <v>Kingdom of Pergamon --&gt;</v>
      </c>
    </row>
    <row r="821" spans="1:17" x14ac:dyDescent="0.25">
      <c r="A821" t="s">
        <v>820</v>
      </c>
      <c r="B821" t="str" cm="1">
        <f t="array" ref="B821">INDEX(_xlfn.TEXTSPLIT(A821, " "), 1)</f>
        <v>214-205</v>
      </c>
      <c r="C821" t="str" cm="1">
        <f t="array" ref="C821">INDEX(_xlfn.TEXTSPLIT(B821, "-"), 1)</f>
        <v>214</v>
      </c>
      <c r="D821" t="str" cm="1">
        <f t="array" ref="D821">IFERROR(INDEX(_xlfn.TEXTSPLIT(B821, "-"), 2), "")</f>
        <v>205</v>
      </c>
      <c r="E821" t="str">
        <f t="shared" si="36"/>
        <v>First Macedonian War --&gt;</v>
      </c>
      <c r="F821" t="str">
        <f t="shared" si="37"/>
        <v>--&gt; First Macedonian War</v>
      </c>
      <c r="H821" t="b">
        <f t="shared" si="38"/>
        <v>1</v>
      </c>
      <c r="J821" s="3" t="str">
        <v>214</v>
      </c>
      <c r="K821" s="4" t="str">
        <v>First Macedonian War --&gt;</v>
      </c>
      <c r="P821" t="str">
        <v>281</v>
      </c>
      <c r="Q821" t="str">
        <v>Creation of the Achaean League</v>
      </c>
    </row>
    <row r="822" spans="1:17" x14ac:dyDescent="0.25">
      <c r="A822" t="s">
        <v>821</v>
      </c>
      <c r="B822" t="str" cm="1">
        <f t="array" ref="B822">INDEX(_xlfn.TEXTSPLIT(A822, " "), 1)</f>
        <v>203-200</v>
      </c>
      <c r="C822" t="str" cm="1">
        <f t="array" ref="C822">INDEX(_xlfn.TEXTSPLIT(B822, "-"), 1)</f>
        <v>203</v>
      </c>
      <c r="D822" t="str" cm="1">
        <f t="array" ref="D822">IFERROR(INDEX(_xlfn.TEXTSPLIT(B822, "-"), 2), "")</f>
        <v>200</v>
      </c>
      <c r="E822" t="str">
        <f t="shared" si="36"/>
        <v>Fifth Syrian War --&gt;</v>
      </c>
      <c r="F822" t="str">
        <f t="shared" si="37"/>
        <v>--&gt; Fifth Syrian War</v>
      </c>
      <c r="H822" t="b">
        <f t="shared" si="38"/>
        <v>1</v>
      </c>
      <c r="J822" s="3" t="str">
        <v>203</v>
      </c>
      <c r="K822" s="4" t="str">
        <v>Fifth Syrian War --&gt;</v>
      </c>
      <c r="P822" t="str">
        <v>280</v>
      </c>
      <c r="Q822" t="str">
        <v>The Greek colony of Aspálathos (Aσπάλαθος) is founded (modern day Split).</v>
      </c>
    </row>
    <row r="823" spans="1:17" x14ac:dyDescent="0.25">
      <c r="A823" t="s">
        <v>822</v>
      </c>
      <c r="B823" t="str" cm="1">
        <f t="array" ref="B823">INDEX(_xlfn.TEXTSPLIT(A823, " "), 1)</f>
        <v>200-196</v>
      </c>
      <c r="C823" t="str" cm="1">
        <f t="array" ref="C823">INDEX(_xlfn.TEXTSPLIT(B823, "-"), 1)</f>
        <v>200</v>
      </c>
      <c r="D823" t="str" cm="1">
        <f t="array" ref="D823">IFERROR(INDEX(_xlfn.TEXTSPLIT(B823, "-"), 2), "")</f>
        <v>196</v>
      </c>
      <c r="E823" t="str">
        <f t="shared" si="36"/>
        <v>Second Macedonian War --&gt;</v>
      </c>
      <c r="F823" t="str">
        <f t="shared" si="37"/>
        <v>--&gt; Second Macedonian War</v>
      </c>
      <c r="H823" t="b">
        <f t="shared" si="38"/>
        <v>1</v>
      </c>
      <c r="J823" s="3" t="str">
        <v>200</v>
      </c>
      <c r="K823" s="4" t="str">
        <v>Second Macedonian War --&gt;</v>
      </c>
      <c r="P823" t="str">
        <v>280</v>
      </c>
      <c r="Q823" t="str">
        <v>Pyrrhic War --&gt;</v>
      </c>
    </row>
    <row r="824" spans="1:17" x14ac:dyDescent="0.25">
      <c r="A824" t="s">
        <v>823</v>
      </c>
      <c r="B824" t="str" cm="1">
        <f t="array" ref="B824">INDEX(_xlfn.TEXTSPLIT(A824, " "), 1)</f>
        <v>194</v>
      </c>
      <c r="C824" t="str" cm="1">
        <f t="array" ref="C824">INDEX(_xlfn.TEXTSPLIT(B824, "-"), 1)</f>
        <v>194</v>
      </c>
      <c r="D824" t="str" cm="1">
        <f t="array" ref="D824">IFERROR(INDEX(_xlfn.TEXTSPLIT(B824, "-"), 2), "")</f>
        <v/>
      </c>
      <c r="E824" t="str">
        <f t="shared" si="36"/>
        <v>Eratosthenes dies in Alexandria</v>
      </c>
      <c r="F824" t="str">
        <f t="shared" si="37"/>
        <v/>
      </c>
      <c r="H824" t="b">
        <f t="shared" si="38"/>
        <v>0</v>
      </c>
      <c r="J824" s="3" t="str">
        <v>194</v>
      </c>
      <c r="K824" s="4" t="str">
        <v>Eratosthenes dies in Alexandria</v>
      </c>
      <c r="P824" t="str">
        <v>279</v>
      </c>
      <c r="Q824" t="str">
        <v>Gallic invasion of the Balkans</v>
      </c>
    </row>
    <row r="825" spans="1:17" x14ac:dyDescent="0.25">
      <c r="A825" t="s">
        <v>824</v>
      </c>
      <c r="B825" t="str" cm="1">
        <f t="array" ref="B825">INDEX(_xlfn.TEXTSPLIT(A825, " "), 1)</f>
        <v>192-188</v>
      </c>
      <c r="C825" t="str" cm="1">
        <f t="array" ref="C825">INDEX(_xlfn.TEXTSPLIT(B825, "-"), 1)</f>
        <v>192</v>
      </c>
      <c r="D825" t="str" cm="1">
        <f t="array" ref="D825">IFERROR(INDEX(_xlfn.TEXTSPLIT(B825, "-"), 2), "")</f>
        <v>188</v>
      </c>
      <c r="E825" t="str">
        <f t="shared" si="36"/>
        <v>Roman-Syrian War --&gt;</v>
      </c>
      <c r="F825" t="str">
        <f t="shared" si="37"/>
        <v>--&gt; Roman-Syrian War</v>
      </c>
      <c r="H825" t="b">
        <f t="shared" si="38"/>
        <v>1</v>
      </c>
      <c r="J825" s="3" t="str">
        <v>192</v>
      </c>
      <c r="K825" s="4" t="str">
        <v>Roman-Syrian War --&gt;</v>
      </c>
      <c r="P825" t="str">
        <v>276</v>
      </c>
      <c r="Q825" t="str">
        <v>Eratosthenes is born.</v>
      </c>
    </row>
    <row r="826" spans="1:17" x14ac:dyDescent="0.25">
      <c r="A826" t="s">
        <v>825</v>
      </c>
      <c r="B826" t="str" cm="1">
        <f t="array" ref="B826">INDEX(_xlfn.TEXTSPLIT(A826, " "), 1)</f>
        <v>172-167</v>
      </c>
      <c r="C826" t="str" cm="1">
        <f t="array" ref="C826">INDEX(_xlfn.TEXTSPLIT(B826, "-"), 1)</f>
        <v>172</v>
      </c>
      <c r="D826" t="str" cm="1">
        <f t="array" ref="D826">IFERROR(INDEX(_xlfn.TEXTSPLIT(B826, "-"), 2), "")</f>
        <v>167</v>
      </c>
      <c r="E826" t="str">
        <f t="shared" si="36"/>
        <v>Third Macedonian War --&gt;</v>
      </c>
      <c r="F826" t="str">
        <f t="shared" si="37"/>
        <v>--&gt; Third Macedonian War</v>
      </c>
      <c r="H826" t="b">
        <f t="shared" si="38"/>
        <v>1</v>
      </c>
      <c r="J826" s="3" t="str">
        <v>172</v>
      </c>
      <c r="K826" s="4" t="str">
        <v>Third Macedonian War --&gt;</v>
      </c>
      <c r="P826" t="str">
        <v>275</v>
      </c>
      <c r="Q826" t="str">
        <v>--&gt; Pyrrhic War</v>
      </c>
    </row>
    <row r="827" spans="1:17" x14ac:dyDescent="0.25">
      <c r="A827" t="s">
        <v>826</v>
      </c>
      <c r="B827" t="str" cm="1">
        <f t="array" ref="B827">INDEX(_xlfn.TEXTSPLIT(A827, " "), 1)</f>
        <v>170-168</v>
      </c>
      <c r="C827" t="str" cm="1">
        <f t="array" ref="C827">INDEX(_xlfn.TEXTSPLIT(B827, "-"), 1)</f>
        <v>170</v>
      </c>
      <c r="D827" t="str" cm="1">
        <f t="array" ref="D827">IFERROR(INDEX(_xlfn.TEXTSPLIT(B827, "-"), 2), "")</f>
        <v>168</v>
      </c>
      <c r="E827" t="str">
        <f t="shared" si="36"/>
        <v>Sixth Syrian War --&gt;</v>
      </c>
      <c r="F827" t="str">
        <f t="shared" si="37"/>
        <v>--&gt; Sixth Syrian War</v>
      </c>
      <c r="H827" t="b">
        <f t="shared" si="38"/>
        <v>1</v>
      </c>
      <c r="J827" s="3" t="str">
        <v>170</v>
      </c>
      <c r="K827" s="4" t="str">
        <v>Sixth Syrian War --&gt;</v>
      </c>
      <c r="P827" t="str">
        <v>274</v>
      </c>
      <c r="Q827" t="str">
        <v>First Syrian War --&gt;</v>
      </c>
    </row>
    <row r="828" spans="1:17" x14ac:dyDescent="0.25">
      <c r="A828" t="s">
        <v>827</v>
      </c>
      <c r="B828" t="str" cm="1">
        <f t="array" ref="B828">INDEX(_xlfn.TEXTSPLIT(A828, " "), 1)</f>
        <v>155</v>
      </c>
      <c r="C828" t="str" cm="1">
        <f t="array" ref="C828">INDEX(_xlfn.TEXTSPLIT(B828, "-"), 1)</f>
        <v>155</v>
      </c>
      <c r="D828" t="str" cm="1">
        <f t="array" ref="D828">IFERROR(INDEX(_xlfn.TEXTSPLIT(B828, "-"), 2), "")</f>
        <v/>
      </c>
      <c r="E828" t="str">
        <f t="shared" si="36"/>
        <v>Attack of the Indo-Greeks on Pataliputra,[17] a magnificent fortified city with 570 towers and 64 gates according to Megasthenes,[18] who describes the ultimate destruction of the city's walls.[19]</v>
      </c>
      <c r="F828" t="str">
        <f t="shared" si="37"/>
        <v/>
      </c>
      <c r="H828" t="b">
        <f t="shared" si="38"/>
        <v>0</v>
      </c>
      <c r="J828" s="3" t="str">
        <v>155</v>
      </c>
      <c r="K828" s="4" t="str">
        <v>Attack of the Indo-Greeks on Pataliputra,[17] a magnificent fortified city with 570 towers and 64 gates according to Megasthenes,[18] who describes the ultimate destruction of the city's walls.[19]</v>
      </c>
      <c r="P828" t="str">
        <v>271</v>
      </c>
      <c r="Q828" t="str">
        <v>--&gt; First Syrian War</v>
      </c>
    </row>
    <row r="829" spans="1:17" x14ac:dyDescent="0.25">
      <c r="A829" t="s">
        <v>828</v>
      </c>
      <c r="B829" t="str" cm="1">
        <f t="array" ref="B829">INDEX(_xlfn.TEXTSPLIT(A829, " "), 1)</f>
        <v>150</v>
      </c>
      <c r="C829" t="str" cm="1">
        <f t="array" ref="C829">INDEX(_xlfn.TEXTSPLIT(B829, "-"), 1)</f>
        <v>150</v>
      </c>
      <c r="D829" t="str" cm="1">
        <f t="array" ref="D829">IFERROR(INDEX(_xlfn.TEXTSPLIT(B829, "-"), 2), "")</f>
        <v/>
      </c>
      <c r="E829" t="str">
        <f t="shared" si="36"/>
        <v>King Attalus II of Pergamon founds the city of Attaleia or Antalya in his honour.</v>
      </c>
      <c r="F829" t="str">
        <f t="shared" si="37"/>
        <v/>
      </c>
      <c r="H829" t="b">
        <f t="shared" si="38"/>
        <v>0</v>
      </c>
      <c r="J829" s="3" t="str">
        <v>150</v>
      </c>
      <c r="K829" s="4" t="str">
        <v>King Attalus II of Pergamon founds the city of Attaleia or Antalya in his honour.</v>
      </c>
      <c r="P829" t="str">
        <v>267</v>
      </c>
      <c r="Q829" t="str">
        <v>Chremonidean War --&gt;</v>
      </c>
    </row>
    <row r="830" spans="1:17" x14ac:dyDescent="0.25">
      <c r="A830" t="s">
        <v>829</v>
      </c>
      <c r="B830" t="str" cm="1">
        <f t="array" ref="B830">INDEX(_xlfn.TEXTSPLIT(A830, " "), 1)</f>
        <v>150-148</v>
      </c>
      <c r="C830" t="str" cm="1">
        <f t="array" ref="C830">INDEX(_xlfn.TEXTSPLIT(B830, "-"), 1)</f>
        <v>150</v>
      </c>
      <c r="D830" t="str" cm="1">
        <f t="array" ref="D830">IFERROR(INDEX(_xlfn.TEXTSPLIT(B830, "-"), 2), "")</f>
        <v>148</v>
      </c>
      <c r="E830" t="str">
        <f t="shared" si="36"/>
        <v>Fourth Macedonian War --&gt;</v>
      </c>
      <c r="F830" t="str">
        <f t="shared" si="37"/>
        <v>--&gt; Fourth Macedonian War</v>
      </c>
      <c r="H830" t="b">
        <f t="shared" si="38"/>
        <v>1</v>
      </c>
      <c r="J830" s="3" t="str">
        <v>150</v>
      </c>
      <c r="K830" s="4" t="str">
        <v>Fourth Macedonian War --&gt;</v>
      </c>
      <c r="P830" t="str">
        <v>265</v>
      </c>
      <c r="Q830" t="str">
        <v>Archimedes, Greek mathematician, develops Archimedes' screw, specific gravity, center of gravity; anticipates discoveries of integral calculus.</v>
      </c>
    </row>
    <row r="831" spans="1:17" x14ac:dyDescent="0.25">
      <c r="A831" t="s">
        <v>830</v>
      </c>
      <c r="B831" t="str" cm="1">
        <f t="array" ref="B831">INDEX(_xlfn.TEXTSPLIT(A831, " "), 1)</f>
        <v>146</v>
      </c>
      <c r="C831" t="str" cm="1">
        <f t="array" ref="C831">INDEX(_xlfn.TEXTSPLIT(B831, "-"), 1)</f>
        <v>146</v>
      </c>
      <c r="D831" t="str" cm="1">
        <f t="array" ref="D831">IFERROR(INDEX(_xlfn.TEXTSPLIT(B831, "-"), 2), "")</f>
        <v/>
      </c>
      <c r="E831" t="str">
        <f t="shared" si="36"/>
        <v>Battle of Corinth</v>
      </c>
      <c r="F831" t="str">
        <f t="shared" si="37"/>
        <v/>
      </c>
      <c r="H831" t="b">
        <f t="shared" si="38"/>
        <v>0</v>
      </c>
      <c r="J831" s="3" t="str">
        <v>146</v>
      </c>
      <c r="K831" s="4" t="str">
        <v>Battle of Corinth</v>
      </c>
      <c r="P831" t="str">
        <v>262</v>
      </c>
      <c r="Q831" t="str">
        <v>--&gt; Chremonidean War</v>
      </c>
    </row>
    <row r="832" spans="1:17" x14ac:dyDescent="0.25">
      <c r="A832" t="s">
        <v>831</v>
      </c>
      <c r="B832" t="str" cm="1">
        <f t="array" ref="B832">INDEX(_xlfn.TEXTSPLIT(A832, " "), 1)</f>
        <v>30</v>
      </c>
      <c r="C832" t="str" cm="1">
        <f t="array" ref="C832">INDEX(_xlfn.TEXTSPLIT(B832, "-"), 1)</f>
        <v>30</v>
      </c>
      <c r="D832" t="str" cm="1">
        <f t="array" ref="D832">IFERROR(INDEX(_xlfn.TEXTSPLIT(B832, "-"), 2), "")</f>
        <v/>
      </c>
      <c r="E832" t="str">
        <f t="shared" si="36"/>
        <v>Death of Ptolemaic Queen Cleopatra</v>
      </c>
      <c r="F832" t="str">
        <f t="shared" si="37"/>
        <v/>
      </c>
      <c r="H832" t="b">
        <f t="shared" si="38"/>
        <v>0</v>
      </c>
      <c r="J832" s="3" t="str">
        <v>30</v>
      </c>
      <c r="K832" s="4" t="str">
        <v>Death of Ptolemaic Queen Cleopatra</v>
      </c>
      <c r="P832" t="str">
        <v>260</v>
      </c>
      <c r="Q832" t="str">
        <v>Second Syrian War --&gt;</v>
      </c>
    </row>
    <row r="833" spans="10:17" ht="15.75" thickBot="1" x14ac:dyDescent="0.3">
      <c r="J833" s="5"/>
      <c r="K833" s="6"/>
      <c r="P833" t="str">
        <v>256</v>
      </c>
      <c r="Q833" t="str">
        <v>Greco-Bactrian Kingdom --&gt;</v>
      </c>
    </row>
    <row r="834" spans="10:17" x14ac:dyDescent="0.25">
      <c r="P834" t="str">
        <v>253</v>
      </c>
      <c r="Q834" t="str">
        <v>--&gt; Second Syrian War</v>
      </c>
    </row>
    <row r="835" spans="10:17" x14ac:dyDescent="0.25">
      <c r="P835" t="str">
        <v>246</v>
      </c>
      <c r="Q835" t="str">
        <v>Third Syrian War --&gt;</v>
      </c>
    </row>
    <row r="836" spans="10:17" x14ac:dyDescent="0.25">
      <c r="P836" t="str">
        <v>241</v>
      </c>
      <c r="Q836" t="str">
        <v>--&gt; Third Syrian War</v>
      </c>
    </row>
    <row r="837" spans="10:17" x14ac:dyDescent="0.25">
      <c r="P837" t="str">
        <v>240</v>
      </c>
      <c r="Q837" t="str">
        <v>Eratosthenes calculates the circumference of the Earth</v>
      </c>
    </row>
    <row r="838" spans="10:17" x14ac:dyDescent="0.25">
      <c r="P838" t="str">
        <v>235</v>
      </c>
      <c r="Q838" t="str">
        <v>Tanais (Rostov-on-Don, Russia) is founded by merchant adventurers from Miletus</v>
      </c>
    </row>
    <row r="839" spans="10:17" x14ac:dyDescent="0.25">
      <c r="P839" t="str">
        <v>220</v>
      </c>
      <c r="Q839" t="str">
        <v>Euthydemus I of the Greco-Bactrians led expeditions as far as Kashgar and Ürümqi in Xinjiang, leading to the first known contacts between China and the West.[16]</v>
      </c>
    </row>
    <row r="840" spans="10:17" x14ac:dyDescent="0.25">
      <c r="P840" t="str">
        <v>219</v>
      </c>
      <c r="Q840" t="str">
        <v>Fourth Syrian War --&gt;</v>
      </c>
    </row>
    <row r="841" spans="10:17" x14ac:dyDescent="0.25">
      <c r="P841" t="str">
        <v>217</v>
      </c>
      <c r="Q841" t="str">
        <v>--&gt; Fourth Syrian War</v>
      </c>
    </row>
    <row r="842" spans="10:17" x14ac:dyDescent="0.25">
      <c r="P842" t="str">
        <v>214</v>
      </c>
      <c r="Q842" t="str">
        <v>First Macedonian War --&gt;</v>
      </c>
    </row>
    <row r="843" spans="10:17" x14ac:dyDescent="0.25">
      <c r="P843" t="str">
        <v>205</v>
      </c>
      <c r="Q843" t="str">
        <v>--&gt; First Macedonian War</v>
      </c>
    </row>
    <row r="844" spans="10:17" x14ac:dyDescent="0.25">
      <c r="P844" t="str">
        <v>203</v>
      </c>
      <c r="Q844" t="str">
        <v>Fifth Syrian War --&gt;</v>
      </c>
    </row>
    <row r="845" spans="10:17" x14ac:dyDescent="0.25">
      <c r="P845" t="str">
        <v>200</v>
      </c>
      <c r="Q845" t="str">
        <v>Second Macedonian War --&gt;</v>
      </c>
    </row>
    <row r="846" spans="10:17" x14ac:dyDescent="0.25">
      <c r="P846" t="str">
        <v>200</v>
      </c>
      <c r="Q846" t="str">
        <v>--&gt; Fifth Syrian War</v>
      </c>
    </row>
    <row r="847" spans="10:17" x14ac:dyDescent="0.25">
      <c r="P847" t="str">
        <v>196</v>
      </c>
      <c r="Q847" t="str">
        <v>--&gt; Second Macedonian War</v>
      </c>
    </row>
    <row r="848" spans="10:17" x14ac:dyDescent="0.25">
      <c r="P848" t="str">
        <v>194</v>
      </c>
      <c r="Q848" t="str">
        <v>Eratosthenes dies in Alexandria</v>
      </c>
    </row>
    <row r="849" spans="16:17" x14ac:dyDescent="0.25">
      <c r="P849" t="str">
        <v>192</v>
      </c>
      <c r="Q849" t="str">
        <v>Roman-Syrian War --&gt;</v>
      </c>
    </row>
    <row r="850" spans="16:17" x14ac:dyDescent="0.25">
      <c r="P850" t="str">
        <v>188</v>
      </c>
      <c r="Q850" t="str">
        <v>--&gt; Roman-Syrian War</v>
      </c>
    </row>
    <row r="851" spans="16:17" x14ac:dyDescent="0.25">
      <c r="P851" t="str">
        <v>172</v>
      </c>
      <c r="Q851" t="str">
        <v>Third Macedonian War --&gt;</v>
      </c>
    </row>
    <row r="852" spans="16:17" x14ac:dyDescent="0.25">
      <c r="P852" t="str">
        <v>170</v>
      </c>
      <c r="Q852" t="str">
        <v>Sixth Syrian War --&gt;</v>
      </c>
    </row>
    <row r="853" spans="16:17" x14ac:dyDescent="0.25">
      <c r="P853" t="str">
        <v>168</v>
      </c>
      <c r="Q853" t="str">
        <v>--&gt; Sixth Syrian War</v>
      </c>
    </row>
    <row r="854" spans="16:17" x14ac:dyDescent="0.25">
      <c r="P854" t="str">
        <v>167</v>
      </c>
      <c r="Q854" t="str">
        <v>--&gt; Third Macedonian War</v>
      </c>
    </row>
    <row r="855" spans="16:17" x14ac:dyDescent="0.25">
      <c r="P855" t="str">
        <v>160</v>
      </c>
      <c r="Q855" t="str">
        <v>--&gt; Dayuan Kingdom.[13]</v>
      </c>
    </row>
    <row r="856" spans="16:17" x14ac:dyDescent="0.25">
      <c r="P856" t="str">
        <v>155</v>
      </c>
      <c r="Q856" t="str">
        <v>Attack of the Indo-Greeks on Pataliputra,[17] a magnificent fortified city with 570 towers and 64 gates according to Megasthenes,[18] who describes the ultimate destruction of the city's walls.[19]</v>
      </c>
    </row>
    <row r="857" spans="16:17" x14ac:dyDescent="0.25">
      <c r="P857" t="str">
        <v>150</v>
      </c>
      <c r="Q857" t="str">
        <v>King Attalus II of Pergamon founds the city of Attaleia or Antalya in his honour.</v>
      </c>
    </row>
    <row r="858" spans="16:17" x14ac:dyDescent="0.25">
      <c r="P858" t="str">
        <v>150</v>
      </c>
      <c r="Q858" t="str">
        <v>Fourth Macedonian War --&gt;</v>
      </c>
    </row>
    <row r="859" spans="16:17" x14ac:dyDescent="0.25">
      <c r="P859" t="str">
        <v>148</v>
      </c>
      <c r="Q859" t="str">
        <v>--&gt; Fourth Macedonian War</v>
      </c>
    </row>
    <row r="860" spans="16:17" x14ac:dyDescent="0.25">
      <c r="P860" t="str">
        <v>146</v>
      </c>
      <c r="Q860" t="str">
        <v>Battle of Corinth</v>
      </c>
    </row>
    <row r="861" spans="16:17" x14ac:dyDescent="0.25">
      <c r="P861" t="str">
        <v>133</v>
      </c>
      <c r="Q861" t="str">
        <v>--&gt; Kingdom of Pergamon</v>
      </c>
    </row>
    <row r="862" spans="16:17" x14ac:dyDescent="0.25">
      <c r="P862" t="str">
        <v>125</v>
      </c>
      <c r="Q862" t="str">
        <v>--&gt; Greco-Bactrian Kingdom</v>
      </c>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2607B-B5DC-4A67-9117-A0414469119E}">
  <sheetPr codeName="Munka2"/>
  <dimension ref="A1:C862"/>
  <sheetViews>
    <sheetView topLeftCell="A515" workbookViewId="0">
      <selection activeCell="A522" sqref="A522"/>
    </sheetView>
  </sheetViews>
  <sheetFormatPr defaultRowHeight="15" x14ac:dyDescent="0.25"/>
  <cols>
    <col min="1" max="3" width="19.42578125" customWidth="1"/>
  </cols>
  <sheetData>
    <row r="1" spans="1:3" x14ac:dyDescent="0.25">
      <c r="A1" t="s">
        <v>837</v>
      </c>
      <c r="B1" t="s">
        <v>838</v>
      </c>
      <c r="C1" t="s">
        <v>839</v>
      </c>
    </row>
    <row r="2" spans="1:3" x14ac:dyDescent="0.25">
      <c r="A2" cm="1">
        <f t="array" ref="A2:A862">INDEX(VALUE(_xlfn.ANCHORARRAY(összes_adat)),0,1)</f>
        <v>785</v>
      </c>
      <c r="B2">
        <f>ROUNDDOWN((-A2+780)/4,0)</f>
        <v>-1</v>
      </c>
      <c r="C2" t="str" cm="1">
        <f t="array" ref="C2:C862">INDEX(_xlfn.ANCHORARRAY(összes_adat),0,2)</f>
        <v>Pithecusae (Ischia) is settled by Euboean Greeks from Eretria and Chalcis</v>
      </c>
    </row>
    <row r="3" spans="1:3" x14ac:dyDescent="0.25">
      <c r="A3">
        <v>777</v>
      </c>
      <c r="B3">
        <f t="shared" ref="B3:B66" si="0">ROUNDDOWN((-A3+780)/4,0)</f>
        <v>0</v>
      </c>
      <c r="C3" t="str">
        <v>Cumae is founded by Chalcis</v>
      </c>
    </row>
    <row r="4" spans="1:3" x14ac:dyDescent="0.25">
      <c r="A4">
        <v>776</v>
      </c>
      <c r="B4">
        <f t="shared" si="0"/>
        <v>1</v>
      </c>
      <c r="C4" t="str">
        <v>Traditional date for the first historic Olympic games.</v>
      </c>
    </row>
    <row r="5" spans="1:3" x14ac:dyDescent="0.25">
      <c r="A5">
        <v>757</v>
      </c>
      <c r="B5">
        <f t="shared" si="0"/>
        <v>5</v>
      </c>
      <c r="C5" t="str">
        <v>The First Messenian War starts. (Date disputed by Jerome, Pausanias and Diodorus; this estimate is based on a reading of Diodorus' Spartan king lists and Pausanias' description of the war).</v>
      </c>
    </row>
    <row r="6" spans="1:3" x14ac:dyDescent="0.25">
      <c r="A6">
        <v>756</v>
      </c>
      <c r="B6">
        <f t="shared" si="0"/>
        <v>6</v>
      </c>
      <c r="C6" t="str">
        <v>Kyzikus is settled by Ionians</v>
      </c>
    </row>
    <row r="7" spans="1:3" x14ac:dyDescent="0.25">
      <c r="A7">
        <v>754</v>
      </c>
      <c r="B7">
        <f t="shared" si="0"/>
        <v>6</v>
      </c>
      <c r="C7" t="str">
        <v>Polydorus becomes king of Sparta.</v>
      </c>
    </row>
    <row r="8" spans="1:3" x14ac:dyDescent="0.25">
      <c r="A8">
        <v>753</v>
      </c>
      <c r="B8">
        <f t="shared" si="0"/>
        <v>6</v>
      </c>
      <c r="C8" t="str">
        <v>Athens: Office of Archon reduced to 10 years. Members of the ruling family to possess the office starting with Charops. (Dating based on Pausanias).</v>
      </c>
    </row>
    <row r="9" spans="1:3" x14ac:dyDescent="0.25">
      <c r="A9">
        <v>743</v>
      </c>
      <c r="B9">
        <f t="shared" si="0"/>
        <v>9</v>
      </c>
      <c r="C9" t="str">
        <v>Rhegion is founded by Euboeans</v>
      </c>
    </row>
    <row r="10" spans="1:3" x14ac:dyDescent="0.25">
      <c r="A10">
        <v>740</v>
      </c>
      <c r="B10">
        <f t="shared" si="0"/>
        <v>10</v>
      </c>
      <c r="C10" t="str">
        <v>Zancle is founded by Euboeans</v>
      </c>
    </row>
    <row r="11" spans="1:3" x14ac:dyDescent="0.25">
      <c r="A11">
        <v>738</v>
      </c>
      <c r="B11">
        <f t="shared" si="0"/>
        <v>10</v>
      </c>
      <c r="C11" t="str">
        <v>Alternative date for the end of the First Messenian War.</v>
      </c>
    </row>
    <row r="12" spans="1:3" x14ac:dyDescent="0.25">
      <c r="A12">
        <v>737</v>
      </c>
      <c r="B12">
        <f t="shared" si="0"/>
        <v>10</v>
      </c>
      <c r="C12" t="str">
        <v>Rhegion and Zancle join in union under Zancle</v>
      </c>
    </row>
    <row r="13" spans="1:3" x14ac:dyDescent="0.25">
      <c r="A13">
        <v>735</v>
      </c>
      <c r="B13">
        <f t="shared" si="0"/>
        <v>11</v>
      </c>
      <c r="C13" t="str">
        <v>Perdiccas I of Macedon flees from Argos to Macedonia and conquers the land.</v>
      </c>
    </row>
    <row r="14" spans="1:3" x14ac:dyDescent="0.25">
      <c r="A14">
        <v>734</v>
      </c>
      <c r="B14">
        <f t="shared" si="0"/>
        <v>11</v>
      </c>
      <c r="C14" t="str">
        <v>Polydorus sends colonists to Italy.</v>
      </c>
    </row>
    <row r="15" spans="1:3" x14ac:dyDescent="0.25">
      <c r="A15">
        <v>734</v>
      </c>
      <c r="B15">
        <f t="shared" si="0"/>
        <v>11</v>
      </c>
      <c r="C15" t="str">
        <v>Syracuse is founded by Korinthians and Teneans</v>
      </c>
    </row>
    <row r="16" spans="1:3" x14ac:dyDescent="0.25">
      <c r="A16">
        <v>734</v>
      </c>
      <c r="B16">
        <f t="shared" si="0"/>
        <v>11</v>
      </c>
      <c r="C16" t="str">
        <v>Kerkyra is founded by Korinthians</v>
      </c>
    </row>
    <row r="17" spans="1:3" x14ac:dyDescent="0.25">
      <c r="A17">
        <v>733</v>
      </c>
      <c r="B17">
        <f t="shared" si="0"/>
        <v>11</v>
      </c>
      <c r="C17" t="str">
        <v>Naxos (Sicily) is founded by Euboeans</v>
      </c>
    </row>
    <row r="18" spans="1:3" x14ac:dyDescent="0.25">
      <c r="A18">
        <v>733</v>
      </c>
      <c r="B18">
        <f t="shared" si="0"/>
        <v>11</v>
      </c>
      <c r="C18" t="str">
        <v>Troliton is founded by Megarans</v>
      </c>
    </row>
    <row r="19" spans="1:3" x14ac:dyDescent="0.25">
      <c r="A19">
        <v>732</v>
      </c>
      <c r="B19">
        <f t="shared" si="0"/>
        <v>12</v>
      </c>
      <c r="C19" t="str">
        <v>Euboea splits between Chalcis and Eretria due to disputes</v>
      </c>
    </row>
    <row r="20" spans="1:3" x14ac:dyDescent="0.25">
      <c r="A20">
        <v>731</v>
      </c>
      <c r="B20">
        <f t="shared" si="0"/>
        <v>12</v>
      </c>
      <c r="C20" t="str">
        <v>Sigeion is founded by Mytilene</v>
      </c>
    </row>
    <row r="21" spans="1:3" x14ac:dyDescent="0.25">
      <c r="A21">
        <v>731</v>
      </c>
      <c r="B21">
        <f t="shared" si="0"/>
        <v>12</v>
      </c>
      <c r="C21" t="str">
        <v>Catania is founded by Chalcidians</v>
      </c>
    </row>
    <row r="22" spans="1:3" x14ac:dyDescent="0.25">
      <c r="A22">
        <v>730</v>
      </c>
      <c r="B22">
        <f t="shared" si="0"/>
        <v>12</v>
      </c>
      <c r="C22" t="str">
        <v>Leontini is founded by Naxos and controlled by the tyrant Euarchus</v>
      </c>
    </row>
    <row r="23" spans="1:3" x14ac:dyDescent="0.25">
      <c r="A23">
        <v>730</v>
      </c>
      <c r="B23">
        <f t="shared" si="0"/>
        <v>12</v>
      </c>
      <c r="C23" t="str">
        <v>Troliton is abandoned and settlers settled in Leontini</v>
      </c>
    </row>
    <row r="24" spans="1:3" x14ac:dyDescent="0.25">
      <c r="A24">
        <v>728</v>
      </c>
      <c r="B24">
        <f t="shared" si="0"/>
        <v>13</v>
      </c>
      <c r="C24" t="str">
        <v>Troliton settlers are ostracized from Leontini and settle Thapsos</v>
      </c>
    </row>
    <row r="25" spans="1:3" x14ac:dyDescent="0.25">
      <c r="A25">
        <v>727</v>
      </c>
      <c r="B25">
        <f t="shared" si="0"/>
        <v>13</v>
      </c>
      <c r="C25" t="str">
        <v>Hippomenes, archon of Athens, kills his daughter's adulterer by yoking him to his chariot and then locks his daughter Leimone in with a horse until she dies. (Pausanias and Aristotle). --&gt;</v>
      </c>
    </row>
    <row r="26" spans="1:3" x14ac:dyDescent="0.25">
      <c r="A26">
        <v>725</v>
      </c>
      <c r="B26">
        <f t="shared" si="0"/>
        <v>13</v>
      </c>
      <c r="C26" t="str">
        <v>Lelantine War between Chalcis and Eretria. Many Greek cities are allied with one or the other. Dates before this time uncertain.</v>
      </c>
    </row>
    <row r="27" spans="1:3" x14ac:dyDescent="0.25">
      <c r="A27">
        <v>725</v>
      </c>
      <c r="B27">
        <f t="shared" si="0"/>
        <v>13</v>
      </c>
      <c r="C27" t="str">
        <v>Thapsos abandoned and Megara Hyblaea is settled by the Thapsos settlers</v>
      </c>
    </row>
    <row r="28" spans="1:3" x14ac:dyDescent="0.25">
      <c r="A28">
        <v>720</v>
      </c>
      <c r="B28">
        <f t="shared" si="0"/>
        <v>15</v>
      </c>
      <c r="C28" t="str">
        <v>Korinth removes the Liburnians from Kerkyra</v>
      </c>
    </row>
    <row r="29" spans="1:3" x14ac:dyDescent="0.25">
      <c r="A29">
        <v>720</v>
      </c>
      <c r="B29">
        <f t="shared" si="0"/>
        <v>15</v>
      </c>
      <c r="C29" t="str">
        <v>Sybaris is founded by Achaeans from Helice</v>
      </c>
    </row>
    <row r="30" spans="1:3" x14ac:dyDescent="0.25">
      <c r="A30">
        <v>719</v>
      </c>
      <c r="B30">
        <f t="shared" si="0"/>
        <v>15</v>
      </c>
      <c r="C30" t="str">
        <v>Polydorus, King of Sparta, is murdered by Polymarchus.</v>
      </c>
    </row>
    <row r="31" spans="1:3" x14ac:dyDescent="0.25">
      <c r="A31">
        <v>717</v>
      </c>
      <c r="B31">
        <f t="shared" si="0"/>
        <v>15</v>
      </c>
      <c r="C31" t="str">
        <v>--&gt; Hippomenes, archon of Athens, kills his daughter's adulterer by yoking him to his chariot and then locks his daughter Leimone in with a horse until she dies. (Pausanias and Aristotle).</v>
      </c>
    </row>
    <row r="32" spans="1:3" x14ac:dyDescent="0.25">
      <c r="A32">
        <v>716</v>
      </c>
      <c r="B32">
        <f t="shared" si="0"/>
        <v>16</v>
      </c>
      <c r="C32" t="str">
        <v>Mylae is founded and annexed by Zancle</v>
      </c>
    </row>
    <row r="33" spans="1:3" x14ac:dyDescent="0.25">
      <c r="A33">
        <v>716</v>
      </c>
      <c r="B33">
        <f t="shared" si="0"/>
        <v>16</v>
      </c>
      <c r="C33" t="str">
        <v>According to legend: The reign of the Heraklids over Lydia is ended when Candaules, known as Myrsilus to the Greeks, is murdered by Gyges because of his wife's anger.</v>
      </c>
    </row>
    <row r="34" spans="1:3" x14ac:dyDescent="0.25">
      <c r="A34">
        <v>715</v>
      </c>
      <c r="B34">
        <f t="shared" si="0"/>
        <v>16</v>
      </c>
      <c r="C34" t="str">
        <v>Lydia annexes Colophon and Magnesia and sieges Smyrna</v>
      </c>
    </row>
    <row r="35" spans="1:3" x14ac:dyDescent="0.25">
      <c r="A35">
        <v>712</v>
      </c>
      <c r="B35">
        <f t="shared" si="0"/>
        <v>17</v>
      </c>
      <c r="C35" t="str">
        <v>Lydia abandons the siege of Smyrna and annexes parts of Troad and Sipylus</v>
      </c>
    </row>
    <row r="36" spans="1:3" x14ac:dyDescent="0.25">
      <c r="A36">
        <v>712</v>
      </c>
      <c r="B36">
        <f t="shared" si="0"/>
        <v>17</v>
      </c>
      <c r="C36" t="str">
        <v>Korinth annexes Perachora peninsula from Megara</v>
      </c>
    </row>
    <row r="37" spans="1:3" x14ac:dyDescent="0.25">
      <c r="A37">
        <v>709</v>
      </c>
      <c r="B37">
        <f t="shared" si="0"/>
        <v>17</v>
      </c>
      <c r="C37" t="str">
        <v>Kroton is founded by Achaeans</v>
      </c>
    </row>
    <row r="38" spans="1:3" x14ac:dyDescent="0.25">
      <c r="A38">
        <v>707</v>
      </c>
      <c r="B38">
        <f t="shared" si="0"/>
        <v>18</v>
      </c>
      <c r="C38" t="str">
        <v>Taras is founded by Dorians</v>
      </c>
    </row>
    <row r="39" spans="1:3" x14ac:dyDescent="0.25">
      <c r="A39">
        <v>705</v>
      </c>
      <c r="B39">
        <f t="shared" si="0"/>
        <v>18</v>
      </c>
      <c r="C39" t="str">
        <v>Hybla Minor is annexed by Megara Hyblaea</v>
      </c>
    </row>
    <row r="40" spans="1:3" x14ac:dyDescent="0.25">
      <c r="A40">
        <v>704</v>
      </c>
      <c r="B40">
        <f t="shared" si="0"/>
        <v>19</v>
      </c>
      <c r="C40" t="str">
        <v>Korinth gives Samos 4 ships</v>
      </c>
    </row>
    <row r="41" spans="1:3" x14ac:dyDescent="0.25">
      <c r="A41">
        <v>700</v>
      </c>
      <c r="B41">
        <f t="shared" si="0"/>
        <v>20</v>
      </c>
      <c r="C41" t="str">
        <v>The town of Phaselis is founded by the Rhodians</v>
      </c>
    </row>
    <row r="42" spans="1:3" x14ac:dyDescent="0.25">
      <c r="A42">
        <v>700</v>
      </c>
      <c r="B42">
        <f t="shared" si="0"/>
        <v>20</v>
      </c>
      <c r="C42" t="str">
        <v>Erythra is annexed by Rhegion[citation needed]</v>
      </c>
    </row>
    <row r="43" spans="1:3" x14ac:dyDescent="0.25">
      <c r="A43">
        <v>699</v>
      </c>
      <c r="B43">
        <f t="shared" si="0"/>
        <v>20</v>
      </c>
      <c r="C43" t="str">
        <v>Metapontion is founded by Kroton and Sybaris</v>
      </c>
    </row>
    <row r="44" spans="1:3" x14ac:dyDescent="0.25">
      <c r="A44">
        <v>698</v>
      </c>
      <c r="B44">
        <f t="shared" si="0"/>
        <v>20</v>
      </c>
      <c r="C44" t="str">
        <v>Euarchus is overthrown by Leontini</v>
      </c>
    </row>
    <row r="45" spans="1:3" x14ac:dyDescent="0.25">
      <c r="A45">
        <v>696</v>
      </c>
      <c r="B45">
        <f t="shared" si="0"/>
        <v>21</v>
      </c>
      <c r="C45" t="str">
        <v>Lefkandi is occupied by Chalcis</v>
      </c>
    </row>
    <row r="46" spans="1:3" x14ac:dyDescent="0.25">
      <c r="A46">
        <v>695</v>
      </c>
      <c r="B46">
        <f t="shared" si="0"/>
        <v>21</v>
      </c>
      <c r="C46" t="str">
        <v>Polieum is founded by Ionians</v>
      </c>
    </row>
    <row r="47" spans="1:3" x14ac:dyDescent="0.25">
      <c r="A47">
        <v>691</v>
      </c>
      <c r="B47">
        <f t="shared" si="0"/>
        <v>22</v>
      </c>
      <c r="C47" t="str">
        <v>Antandrus is founded and annexed by Mytilene</v>
      </c>
    </row>
    <row r="48" spans="1:3" x14ac:dyDescent="0.25">
      <c r="A48">
        <v>690</v>
      </c>
      <c r="B48">
        <f t="shared" si="0"/>
        <v>22</v>
      </c>
      <c r="C48" t="str">
        <v>Pheidon becomes tyrant of Argos.</v>
      </c>
    </row>
    <row r="49" spans="1:3" x14ac:dyDescent="0.25">
      <c r="A49">
        <v>689</v>
      </c>
      <c r="B49">
        <f t="shared" si="0"/>
        <v>22</v>
      </c>
      <c r="C49" t="str">
        <v>Gela is founded by Cretans and Rodians</v>
      </c>
    </row>
    <row r="50" spans="1:3" x14ac:dyDescent="0.25">
      <c r="A50">
        <v>688</v>
      </c>
      <c r="B50">
        <f t="shared" si="0"/>
        <v>23</v>
      </c>
      <c r="C50" t="str">
        <v>Arisba is annexed by Methymna and Mytilene declares war on Methymna</v>
      </c>
    </row>
    <row r="51" spans="1:3" x14ac:dyDescent="0.25">
      <c r="A51">
        <v>687</v>
      </c>
      <c r="B51">
        <f t="shared" si="0"/>
        <v>23</v>
      </c>
      <c r="C51" t="str">
        <v>Annual office of Archon established in Athens. Any Athenian citizen can be elected to the office if they have the qualifications. Creon elected first annual archon. (Dating based on Pausanias).</v>
      </c>
    </row>
    <row r="52" spans="1:3" x14ac:dyDescent="0.25">
      <c r="A52">
        <v>686</v>
      </c>
      <c r="B52">
        <f t="shared" si="0"/>
        <v>23</v>
      </c>
      <c r="C52" t="str">
        <v>Methymna is annexed by Mytilene</v>
      </c>
    </row>
    <row r="53" spans="1:3" x14ac:dyDescent="0.25">
      <c r="A53">
        <v>686</v>
      </c>
      <c r="B53">
        <f t="shared" si="0"/>
        <v>23</v>
      </c>
      <c r="C53" t="str">
        <v>Megara gains independence from Korinth</v>
      </c>
    </row>
    <row r="54" spans="1:3" x14ac:dyDescent="0.25">
      <c r="A54">
        <v>685</v>
      </c>
      <c r="B54">
        <f t="shared" si="0"/>
        <v>23</v>
      </c>
      <c r="C54" t="str">
        <v>The second Messenian war begins.</v>
      </c>
    </row>
    <row r="55" spans="1:3" x14ac:dyDescent="0.25">
      <c r="A55">
        <v>685</v>
      </c>
      <c r="B55">
        <f t="shared" si="0"/>
        <v>23</v>
      </c>
      <c r="C55" t="str">
        <v>Chalcedon is founded by Megarans</v>
      </c>
    </row>
    <row r="56" spans="1:3" x14ac:dyDescent="0.25">
      <c r="A56">
        <v>680</v>
      </c>
      <c r="B56">
        <f t="shared" si="0"/>
        <v>25</v>
      </c>
      <c r="C56" t="str">
        <v>Epizephyrian Lokros is founded by Opus</v>
      </c>
    </row>
    <row r="57" spans="1:3" x14ac:dyDescent="0.25">
      <c r="A57">
        <v>676</v>
      </c>
      <c r="B57">
        <f t="shared" si="0"/>
        <v>26</v>
      </c>
      <c r="C57" t="str">
        <v>Pergamon is founded by Ionians</v>
      </c>
    </row>
    <row r="58" spans="1:3" x14ac:dyDescent="0.25">
      <c r="A58">
        <v>674</v>
      </c>
      <c r="B58">
        <f t="shared" si="0"/>
        <v>26</v>
      </c>
      <c r="C58" t="str">
        <v>Karystus is occupied by Korinth</v>
      </c>
    </row>
    <row r="59" spans="1:3" x14ac:dyDescent="0.25">
      <c r="A59">
        <v>672</v>
      </c>
      <c r="B59">
        <f t="shared" si="0"/>
        <v>27</v>
      </c>
      <c r="C59" t="str">
        <v>Abydos is settled by Miletus</v>
      </c>
    </row>
    <row r="60" spans="1:3" x14ac:dyDescent="0.25">
      <c r="A60">
        <v>671</v>
      </c>
      <c r="B60">
        <f t="shared" si="0"/>
        <v>27</v>
      </c>
      <c r="C60" t="str">
        <v>Melia is destroyed by Samos and Priene, Samos builds Fort Carium to replace it and Samos and Priene split Melia</v>
      </c>
    </row>
    <row r="61" spans="1:3" x14ac:dyDescent="0.25">
      <c r="A61">
        <v>670</v>
      </c>
      <c r="B61">
        <f t="shared" si="0"/>
        <v>27</v>
      </c>
      <c r="C61" t="str">
        <v>Miletus is sieged by Lydia, Priene is annexed by Lydia, Samos annexes former Melian territory</v>
      </c>
    </row>
    <row r="62" spans="1:3" x14ac:dyDescent="0.25">
      <c r="A62">
        <v>669</v>
      </c>
      <c r="B62">
        <f t="shared" si="0"/>
        <v>27</v>
      </c>
      <c r="C62" t="str">
        <v>or 668 Battle of Hysiae</v>
      </c>
    </row>
    <row r="63" spans="1:3" x14ac:dyDescent="0.25">
      <c r="A63">
        <v>668</v>
      </c>
      <c r="B63">
        <f t="shared" si="0"/>
        <v>28</v>
      </c>
      <c r="C63" t="str">
        <v>Lydia abandons siege of Mietus</v>
      </c>
    </row>
    <row r="64" spans="1:3" x14ac:dyDescent="0.25">
      <c r="A64">
        <v>667</v>
      </c>
      <c r="B64">
        <f t="shared" si="0"/>
        <v>28</v>
      </c>
      <c r="C64" t="str">
        <v>Byzantium is founded by Korinthians</v>
      </c>
    </row>
    <row r="65" spans="1:3" x14ac:dyDescent="0.25">
      <c r="A65">
        <v>665</v>
      </c>
      <c r="B65">
        <f t="shared" si="0"/>
        <v>28</v>
      </c>
      <c r="C65" t="str">
        <v>The second Messenian war ends.</v>
      </c>
    </row>
    <row r="66" spans="1:3" x14ac:dyDescent="0.25">
      <c r="A66">
        <v>664</v>
      </c>
      <c r="B66">
        <f t="shared" si="0"/>
        <v>29</v>
      </c>
      <c r="C66" t="str">
        <v>Corcyran Revolt and First Sea Battle in ancient Greece between Corcyra and Korinthos</v>
      </c>
    </row>
    <row r="67" spans="1:3" x14ac:dyDescent="0.25">
      <c r="A67">
        <v>664</v>
      </c>
      <c r="B67">
        <f t="shared" ref="B67:B130" si="1">ROUNDDOWN((-A67+780)/4,0)</f>
        <v>29</v>
      </c>
      <c r="C67" t="str">
        <v>Akrai is founded and annexed by Syracuse</v>
      </c>
    </row>
    <row r="68" spans="1:3" x14ac:dyDescent="0.25">
      <c r="A68">
        <v>657</v>
      </c>
      <c r="B68">
        <f t="shared" si="1"/>
        <v>30</v>
      </c>
      <c r="C68" t="str">
        <v>Cypselus subjects Corinth to tyranny.</v>
      </c>
    </row>
    <row r="69" spans="1:3" x14ac:dyDescent="0.25">
      <c r="A69">
        <v>657</v>
      </c>
      <c r="B69">
        <f t="shared" si="1"/>
        <v>30</v>
      </c>
      <c r="C69" t="str">
        <v>Founding of Lekas by Corinth</v>
      </c>
    </row>
    <row r="70" spans="1:3" x14ac:dyDescent="0.25">
      <c r="A70">
        <v>655</v>
      </c>
      <c r="B70">
        <f t="shared" si="1"/>
        <v>31</v>
      </c>
      <c r="C70" t="str">
        <v>Akanthus and Stageira are founded by Androsi</v>
      </c>
    </row>
    <row r="71" spans="1:3" x14ac:dyDescent="0.25">
      <c r="A71">
        <v>654</v>
      </c>
      <c r="B71">
        <f t="shared" si="1"/>
        <v>31</v>
      </c>
      <c r="C71" t="str">
        <v>Abdera is founded by Klazomenaites</v>
      </c>
    </row>
    <row r="72" spans="1:3" x14ac:dyDescent="0.25">
      <c r="A72">
        <v>652</v>
      </c>
      <c r="B72">
        <f t="shared" si="1"/>
        <v>32</v>
      </c>
      <c r="C72" t="str">
        <v>Ephesus and Priene are sacked by Cimmerians</v>
      </c>
    </row>
    <row r="73" spans="1:3" x14ac:dyDescent="0.25">
      <c r="A73">
        <v>651</v>
      </c>
      <c r="B73">
        <f t="shared" si="1"/>
        <v>32</v>
      </c>
      <c r="C73" t="str">
        <v>Levantine War ends, Chalcis wins and annexes Levantine Plain</v>
      </c>
    </row>
    <row r="74" spans="1:3" x14ac:dyDescent="0.25">
      <c r="A74">
        <v>650</v>
      </c>
      <c r="B74">
        <f t="shared" si="1"/>
        <v>32</v>
      </c>
      <c r="C74" t="str">
        <v>The Pontic Pentapolis: Apollonia, Callatis, Mesembria (Nessebar), Odessos (Varna), and Tomis (Constanța), all on the Euxeinos Pontos.</v>
      </c>
    </row>
    <row r="75" spans="1:3" x14ac:dyDescent="0.25">
      <c r="A75">
        <v>650</v>
      </c>
      <c r="B75">
        <f t="shared" si="1"/>
        <v>32</v>
      </c>
      <c r="C75" t="str">
        <v>Andros, Kea and Tenos gain independence from Eretria, Cypselus leaves Karystus</v>
      </c>
    </row>
    <row r="76" spans="1:3" x14ac:dyDescent="0.25">
      <c r="A76">
        <v>650</v>
      </c>
      <c r="B76">
        <f t="shared" si="1"/>
        <v>32</v>
      </c>
      <c r="C76" t="str">
        <v>Syracuse annexes Pantalica</v>
      </c>
    </row>
    <row r="77" spans="1:3" x14ac:dyDescent="0.25">
      <c r="A77">
        <v>648</v>
      </c>
      <c r="B77">
        <f t="shared" si="1"/>
        <v>33</v>
      </c>
      <c r="C77" t="str">
        <v>Himera is founded by Zancleans</v>
      </c>
    </row>
    <row r="78" spans="1:3" x14ac:dyDescent="0.25">
      <c r="A78">
        <v>645</v>
      </c>
      <c r="B78">
        <f t="shared" si="1"/>
        <v>33</v>
      </c>
      <c r="C78" t="str">
        <v>Spartan wars with Tegea all unsuccessful --&gt;</v>
      </c>
    </row>
    <row r="79" spans="1:3" x14ac:dyDescent="0.25">
      <c r="A79">
        <v>643</v>
      </c>
      <c r="B79">
        <f t="shared" si="1"/>
        <v>34</v>
      </c>
      <c r="C79" t="str">
        <v>Kasmenai is founded and annexed by Syracuse</v>
      </c>
    </row>
    <row r="80" spans="1:3" x14ac:dyDescent="0.25">
      <c r="A80">
        <v>637</v>
      </c>
      <c r="B80">
        <f t="shared" si="1"/>
        <v>35</v>
      </c>
      <c r="C80" t="str">
        <v>Drought on Thera --&gt;</v>
      </c>
    </row>
    <row r="81" spans="1:3" x14ac:dyDescent="0.25">
      <c r="A81">
        <v>633</v>
      </c>
      <c r="B81">
        <f t="shared" si="1"/>
        <v>36</v>
      </c>
      <c r="C81" t="str">
        <v>Ambrakia founded by Tyrant Gorgus and Korinthians</v>
      </c>
    </row>
    <row r="82" spans="1:3" x14ac:dyDescent="0.25">
      <c r="A82">
        <v>632</v>
      </c>
      <c r="B82">
        <f t="shared" si="1"/>
        <v>37</v>
      </c>
      <c r="C82" t="str">
        <v>Cylon, Athenian noble, seizes Acropolis and tries unsuccessfully to make himself king</v>
      </c>
    </row>
    <row r="83" spans="1:3" x14ac:dyDescent="0.25">
      <c r="A83">
        <v>631</v>
      </c>
      <c r="B83">
        <f t="shared" si="1"/>
        <v>37</v>
      </c>
      <c r="C83" t="str">
        <v>Battus establishes a Greek colony in Cyrene in Libya.</v>
      </c>
    </row>
    <row r="84" spans="1:3" x14ac:dyDescent="0.25">
      <c r="A84">
        <v>630</v>
      </c>
      <c r="B84">
        <f t="shared" si="1"/>
        <v>37</v>
      </c>
      <c r="C84" t="str">
        <v>Helorus is founded and annexed by Syracuse</v>
      </c>
    </row>
    <row r="85" spans="1:3" x14ac:dyDescent="0.25">
      <c r="A85">
        <v>630</v>
      </c>
      <c r="B85">
        <f t="shared" si="1"/>
        <v>37</v>
      </c>
      <c r="C85" t="str">
        <v>Histria is established by Milesian settlers in order to facilitate trade with the native Getae.</v>
      </c>
    </row>
    <row r="86" spans="1:3" x14ac:dyDescent="0.25">
      <c r="A86">
        <v>630</v>
      </c>
      <c r="B86">
        <f t="shared" si="1"/>
        <v>37</v>
      </c>
      <c r="C86" t="str">
        <v>Founding of Tripolis by Samos</v>
      </c>
    </row>
    <row r="87" spans="1:3" x14ac:dyDescent="0.25">
      <c r="A87">
        <v>630</v>
      </c>
      <c r="B87">
        <f t="shared" si="1"/>
        <v>37</v>
      </c>
      <c r="C87" t="str">
        <v>Formal pederasty is introduced, first in Crete, as a means of population control and an educational modality.</v>
      </c>
    </row>
    <row r="88" spans="1:3" x14ac:dyDescent="0.25">
      <c r="A88">
        <v>630</v>
      </c>
      <c r="B88">
        <f t="shared" si="1"/>
        <v>37</v>
      </c>
      <c r="C88" t="str">
        <v>--&gt; Drought on Thera</v>
      </c>
    </row>
    <row r="89" spans="1:3" x14ac:dyDescent="0.25">
      <c r="A89">
        <v>63</v>
      </c>
      <c r="B89">
        <f t="shared" si="1"/>
        <v>179</v>
      </c>
      <c r="C89" t="str">
        <v>--&gt; Seleucid Empire</v>
      </c>
    </row>
    <row r="90" spans="1:3" x14ac:dyDescent="0.25">
      <c r="A90">
        <v>628</v>
      </c>
      <c r="B90">
        <f t="shared" si="1"/>
        <v>38</v>
      </c>
      <c r="C90" t="str">
        <v>Selinus is founded by Hyblaea Megarans</v>
      </c>
    </row>
    <row r="91" spans="1:3" x14ac:dyDescent="0.25">
      <c r="A91">
        <v>627</v>
      </c>
      <c r="B91">
        <f t="shared" si="1"/>
        <v>38</v>
      </c>
      <c r="C91" t="str">
        <v>Epidamos is founded by Kerkyreans</v>
      </c>
    </row>
    <row r="92" spans="1:3" x14ac:dyDescent="0.25">
      <c r="A92">
        <v>627</v>
      </c>
      <c r="B92">
        <f t="shared" si="1"/>
        <v>38</v>
      </c>
      <c r="C92" t="str">
        <v>Cypselus is succeeded by Periander</v>
      </c>
    </row>
    <row r="93" spans="1:3" x14ac:dyDescent="0.25">
      <c r="A93">
        <v>625</v>
      </c>
      <c r="B93">
        <f t="shared" si="1"/>
        <v>38</v>
      </c>
      <c r="C93" t="str">
        <v>Establishment of Naucratis</v>
      </c>
    </row>
    <row r="94" spans="1:3" x14ac:dyDescent="0.25">
      <c r="A94">
        <v>621</v>
      </c>
      <c r="B94">
        <f t="shared" si="1"/>
        <v>39</v>
      </c>
      <c r="C94" t="str">
        <v>Draco, Athenian lawgiver, issues code of laws, with many crimes punishable by death.</v>
      </c>
    </row>
    <row r="95" spans="1:3" x14ac:dyDescent="0.25">
      <c r="A95">
        <v>621</v>
      </c>
      <c r="B95">
        <f t="shared" si="1"/>
        <v>39</v>
      </c>
      <c r="C95" t="str">
        <v>Epidaurus is annexed by Korinth</v>
      </c>
    </row>
    <row r="96" spans="1:3" x14ac:dyDescent="0.25">
      <c r="A96">
        <v>619</v>
      </c>
      <c r="B96">
        <f t="shared" si="1"/>
        <v>40</v>
      </c>
      <c r="C96" t="str">
        <v>Herbessus is annexed by Syracuse</v>
      </c>
    </row>
    <row r="97" spans="1:3" x14ac:dyDescent="0.25">
      <c r="A97">
        <v>616</v>
      </c>
      <c r="B97">
        <f t="shared" si="1"/>
        <v>41</v>
      </c>
      <c r="C97" t="str">
        <v>Miletus is sieged by Lydia</v>
      </c>
    </row>
    <row r="98" spans="1:3" x14ac:dyDescent="0.25">
      <c r="A98">
        <v>615</v>
      </c>
      <c r="B98">
        <f t="shared" si="1"/>
        <v>41</v>
      </c>
      <c r="C98" t="str">
        <v>Leontini is overthrown by Panaetius</v>
      </c>
    </row>
    <row r="99" spans="1:3" x14ac:dyDescent="0.25">
      <c r="A99">
        <v>612</v>
      </c>
      <c r="B99">
        <f t="shared" si="1"/>
        <v>42</v>
      </c>
      <c r="C99" t="str">
        <v>Miletus is overthrown by Thrasybulos</v>
      </c>
    </row>
    <row r="100" spans="1:3" x14ac:dyDescent="0.25">
      <c r="A100">
        <v>610</v>
      </c>
      <c r="B100">
        <f t="shared" si="1"/>
        <v>42</v>
      </c>
      <c r="C100" t="str">
        <v>Panticapaeum (modern city Kerch) is founded by Milesians</v>
      </c>
    </row>
    <row r="101" spans="1:3" x14ac:dyDescent="0.25">
      <c r="A101">
        <v>609</v>
      </c>
      <c r="B101">
        <f t="shared" si="1"/>
        <v>42</v>
      </c>
      <c r="C101" t="str">
        <v>Panaetius is oust by Leontini</v>
      </c>
    </row>
    <row r="102" spans="1:3" x14ac:dyDescent="0.25">
      <c r="A102">
        <v>606</v>
      </c>
      <c r="B102">
        <f t="shared" si="1"/>
        <v>43</v>
      </c>
      <c r="C102" t="str">
        <v>Gorgus is succeeded by Periander</v>
      </c>
    </row>
    <row r="103" spans="1:3" x14ac:dyDescent="0.25">
      <c r="A103">
        <v>604</v>
      </c>
      <c r="B103">
        <f t="shared" si="1"/>
        <v>44</v>
      </c>
      <c r="C103" t="str">
        <v>Lydia abandons the Siege of Miletus</v>
      </c>
    </row>
    <row r="104" spans="1:3" x14ac:dyDescent="0.25">
      <c r="A104">
        <v>603</v>
      </c>
      <c r="B104">
        <f t="shared" si="1"/>
        <v>44</v>
      </c>
      <c r="C104" t="str">
        <v>Athenai annexes Sigeion</v>
      </c>
    </row>
    <row r="105" spans="1:3" x14ac:dyDescent="0.25">
      <c r="A105">
        <v>601</v>
      </c>
      <c r="B105">
        <f t="shared" si="1"/>
        <v>44</v>
      </c>
      <c r="C105" t="str">
        <v>Miletus and Korinth become allies</v>
      </c>
    </row>
    <row r="106" spans="1:3" x14ac:dyDescent="0.25">
      <c r="A106">
        <v>600</v>
      </c>
      <c r="B106">
        <f t="shared" si="1"/>
        <v>45</v>
      </c>
      <c r="C106" t="str">
        <v>Massalia founded by Phocaean Greeks (approximate date).[1]</v>
      </c>
    </row>
    <row r="107" spans="1:3" x14ac:dyDescent="0.25">
      <c r="A107">
        <v>600</v>
      </c>
      <c r="B107">
        <f t="shared" si="1"/>
        <v>45</v>
      </c>
      <c r="C107" t="str">
        <v>Segesta is Hellenized by Ionians</v>
      </c>
    </row>
    <row r="108" spans="1:3" x14ac:dyDescent="0.25">
      <c r="A108">
        <v>598</v>
      </c>
      <c r="B108">
        <f t="shared" si="1"/>
        <v>45</v>
      </c>
      <c r="C108" t="str">
        <v>Akrillai is founded and annexed by Syracuse</v>
      </c>
    </row>
    <row r="109" spans="1:3" x14ac:dyDescent="0.25">
      <c r="A109">
        <v>598</v>
      </c>
      <c r="B109">
        <f t="shared" si="1"/>
        <v>45</v>
      </c>
      <c r="C109" t="str">
        <v>Kamarina is founded and annexed by Syracuse</v>
      </c>
    </row>
    <row r="110" spans="1:3" x14ac:dyDescent="0.25">
      <c r="A110">
        <v>597</v>
      </c>
      <c r="B110">
        <f t="shared" si="1"/>
        <v>45</v>
      </c>
      <c r="C110" t="str">
        <v>Delphi gains independence from Kirrha</v>
      </c>
    </row>
    <row r="111" spans="1:3" x14ac:dyDescent="0.25">
      <c r="A111">
        <v>596</v>
      </c>
      <c r="B111">
        <f t="shared" si="1"/>
        <v>46</v>
      </c>
      <c r="C111" t="str">
        <v>Paleopoli is founded by Samosi</v>
      </c>
    </row>
    <row r="112" spans="1:3" x14ac:dyDescent="0.25">
      <c r="A112">
        <v>595</v>
      </c>
      <c r="B112">
        <f t="shared" si="1"/>
        <v>46</v>
      </c>
      <c r="C112" t="str">
        <v>Salamis is annexed by Athens</v>
      </c>
    </row>
    <row r="113" spans="1:3" x14ac:dyDescent="0.25">
      <c r="A113">
        <v>595</v>
      </c>
      <c r="B113">
        <f t="shared" si="1"/>
        <v>46</v>
      </c>
      <c r="C113" t="str">
        <v>Start of the First Sacred War</v>
      </c>
    </row>
    <row r="114" spans="1:3" x14ac:dyDescent="0.25">
      <c r="A114">
        <v>594</v>
      </c>
      <c r="B114">
        <f t="shared" si="1"/>
        <v>46</v>
      </c>
      <c r="C114" t="str">
        <v>Kirrha is sieged by Amphictyonic League</v>
      </c>
    </row>
    <row r="115" spans="1:3" x14ac:dyDescent="0.25">
      <c r="A115">
        <v>594</v>
      </c>
      <c r="B115">
        <f t="shared" si="1"/>
        <v>46</v>
      </c>
      <c r="C115" t="str">
        <v>Solon, Athenian statesman, becomes Archon pre-582 (cf. ML6 and Plutarch Sol. 14)—later, when member of the Areopagus is appointed to effect social reforms in order to preserve order in Athens, which include the abolition of the security of debts on a debtor's person (Aristotle Ath. Pol. 6), returning exiled Athenian slaves (Solon fr. 4 in Ath. Pol. 12), changing the value of weights and measures to the Korinthian standard, prohibiting the export of grain from Attica and encouraging the planting of olives (Plut. Sol. 22-4), established the property classes (Ar. Ath. Pol. 7) and the council of 400 (Ar. Ath. Pol. 8).</v>
      </c>
    </row>
    <row r="116" spans="1:3" x14ac:dyDescent="0.25">
      <c r="A116">
        <v>592</v>
      </c>
      <c r="B116">
        <f t="shared" si="1"/>
        <v>47</v>
      </c>
      <c r="C116" t="str">
        <v>Ephesus is sieged by Persia</v>
      </c>
    </row>
    <row r="117" spans="1:3" x14ac:dyDescent="0.25">
      <c r="A117">
        <v>590</v>
      </c>
      <c r="B117">
        <f t="shared" si="1"/>
        <v>47</v>
      </c>
      <c r="C117" t="str">
        <v>Siege of Ephesus is abandoned, Lydia annexes Smyrna and Median-Lydian war starts</v>
      </c>
    </row>
    <row r="118" spans="1:3" x14ac:dyDescent="0.25">
      <c r="A118">
        <v>590</v>
      </c>
      <c r="B118">
        <f t="shared" si="1"/>
        <v>47</v>
      </c>
      <c r="C118" t="str">
        <v>Muorica (Renamed Modica) is annexed by Syracuse</v>
      </c>
    </row>
    <row r="119" spans="1:3" x14ac:dyDescent="0.25">
      <c r="A119">
        <v>590</v>
      </c>
      <c r="B119">
        <f t="shared" si="1"/>
        <v>47</v>
      </c>
      <c r="C119" t="str">
        <v>Sappho, Greek poet, flourishes on island of Lesbos.</v>
      </c>
    </row>
    <row r="120" spans="1:3" x14ac:dyDescent="0.25">
      <c r="A120">
        <v>589</v>
      </c>
      <c r="B120">
        <f t="shared" si="1"/>
        <v>47</v>
      </c>
      <c r="C120" t="str">
        <v>Klazomenai is sieged by Lydia</v>
      </c>
    </row>
    <row r="121" spans="1:3" x14ac:dyDescent="0.25">
      <c r="A121">
        <v>588</v>
      </c>
      <c r="B121">
        <f t="shared" si="1"/>
        <v>48</v>
      </c>
      <c r="C121" t="str">
        <v>Poseidonia is founded by Sybaris</v>
      </c>
    </row>
    <row r="122" spans="1:3" x14ac:dyDescent="0.25">
      <c r="A122">
        <v>587</v>
      </c>
      <c r="B122">
        <f t="shared" si="1"/>
        <v>48</v>
      </c>
      <c r="C122" t="str">
        <v>Siege of Klazomenai is abandoned by Lydia</v>
      </c>
    </row>
    <row r="123" spans="1:3" x14ac:dyDescent="0.25">
      <c r="A123">
        <v>586</v>
      </c>
      <c r="B123">
        <f t="shared" si="1"/>
        <v>48</v>
      </c>
      <c r="C123" t="str">
        <v>Death of Lycophron tyrant of Corcyra</v>
      </c>
    </row>
    <row r="124" spans="1:3" x14ac:dyDescent="0.25">
      <c r="A124">
        <v>586</v>
      </c>
      <c r="B124">
        <f t="shared" si="1"/>
        <v>48</v>
      </c>
      <c r="C124" t="str">
        <v>Plataea gains independence from Thebai</v>
      </c>
    </row>
    <row r="125" spans="1:3" x14ac:dyDescent="0.25">
      <c r="A125">
        <v>585</v>
      </c>
      <c r="B125">
        <f t="shared" si="1"/>
        <v>48</v>
      </c>
      <c r="C125" t="str">
        <v>Kirrha is destroyed</v>
      </c>
    </row>
    <row r="126" spans="1:3" x14ac:dyDescent="0.25">
      <c r="A126">
        <v>585</v>
      </c>
      <c r="B126">
        <f t="shared" si="1"/>
        <v>48</v>
      </c>
      <c r="C126" t="str">
        <v>Lydian-Median border set at Halys River</v>
      </c>
    </row>
    <row r="127" spans="1:3" x14ac:dyDescent="0.25">
      <c r="A127">
        <v>585</v>
      </c>
      <c r="B127">
        <f t="shared" si="1"/>
        <v>48</v>
      </c>
      <c r="C127" t="str">
        <v>The philosopher Thales of Miletus predicts a solar eclipse that occurs during the Battle of Halys.</v>
      </c>
    </row>
    <row r="128" spans="1:3" x14ac:dyDescent="0.25">
      <c r="A128">
        <v>585</v>
      </c>
      <c r="B128">
        <f t="shared" si="1"/>
        <v>48</v>
      </c>
      <c r="C128" t="str">
        <v>Periander is overthrown by Psammetichus</v>
      </c>
    </row>
    <row r="129" spans="1:3" x14ac:dyDescent="0.25">
      <c r="A129">
        <v>585</v>
      </c>
      <c r="B129">
        <f t="shared" si="1"/>
        <v>48</v>
      </c>
      <c r="C129" t="str">
        <v>End of the First Sacred War</v>
      </c>
    </row>
    <row r="130" spans="1:3" x14ac:dyDescent="0.25">
      <c r="A130">
        <v>583</v>
      </c>
      <c r="B130">
        <f t="shared" si="1"/>
        <v>49</v>
      </c>
      <c r="C130" t="str">
        <v>Psammetichus is overthrown by Korinth</v>
      </c>
    </row>
    <row r="131" spans="1:3" x14ac:dyDescent="0.25">
      <c r="A131">
        <v>582</v>
      </c>
      <c r="B131">
        <f t="shared" ref="B131:B194" si="2">ROUNDDOWN((-A131+780)/4,0)</f>
        <v>49</v>
      </c>
      <c r="C131" t="str">
        <v>Akragas is founded by Gelans</v>
      </c>
    </row>
    <row r="132" spans="1:3" x14ac:dyDescent="0.25">
      <c r="A132">
        <v>582</v>
      </c>
      <c r="B132">
        <f t="shared" si="2"/>
        <v>49</v>
      </c>
      <c r="C132" t="str">
        <v>First recorded Pythian Games</v>
      </c>
    </row>
    <row r="133" spans="1:3" x14ac:dyDescent="0.25">
      <c r="A133">
        <v>581</v>
      </c>
      <c r="B133">
        <f t="shared" si="2"/>
        <v>49</v>
      </c>
      <c r="C133" t="str">
        <v>Selinus attacks Motya</v>
      </c>
    </row>
    <row r="134" spans="1:3" x14ac:dyDescent="0.25">
      <c r="A134">
        <v>581</v>
      </c>
      <c r="B134">
        <f t="shared" si="2"/>
        <v>49</v>
      </c>
      <c r="C134" t="str">
        <v>Korinth join the Peloponnesian League</v>
      </c>
    </row>
    <row r="135" spans="1:3" x14ac:dyDescent="0.25">
      <c r="A135">
        <v>580</v>
      </c>
      <c r="B135">
        <f t="shared" si="2"/>
        <v>50</v>
      </c>
      <c r="C135" t="str">
        <v>Foundation of Parthenope</v>
      </c>
    </row>
    <row r="136" spans="1:3" x14ac:dyDescent="0.25">
      <c r="A136">
        <v>580</v>
      </c>
      <c r="B136">
        <f t="shared" si="2"/>
        <v>50</v>
      </c>
      <c r="C136" t="str">
        <v>Selinus is defeated by Carthage and withdraws from Motya</v>
      </c>
    </row>
    <row r="137" spans="1:3" x14ac:dyDescent="0.25">
      <c r="A137">
        <v>580</v>
      </c>
      <c r="B137">
        <f t="shared" si="2"/>
        <v>50</v>
      </c>
      <c r="C137" t="str">
        <v>Periander is overthrown by democrats in Ambrakia</v>
      </c>
    </row>
    <row r="138" spans="1:3" x14ac:dyDescent="0.25">
      <c r="A138">
        <v>580</v>
      </c>
      <c r="B138">
        <f t="shared" si="2"/>
        <v>50</v>
      </c>
      <c r="C138" t="str">
        <v>Elis joins the Peloponnesian League</v>
      </c>
    </row>
    <row r="139" spans="1:3" x14ac:dyDescent="0.25">
      <c r="A139">
        <v>580</v>
      </c>
      <c r="B139">
        <f t="shared" si="2"/>
        <v>50</v>
      </c>
      <c r="C139" t="str">
        <v>Lipari is founded by Knidosi</v>
      </c>
    </row>
    <row r="140" spans="1:3" x14ac:dyDescent="0.25">
      <c r="A140">
        <v>578</v>
      </c>
      <c r="B140">
        <f t="shared" si="2"/>
        <v>50</v>
      </c>
      <c r="C140" t="str">
        <v>Thrasybulos dies</v>
      </c>
    </row>
    <row r="141" spans="1:3" x14ac:dyDescent="0.25">
      <c r="A141">
        <v>575</v>
      </c>
      <c r="B141">
        <f t="shared" si="2"/>
        <v>51</v>
      </c>
      <c r="C141" t="str">
        <v>Empúries, also known as Ampurias (Greek: Ἐμπόριον, Catalan: Empúries [əmˈpuɾiəs], Spanish: Ampurias [amˈpuɾjas]), a town on the Mediterranean coast of the Catalan comarca of Alt Empordà in Catalonia, Spain is founded by Greek colonists from Phocaea with the name of Ἐμπόριον (Emporion, meaning "trading place", cf. emporion).</v>
      </c>
    </row>
    <row r="142" spans="1:3" x14ac:dyDescent="0.25">
      <c r="A142">
        <v>572</v>
      </c>
      <c r="B142">
        <f t="shared" si="2"/>
        <v>52</v>
      </c>
      <c r="C142" t="str">
        <v>Pisa and Olympia are annexed by Elis</v>
      </c>
    </row>
    <row r="143" spans="1:3" x14ac:dyDescent="0.25">
      <c r="A143">
        <v>570</v>
      </c>
      <c r="B143">
        <f t="shared" si="2"/>
        <v>52</v>
      </c>
      <c r="C143" t="str">
        <v>Akragas is overthrown by Phalaris</v>
      </c>
    </row>
    <row r="144" spans="1:3" x14ac:dyDescent="0.25">
      <c r="A144">
        <v>570</v>
      </c>
      <c r="B144">
        <f t="shared" si="2"/>
        <v>52</v>
      </c>
      <c r="C144" t="str">
        <v>Phocaeans from Massalia (modern day Marseille) founded the colony of Monoikos (Monaco).[2]</v>
      </c>
    </row>
    <row r="145" spans="1:3" x14ac:dyDescent="0.25">
      <c r="A145">
        <v>569</v>
      </c>
      <c r="B145">
        <f t="shared" si="2"/>
        <v>52</v>
      </c>
      <c r="C145" t="str">
        <v>Pythagoras is born.</v>
      </c>
    </row>
    <row r="146" spans="1:3" x14ac:dyDescent="0.25">
      <c r="A146">
        <v>565</v>
      </c>
      <c r="B146">
        <f t="shared" si="2"/>
        <v>53</v>
      </c>
      <c r="C146" t="str">
        <v>Peisistratos, Athenian general, organizes Diakrioi, party of poor people.</v>
      </c>
    </row>
    <row r="147" spans="1:3" x14ac:dyDescent="0.25">
      <c r="A147">
        <v>561</v>
      </c>
      <c r="B147">
        <f t="shared" si="2"/>
        <v>54</v>
      </c>
      <c r="C147" t="str">
        <v>Peisistratos takes power in Athens for first time.</v>
      </c>
    </row>
    <row r="148" spans="1:3" x14ac:dyDescent="0.25">
      <c r="A148">
        <v>560</v>
      </c>
      <c r="B148">
        <f t="shared" si="2"/>
        <v>55</v>
      </c>
      <c r="C148" t="str">
        <v>Ephesus is besieged by Lydia</v>
      </c>
    </row>
    <row r="149" spans="1:3" x14ac:dyDescent="0.25">
      <c r="A149">
        <v>560</v>
      </c>
      <c r="B149">
        <f t="shared" si="2"/>
        <v>55</v>
      </c>
      <c r="C149" t="str">
        <v>Phalaris annexes Himera</v>
      </c>
    </row>
    <row r="150" spans="1:3" x14ac:dyDescent="0.25">
      <c r="A150">
        <v>560</v>
      </c>
      <c r="B150">
        <f t="shared" si="2"/>
        <v>55</v>
      </c>
      <c r="C150" t="str">
        <v>--&gt; Spartan wars with Tegea all unsuccessful</v>
      </c>
    </row>
    <row r="151" spans="1:3" x14ac:dyDescent="0.25">
      <c r="A151">
        <v>559</v>
      </c>
      <c r="B151">
        <f t="shared" si="2"/>
        <v>55</v>
      </c>
      <c r="C151" t="str">
        <v>Ephesus is annexed by Lydia</v>
      </c>
    </row>
    <row r="152" spans="1:3" x14ac:dyDescent="0.25">
      <c r="A152">
        <v>559</v>
      </c>
      <c r="B152">
        <f t="shared" si="2"/>
        <v>55</v>
      </c>
      <c r="C152" t="str">
        <v>Lydia annexes Aeolis and Ionia --&gt;</v>
      </c>
    </row>
    <row r="153" spans="1:3" x14ac:dyDescent="0.25">
      <c r="A153">
        <v>559</v>
      </c>
      <c r="B153">
        <f t="shared" si="2"/>
        <v>55</v>
      </c>
      <c r="C153" t="str">
        <v>Achilleion is founded and annexed by Mytilene</v>
      </c>
    </row>
    <row r="154" spans="1:3" x14ac:dyDescent="0.25">
      <c r="A154">
        <v>557</v>
      </c>
      <c r="B154">
        <f t="shared" si="2"/>
        <v>55</v>
      </c>
      <c r="C154" t="str">
        <v>Argos is overthrown by Perilaus</v>
      </c>
    </row>
    <row r="155" spans="1:3" x14ac:dyDescent="0.25">
      <c r="A155">
        <v>556</v>
      </c>
      <c r="B155">
        <f t="shared" si="2"/>
        <v>56</v>
      </c>
      <c r="C155" t="str">
        <v>Phlius is overthrown by Leo</v>
      </c>
    </row>
    <row r="156" spans="1:3" x14ac:dyDescent="0.25">
      <c r="A156">
        <v>555</v>
      </c>
      <c r="B156">
        <f t="shared" si="2"/>
        <v>56</v>
      </c>
      <c r="C156" t="str">
        <v>Helike (Elche) is established by Greeks from the Achaian city of Helice</v>
      </c>
    </row>
    <row r="157" spans="1:3" x14ac:dyDescent="0.25">
      <c r="A157">
        <v>555</v>
      </c>
      <c r="B157">
        <f t="shared" si="2"/>
        <v>56</v>
      </c>
      <c r="C157" t="str">
        <v>Peisistratos driven out by Lycurgus who is commander of nobles.</v>
      </c>
    </row>
    <row r="158" spans="1:3" x14ac:dyDescent="0.25">
      <c r="A158">
        <v>555</v>
      </c>
      <c r="B158">
        <f t="shared" si="2"/>
        <v>56</v>
      </c>
      <c r="C158" t="str">
        <v>Miltiades I unites Thracian Chernessos under his rule</v>
      </c>
    </row>
    <row r="159" spans="1:3" x14ac:dyDescent="0.25">
      <c r="A159">
        <v>554</v>
      </c>
      <c r="B159">
        <f t="shared" si="2"/>
        <v>56</v>
      </c>
      <c r="C159" t="str">
        <v>Phalaris is overthrown by Akragas and Himera gains independence</v>
      </c>
    </row>
    <row r="160" spans="1:3" x14ac:dyDescent="0.25">
      <c r="A160">
        <v>553</v>
      </c>
      <c r="B160">
        <f t="shared" si="2"/>
        <v>56</v>
      </c>
      <c r="C160" t="str">
        <v>Kamarina declares independence from Syracuse</v>
      </c>
    </row>
    <row r="161" spans="1:3" x14ac:dyDescent="0.25">
      <c r="A161">
        <v>552</v>
      </c>
      <c r="B161">
        <f t="shared" si="2"/>
        <v>57</v>
      </c>
      <c r="C161" t="str">
        <v>Kamarina is annexed by Syracuse</v>
      </c>
    </row>
    <row r="162" spans="1:3" x14ac:dyDescent="0.25">
      <c r="A162">
        <v>551</v>
      </c>
      <c r="B162">
        <f t="shared" si="2"/>
        <v>57</v>
      </c>
      <c r="C162" t="str">
        <v>Telemachus overthrows Akragas</v>
      </c>
    </row>
    <row r="163" spans="1:3" x14ac:dyDescent="0.25">
      <c r="A163">
        <v>550</v>
      </c>
      <c r="B163">
        <f t="shared" si="2"/>
        <v>57</v>
      </c>
      <c r="C163" t="str">
        <v>Minoa is founded by Selinus</v>
      </c>
    </row>
    <row r="164" spans="1:3" x14ac:dyDescent="0.25">
      <c r="A164">
        <v>550</v>
      </c>
      <c r="B164">
        <f t="shared" si="2"/>
        <v>57</v>
      </c>
      <c r="C164" t="str">
        <v>Odessa[3] is established by the Greek city of Histria.</v>
      </c>
    </row>
    <row r="165" spans="1:3" x14ac:dyDescent="0.25">
      <c r="A165">
        <v>550</v>
      </c>
      <c r="B165">
        <f t="shared" si="2"/>
        <v>57</v>
      </c>
      <c r="C165" t="str">
        <v>Miltiades II is born</v>
      </c>
    </row>
    <row r="166" spans="1:3" x14ac:dyDescent="0.25">
      <c r="A166">
        <v>550</v>
      </c>
      <c r="B166">
        <f t="shared" si="2"/>
        <v>57</v>
      </c>
      <c r="C166" t="str">
        <v>--&gt; Lydia annexes Aeolis and Ionia</v>
      </c>
    </row>
    <row r="167" spans="1:3" x14ac:dyDescent="0.25">
      <c r="A167">
        <v>549</v>
      </c>
      <c r="B167">
        <f t="shared" si="2"/>
        <v>57</v>
      </c>
      <c r="C167" t="str">
        <v>Peisistratos restored by help of Megacles.</v>
      </c>
    </row>
    <row r="168" spans="1:3" x14ac:dyDescent="0.25">
      <c r="A168">
        <v>549</v>
      </c>
      <c r="B168">
        <f t="shared" si="2"/>
        <v>57</v>
      </c>
      <c r="C168" t="str">
        <v>Boeotian League is founded</v>
      </c>
    </row>
    <row r="169" spans="1:3" x14ac:dyDescent="0.25">
      <c r="A169">
        <v>548</v>
      </c>
      <c r="B169">
        <f t="shared" si="2"/>
        <v>58</v>
      </c>
      <c r="C169" t="str">
        <v>Lesbos sieges Sigeion</v>
      </c>
    </row>
    <row r="170" spans="1:3" x14ac:dyDescent="0.25">
      <c r="A170">
        <v>547</v>
      </c>
      <c r="B170">
        <f t="shared" si="2"/>
        <v>58</v>
      </c>
      <c r="C170" t="str">
        <v>Athens repulses the Lesbans and Sigeion (Now ruled by Hegesistratos) becomes an Athenian vassal</v>
      </c>
    </row>
    <row r="171" spans="1:3" x14ac:dyDescent="0.25">
      <c r="A171">
        <v>546</v>
      </c>
      <c r="B171">
        <f t="shared" si="2"/>
        <v>58</v>
      </c>
      <c r="C171" t="str">
        <v>Sparta annexes Kynouria, Thyrea and Kythera from Argos</v>
      </c>
    </row>
    <row r="172" spans="1:3" x14ac:dyDescent="0.25">
      <c r="A172">
        <v>546</v>
      </c>
      <c r="B172">
        <f t="shared" si="2"/>
        <v>58</v>
      </c>
      <c r="C172" t="str">
        <v>Croesus, rich king of Lydia, captured at Sardis by Persians.</v>
      </c>
    </row>
    <row r="173" spans="1:3" x14ac:dyDescent="0.25">
      <c r="A173">
        <v>545</v>
      </c>
      <c r="B173">
        <f t="shared" si="2"/>
        <v>58</v>
      </c>
      <c r="C173" t="str">
        <v>Miletus is overthrown by Molpagoras</v>
      </c>
    </row>
    <row r="174" spans="1:3" x14ac:dyDescent="0.25">
      <c r="A174">
        <v>545</v>
      </c>
      <c r="B174">
        <f t="shared" si="2"/>
        <v>58</v>
      </c>
      <c r="C174" t="str">
        <v>Lygdamis becomes Tyrant of Naxos</v>
      </c>
    </row>
    <row r="175" spans="1:3" x14ac:dyDescent="0.25">
      <c r="A175">
        <v>545</v>
      </c>
      <c r="B175">
        <f t="shared" si="2"/>
        <v>58</v>
      </c>
      <c r="C175" t="str">
        <v>The ancient Greek colony of Hermonassa (Krasnodar Krai, Russia) is founded by Ionians and Cretans.[4]</v>
      </c>
    </row>
    <row r="176" spans="1:3" x14ac:dyDescent="0.25">
      <c r="A176">
        <v>544</v>
      </c>
      <c r="B176">
        <f t="shared" si="2"/>
        <v>59</v>
      </c>
      <c r="C176" t="str">
        <v>Abdera starts its Golden Age</v>
      </c>
    </row>
    <row r="177" spans="1:3" x14ac:dyDescent="0.25">
      <c r="A177">
        <v>543</v>
      </c>
      <c r="B177">
        <f t="shared" si="2"/>
        <v>59</v>
      </c>
      <c r="C177" t="str">
        <v>Phanagoria, (Krasnodar Krai, Russia), is founded by Teian colonists who had to flee Asia Minor in consequence of their conflict with Cyrus the Great.</v>
      </c>
    </row>
    <row r="178" spans="1:3" x14ac:dyDescent="0.25">
      <c r="A178">
        <v>542</v>
      </c>
      <c r="B178">
        <f t="shared" si="2"/>
        <v>59</v>
      </c>
      <c r="C178" t="str">
        <v>Peisistratos expelled, makes fortune from Thracian mines.</v>
      </c>
    </row>
    <row r="179" spans="1:3" x14ac:dyDescent="0.25">
      <c r="A179">
        <v>542</v>
      </c>
      <c r="B179">
        <f t="shared" si="2"/>
        <v>59</v>
      </c>
      <c r="C179" t="str">
        <v>The colony of Gorgippia (Krasnodar Krai, Russia) was built by Pontic Greeks.</v>
      </c>
    </row>
    <row r="180" spans="1:3" x14ac:dyDescent="0.25">
      <c r="A180">
        <v>541</v>
      </c>
      <c r="B180">
        <f t="shared" si="2"/>
        <v>59</v>
      </c>
      <c r="C180" t="str">
        <v>Telemachus is overthrown by Alcamenes</v>
      </c>
    </row>
    <row r="181" spans="1:3" x14ac:dyDescent="0.25">
      <c r="A181">
        <v>540</v>
      </c>
      <c r="B181">
        <f t="shared" si="2"/>
        <v>60</v>
      </c>
      <c r="C181" t="str">
        <v>Naxan vassalization of Paros</v>
      </c>
    </row>
    <row r="182" spans="1:3" x14ac:dyDescent="0.25">
      <c r="A182">
        <v>540</v>
      </c>
      <c r="B182">
        <f t="shared" si="2"/>
        <v>60</v>
      </c>
      <c r="C182" t="str">
        <v>Selinus is overthrown by Theron</v>
      </c>
    </row>
    <row r="183" spans="1:3" x14ac:dyDescent="0.25">
      <c r="A183">
        <v>538</v>
      </c>
      <c r="B183">
        <f t="shared" si="2"/>
        <v>60</v>
      </c>
      <c r="C183" t="str">
        <v>Sybaris conquers Siris</v>
      </c>
    </row>
    <row r="184" spans="1:3" x14ac:dyDescent="0.25">
      <c r="A184">
        <v>538</v>
      </c>
      <c r="B184">
        <f t="shared" si="2"/>
        <v>60</v>
      </c>
      <c r="C184" t="str">
        <v>Samos is overthrown by Polycrates</v>
      </c>
    </row>
    <row r="185" spans="1:3" x14ac:dyDescent="0.25">
      <c r="A185">
        <v>536</v>
      </c>
      <c r="B185">
        <f t="shared" si="2"/>
        <v>61</v>
      </c>
      <c r="C185" t="str">
        <v>Samos annexes South Mycale from Miletus</v>
      </c>
    </row>
    <row r="186" spans="1:3" x14ac:dyDescent="0.25">
      <c r="A186">
        <v>535</v>
      </c>
      <c r="B186">
        <f t="shared" si="2"/>
        <v>61</v>
      </c>
      <c r="C186" t="str">
        <v>Perilaus dies</v>
      </c>
    </row>
    <row r="187" spans="1:3" x14ac:dyDescent="0.25">
      <c r="A187">
        <v>534</v>
      </c>
      <c r="B187">
        <f t="shared" si="2"/>
        <v>61</v>
      </c>
      <c r="C187" t="str">
        <v>Athens starts extracting tribute from Ios</v>
      </c>
    </row>
    <row r="188" spans="1:3" x14ac:dyDescent="0.25">
      <c r="A188">
        <v>532</v>
      </c>
      <c r="B188">
        <f t="shared" si="2"/>
        <v>62</v>
      </c>
      <c r="C188" t="str">
        <v>Croton is overthrown by Cylonius</v>
      </c>
    </row>
    <row r="189" spans="1:3" x14ac:dyDescent="0.25">
      <c r="A189">
        <v>532</v>
      </c>
      <c r="B189">
        <f t="shared" si="2"/>
        <v>62</v>
      </c>
      <c r="C189" t="str">
        <v>Peisistratos restored by Thessaly and Lygdamis of Naxos.</v>
      </c>
    </row>
    <row r="190" spans="1:3" x14ac:dyDescent="0.25">
      <c r="A190">
        <v>531</v>
      </c>
      <c r="B190">
        <f t="shared" si="2"/>
        <v>62</v>
      </c>
      <c r="C190" t="str">
        <v>Ikaria is annexed by Samos</v>
      </c>
    </row>
    <row r="191" spans="1:3" x14ac:dyDescent="0.25">
      <c r="A191">
        <v>530</v>
      </c>
      <c r="B191">
        <f t="shared" si="2"/>
        <v>62</v>
      </c>
      <c r="C191" t="str">
        <v>Emporion becomes a Carthaginian vassal</v>
      </c>
    </row>
    <row r="192" spans="1:3" x14ac:dyDescent="0.25">
      <c r="A192">
        <v>530</v>
      </c>
      <c r="B192">
        <f t="shared" si="2"/>
        <v>62</v>
      </c>
      <c r="C192" t="str">
        <v>Maktorion is founded by exiled Gelans</v>
      </c>
    </row>
    <row r="193" spans="1:3" x14ac:dyDescent="0.25">
      <c r="A193">
        <v>530</v>
      </c>
      <c r="B193">
        <f t="shared" si="2"/>
        <v>62</v>
      </c>
      <c r="C193" t="str">
        <v>Tegea joins the Peloponnesian League</v>
      </c>
    </row>
    <row r="194" spans="1:3" x14ac:dyDescent="0.25">
      <c r="A194">
        <v>529</v>
      </c>
      <c r="B194">
        <f t="shared" si="2"/>
        <v>62</v>
      </c>
      <c r="C194" t="str">
        <v>Leo dies</v>
      </c>
    </row>
    <row r="195" spans="1:3" x14ac:dyDescent="0.25">
      <c r="A195">
        <v>528</v>
      </c>
      <c r="B195">
        <f t="shared" ref="B195:B258" si="3">ROUNDDOWN((-A195+780)/4,0)</f>
        <v>63</v>
      </c>
      <c r="C195" t="str">
        <v>Maktorion is abandoned and the settlers move to Gela</v>
      </c>
    </row>
    <row r="196" spans="1:3" x14ac:dyDescent="0.25">
      <c r="A196">
        <v>527</v>
      </c>
      <c r="B196">
        <f t="shared" si="3"/>
        <v>63</v>
      </c>
      <c r="C196" t="str">
        <v>Peisistratos dies, succeeded by sons Hippias and Hipparchus.</v>
      </c>
    </row>
    <row r="197" spans="1:3" x14ac:dyDescent="0.25">
      <c r="A197">
        <v>527</v>
      </c>
      <c r="B197">
        <f t="shared" si="3"/>
        <v>63</v>
      </c>
      <c r="C197" t="str">
        <v>Rineia and Delos are annexed by Samos</v>
      </c>
    </row>
    <row r="198" spans="1:3" x14ac:dyDescent="0.25">
      <c r="A198">
        <v>526</v>
      </c>
      <c r="B198">
        <f t="shared" si="3"/>
        <v>63</v>
      </c>
      <c r="C198" t="str">
        <v>Cylonius is overthrown by Kroton</v>
      </c>
    </row>
    <row r="199" spans="1:3" x14ac:dyDescent="0.25">
      <c r="A199">
        <v>525</v>
      </c>
      <c r="B199">
        <f t="shared" si="3"/>
        <v>63</v>
      </c>
      <c r="C199" t="str">
        <v>Netum is annexed by Syracuse</v>
      </c>
    </row>
    <row r="200" spans="1:3" x14ac:dyDescent="0.25">
      <c r="A200">
        <v>525</v>
      </c>
      <c r="B200">
        <f t="shared" si="3"/>
        <v>63</v>
      </c>
      <c r="C200" t="str">
        <v>The ancient Greek city of Euesperides, (modern day Benghazi) is founded by people from Cyrene</v>
      </c>
    </row>
    <row r="201" spans="1:3" x14ac:dyDescent="0.25">
      <c r="A201">
        <v>525</v>
      </c>
      <c r="B201">
        <f t="shared" si="3"/>
        <v>63</v>
      </c>
      <c r="C201" t="str">
        <v>Persian Cambyses II, son of Cyrus the Great takes Egypt.</v>
      </c>
    </row>
    <row r="202" spans="1:3" x14ac:dyDescent="0.25">
      <c r="A202">
        <v>524</v>
      </c>
      <c r="B202">
        <f t="shared" si="3"/>
        <v>64</v>
      </c>
      <c r="C202" t="str">
        <v>Samos annexes Donousa</v>
      </c>
    </row>
    <row r="203" spans="1:3" x14ac:dyDescent="0.25">
      <c r="A203">
        <v>524</v>
      </c>
      <c r="B203">
        <f t="shared" si="3"/>
        <v>64</v>
      </c>
      <c r="C203" t="str">
        <v>Lgydamis of Naxos is overthrown</v>
      </c>
    </row>
    <row r="204" spans="1:3" x14ac:dyDescent="0.25">
      <c r="A204">
        <v>523</v>
      </c>
      <c r="B204">
        <f t="shared" si="3"/>
        <v>64</v>
      </c>
      <c r="C204" t="str">
        <v>Chalcedon is annexed by Persian Empire</v>
      </c>
    </row>
    <row r="205" spans="1:3" x14ac:dyDescent="0.25">
      <c r="A205">
        <v>522</v>
      </c>
      <c r="B205">
        <f t="shared" si="3"/>
        <v>64</v>
      </c>
      <c r="C205" t="str">
        <v>Death of Polycrates of Samos and succession of Maiandrios</v>
      </c>
    </row>
    <row r="206" spans="1:3" x14ac:dyDescent="0.25">
      <c r="A206">
        <v>521</v>
      </c>
      <c r="B206">
        <f t="shared" si="3"/>
        <v>64</v>
      </c>
      <c r="C206" t="str">
        <v>Overthrow of Maiandros by Persian backed Syloson</v>
      </c>
    </row>
    <row r="207" spans="1:3" x14ac:dyDescent="0.25">
      <c r="A207">
        <v>520</v>
      </c>
      <c r="B207">
        <f t="shared" si="3"/>
        <v>65</v>
      </c>
      <c r="C207" t="str">
        <v>Peithagoras overthrows Theron</v>
      </c>
    </row>
    <row r="208" spans="1:3" x14ac:dyDescent="0.25">
      <c r="A208">
        <v>519</v>
      </c>
      <c r="B208">
        <f t="shared" si="3"/>
        <v>65</v>
      </c>
      <c r="C208" t="str">
        <v>Plataea leaves the Boeotian League and is sieged by the latter</v>
      </c>
    </row>
    <row r="209" spans="1:3" x14ac:dyDescent="0.25">
      <c r="A209">
        <v>519</v>
      </c>
      <c r="B209">
        <f t="shared" si="3"/>
        <v>65</v>
      </c>
      <c r="C209" t="str">
        <v>Miltiades is overthrown by Stesagoras</v>
      </c>
    </row>
    <row r="210" spans="1:3" x14ac:dyDescent="0.25">
      <c r="A210">
        <v>519</v>
      </c>
      <c r="B210">
        <f t="shared" si="3"/>
        <v>65</v>
      </c>
      <c r="C210" t="str">
        <v>Abydos declares independence from Stesagoras and is led by the Persian Tyrant Daphnis</v>
      </c>
    </row>
    <row r="211" spans="1:3" x14ac:dyDescent="0.25">
      <c r="A211">
        <v>518</v>
      </c>
      <c r="B211">
        <f t="shared" si="3"/>
        <v>65</v>
      </c>
      <c r="C211" t="str">
        <v>Athens repulses the Boeotians from Plataea</v>
      </c>
    </row>
    <row r="212" spans="1:3" x14ac:dyDescent="0.25">
      <c r="A212">
        <v>517</v>
      </c>
      <c r="B212">
        <f t="shared" si="3"/>
        <v>65</v>
      </c>
      <c r="C212" t="str">
        <v>Sybaris is overthrown by Telys</v>
      </c>
    </row>
    <row r="213" spans="1:3" x14ac:dyDescent="0.25">
      <c r="A213">
        <v>516</v>
      </c>
      <c r="B213">
        <f t="shared" si="3"/>
        <v>66</v>
      </c>
      <c r="C213" t="str">
        <v>Miltiades II an Athenian Tyrant succeeds Stesagoras and reincorporates Abydos</v>
      </c>
    </row>
    <row r="214" spans="1:3" x14ac:dyDescent="0.25">
      <c r="A214">
        <v>516</v>
      </c>
      <c r="B214">
        <f t="shared" si="3"/>
        <v>66</v>
      </c>
      <c r="C214" t="str">
        <v>Cassaibile is annexed by Syracuse</v>
      </c>
    </row>
    <row r="215" spans="1:3" x14ac:dyDescent="0.25">
      <c r="A215">
        <v>515</v>
      </c>
      <c r="B215">
        <f t="shared" si="3"/>
        <v>66</v>
      </c>
      <c r="C215" t="str">
        <v>Molpagoras is succeeded by Histiaeos</v>
      </c>
    </row>
    <row r="216" spans="1:3" x14ac:dyDescent="0.25">
      <c r="A216">
        <v>515</v>
      </c>
      <c r="B216">
        <f t="shared" si="3"/>
        <v>66</v>
      </c>
      <c r="C216" t="str">
        <v>Hippias becomes sole ruler after the death of Hipparchus.</v>
      </c>
    </row>
    <row r="217" spans="1:3" x14ac:dyDescent="0.25">
      <c r="A217">
        <v>514</v>
      </c>
      <c r="B217">
        <f t="shared" si="3"/>
        <v>66</v>
      </c>
      <c r="C217" t="str">
        <v>Tenedos, Lesbos and Abydos is annexed by Persian Empire</v>
      </c>
    </row>
    <row r="218" spans="1:3" x14ac:dyDescent="0.25">
      <c r="A218">
        <v>513</v>
      </c>
      <c r="B218">
        <f t="shared" si="3"/>
        <v>66</v>
      </c>
      <c r="C218" t="str">
        <v>Miltiades II defects from Athens to Persia</v>
      </c>
    </row>
    <row r="219" spans="1:3" x14ac:dyDescent="0.25">
      <c r="A219">
        <v>513</v>
      </c>
      <c r="B219">
        <f t="shared" si="3"/>
        <v>66</v>
      </c>
      <c r="C219" t="str">
        <v>Myrcinos is founded by Ionians</v>
      </c>
    </row>
    <row r="220" spans="1:3" x14ac:dyDescent="0.25">
      <c r="A220">
        <v>513</v>
      </c>
      <c r="B220">
        <f t="shared" si="3"/>
        <v>66</v>
      </c>
      <c r="C220" t="str">
        <v>Persia annexes Thrace (Region)</v>
      </c>
    </row>
    <row r="221" spans="1:3" x14ac:dyDescent="0.25">
      <c r="A221">
        <v>513</v>
      </c>
      <c r="B221">
        <f t="shared" si="3"/>
        <v>66</v>
      </c>
      <c r="C221" t="str">
        <v>Cinyps, Libya, a failed Greek attempt to build a city under the leadership of Dorieus.[5]</v>
      </c>
    </row>
    <row r="222" spans="1:3" x14ac:dyDescent="0.25">
      <c r="A222">
        <v>512</v>
      </c>
      <c r="B222">
        <f t="shared" si="3"/>
        <v>67</v>
      </c>
      <c r="C222" t="str">
        <v>Antandrus is annexed by Persian Empire</v>
      </c>
    </row>
    <row r="223" spans="1:3" x14ac:dyDescent="0.25">
      <c r="A223">
        <v>512</v>
      </c>
      <c r="B223">
        <f t="shared" si="3"/>
        <v>67</v>
      </c>
      <c r="C223" t="str">
        <v>Persian vassalization of Naxos</v>
      </c>
    </row>
    <row r="224" spans="1:3" x14ac:dyDescent="0.25">
      <c r="A224">
        <v>511</v>
      </c>
      <c r="B224">
        <f t="shared" si="3"/>
        <v>67</v>
      </c>
      <c r="C224" t="str">
        <v>Piraeus is founded and annexed by Athens</v>
      </c>
    </row>
    <row r="225" spans="1:3" x14ac:dyDescent="0.25">
      <c r="A225">
        <v>511</v>
      </c>
      <c r="B225">
        <f t="shared" si="3"/>
        <v>67</v>
      </c>
      <c r="C225" t="str">
        <v>Thracian Chernessos is annexed by Persian Empire</v>
      </c>
    </row>
    <row r="226" spans="1:3" x14ac:dyDescent="0.25">
      <c r="A226">
        <v>510</v>
      </c>
      <c r="B226">
        <f t="shared" si="3"/>
        <v>67</v>
      </c>
      <c r="C226" t="str">
        <v>Kroton annexes Sybaris and overthrows Telys</v>
      </c>
    </row>
    <row r="227" spans="1:3" x14ac:dyDescent="0.25">
      <c r="A227">
        <v>510</v>
      </c>
      <c r="B227">
        <f t="shared" si="3"/>
        <v>67</v>
      </c>
      <c r="C227" t="str">
        <v>Pythagoras establishes his own school.</v>
      </c>
    </row>
    <row r="228" spans="1:3" x14ac:dyDescent="0.25">
      <c r="A228">
        <v>510</v>
      </c>
      <c r="B228">
        <f t="shared" si="3"/>
        <v>67</v>
      </c>
      <c r="C228" t="str">
        <v>Peithagoras is overthrown by Euryleon</v>
      </c>
    </row>
    <row r="229" spans="1:3" x14ac:dyDescent="0.25">
      <c r="A229">
        <v>510</v>
      </c>
      <c r="B229">
        <f t="shared" si="3"/>
        <v>67</v>
      </c>
      <c r="C229" t="str">
        <v>Minoa is renamed Heraclea Minoa</v>
      </c>
    </row>
    <row r="230" spans="1:3" x14ac:dyDescent="0.25">
      <c r="A230">
        <v>510</v>
      </c>
      <c r="B230">
        <f t="shared" si="3"/>
        <v>67</v>
      </c>
      <c r="C230" t="str">
        <v>Cinyps is annexed by Carthage</v>
      </c>
    </row>
    <row r="231" spans="1:3" x14ac:dyDescent="0.25">
      <c r="A231">
        <v>508</v>
      </c>
      <c r="B231">
        <f t="shared" si="3"/>
        <v>68</v>
      </c>
      <c r="C231" t="str">
        <v>Andros and Naxos are annexed by Persian Empire</v>
      </c>
    </row>
    <row r="232" spans="1:3" x14ac:dyDescent="0.25">
      <c r="A232">
        <v>508</v>
      </c>
      <c r="B232">
        <f t="shared" si="3"/>
        <v>68</v>
      </c>
      <c r="C232" t="str">
        <v>Hippias is forced to leave Athens.</v>
      </c>
    </row>
    <row r="233" spans="1:3" x14ac:dyDescent="0.25">
      <c r="A233">
        <v>507</v>
      </c>
      <c r="B233">
        <f t="shared" si="3"/>
        <v>68</v>
      </c>
      <c r="C233" t="str">
        <v>Plataea is sieged by Boeotian League</v>
      </c>
    </row>
    <row r="234" spans="1:3" x14ac:dyDescent="0.25">
      <c r="A234">
        <v>507</v>
      </c>
      <c r="B234">
        <f t="shared" si="3"/>
        <v>68</v>
      </c>
      <c r="C234" t="str">
        <v>Cleisthenes, Greek reformer, takes power, increases democracy.</v>
      </c>
    </row>
    <row r="235" spans="1:3" x14ac:dyDescent="0.25">
      <c r="A235">
        <v>506</v>
      </c>
      <c r="B235">
        <f t="shared" si="3"/>
        <v>68</v>
      </c>
      <c r="C235" t="str">
        <v>Boeotian League is repulsed from Plataea by Athens</v>
      </c>
    </row>
    <row r="236" spans="1:3" x14ac:dyDescent="0.25">
      <c r="A236">
        <v>506</v>
      </c>
      <c r="B236">
        <f t="shared" si="3"/>
        <v>68</v>
      </c>
      <c r="C236" t="str">
        <v>Cumae is overthrown by Aristodemus</v>
      </c>
    </row>
    <row r="237" spans="1:3" x14ac:dyDescent="0.25">
      <c r="A237">
        <v>506</v>
      </c>
      <c r="B237">
        <f t="shared" si="3"/>
        <v>68</v>
      </c>
      <c r="C237" t="str">
        <v>Alcamenes is overthrown by Alcandros</v>
      </c>
    </row>
    <row r="238" spans="1:3" x14ac:dyDescent="0.25">
      <c r="A238">
        <v>506</v>
      </c>
      <c r="B238">
        <f t="shared" si="3"/>
        <v>68</v>
      </c>
      <c r="C238" t="str">
        <v>The Levantine Plain is conquered by Athens and becomes a Cleurchy</v>
      </c>
    </row>
    <row r="239" spans="1:3" x14ac:dyDescent="0.25">
      <c r="A239">
        <v>505</v>
      </c>
      <c r="B239">
        <f t="shared" si="3"/>
        <v>68</v>
      </c>
      <c r="C239" t="str">
        <v>Hegesistratos of Sigeion dies</v>
      </c>
    </row>
    <row r="240" spans="1:3" x14ac:dyDescent="0.25">
      <c r="A240">
        <v>505</v>
      </c>
      <c r="B240">
        <f t="shared" si="3"/>
        <v>68</v>
      </c>
      <c r="C240" t="str">
        <v>Cleander overthrows Gela</v>
      </c>
    </row>
    <row r="241" spans="1:3" x14ac:dyDescent="0.25">
      <c r="A241">
        <v>504</v>
      </c>
      <c r="B241">
        <f t="shared" si="3"/>
        <v>69</v>
      </c>
      <c r="C241" t="str">
        <v>Cleinias overthrows Croton</v>
      </c>
    </row>
    <row r="242" spans="1:3" x14ac:dyDescent="0.25">
      <c r="A242">
        <v>504</v>
      </c>
      <c r="B242">
        <f t="shared" si="3"/>
        <v>69</v>
      </c>
      <c r="C242" t="str">
        <v>Taras defeats the Iapygians</v>
      </c>
    </row>
    <row r="243" spans="1:3" x14ac:dyDescent="0.25">
      <c r="A243">
        <v>503</v>
      </c>
      <c r="B243">
        <f t="shared" si="3"/>
        <v>69</v>
      </c>
      <c r="C243" t="str">
        <v>Naxos declares independence from the Persian Empire</v>
      </c>
    </row>
    <row r="244" spans="1:3" x14ac:dyDescent="0.25">
      <c r="A244">
        <v>502</v>
      </c>
      <c r="B244">
        <f t="shared" si="3"/>
        <v>69</v>
      </c>
      <c r="C244" t="str">
        <v>Euryleon is overthrown by Selinus</v>
      </c>
    </row>
    <row r="245" spans="1:3" x14ac:dyDescent="0.25">
      <c r="A245">
        <v>500</v>
      </c>
      <c r="B245">
        <f t="shared" si="3"/>
        <v>70</v>
      </c>
      <c r="C245" t="str">
        <v>Pythagoras dies in Croton, Italy</v>
      </c>
    </row>
    <row r="246" spans="1:3" x14ac:dyDescent="0.25">
      <c r="A246">
        <v>500</v>
      </c>
      <c r="B246">
        <f t="shared" si="3"/>
        <v>70</v>
      </c>
      <c r="C246" t="str">
        <v>Heraclea Minoa is sacked by Carthage</v>
      </c>
    </row>
    <row r="247" spans="1:3" x14ac:dyDescent="0.25">
      <c r="A247">
        <v>500</v>
      </c>
      <c r="B247">
        <f t="shared" si="3"/>
        <v>70</v>
      </c>
      <c r="C247" t="str">
        <v>Morgantina and Centuripe are hellenized and Licodia is founded by Leontini</v>
      </c>
    </row>
    <row r="248" spans="1:3" x14ac:dyDescent="0.25">
      <c r="A248">
        <v>499</v>
      </c>
      <c r="B248">
        <f t="shared" si="3"/>
        <v>70</v>
      </c>
      <c r="C248" t="str">
        <v>Miletus Siege of Naxos (Naxan Victory)</v>
      </c>
    </row>
    <row r="249" spans="1:3" x14ac:dyDescent="0.25">
      <c r="A249">
        <v>499</v>
      </c>
      <c r="B249">
        <f t="shared" si="3"/>
        <v>70</v>
      </c>
      <c r="C249" t="str">
        <v>Independence of Paros</v>
      </c>
    </row>
    <row r="250" spans="1:3" x14ac:dyDescent="0.25">
      <c r="A250">
        <v>499</v>
      </c>
      <c r="B250">
        <f t="shared" si="3"/>
        <v>70</v>
      </c>
      <c r="C250" t="str">
        <v>Alcandros is overthrown by Akragas</v>
      </c>
    </row>
    <row r="251" spans="1:3" x14ac:dyDescent="0.25">
      <c r="A251">
        <v>499</v>
      </c>
      <c r="B251">
        <f t="shared" si="3"/>
        <v>70</v>
      </c>
      <c r="C251" t="str">
        <v>Ionian Revolt starts</v>
      </c>
    </row>
    <row r="252" spans="1:3" x14ac:dyDescent="0.25">
      <c r="A252">
        <v>499</v>
      </c>
      <c r="B252">
        <f t="shared" si="3"/>
        <v>70</v>
      </c>
      <c r="C252" t="str">
        <v>Éphesos, Klazomenai, Mílētos, Samos, Myus, Chios, Samos, Mytilene, Mylasa, Termera, Kyme and Priene declare independence from Persian Empire</v>
      </c>
    </row>
    <row r="253" spans="1:3" x14ac:dyDescent="0.25">
      <c r="A253">
        <v>498</v>
      </c>
      <c r="B253">
        <f t="shared" si="3"/>
        <v>70</v>
      </c>
      <c r="C253" t="str">
        <v>Cyprus (Except Amathos), Caria, Paesos, Abydos, Cios, Percote, Lampsakos, Myrcinos, Tenedos, Dardanos, and Byzantium declare independence from Persian Empire</v>
      </c>
    </row>
    <row r="254" spans="1:3" x14ac:dyDescent="0.25">
      <c r="A254">
        <v>498</v>
      </c>
      <c r="B254">
        <f t="shared" si="3"/>
        <v>70</v>
      </c>
      <c r="C254" t="str">
        <v>Amathos is sieged by Cyprus</v>
      </c>
    </row>
    <row r="255" spans="1:3" x14ac:dyDescent="0.25">
      <c r="A255">
        <v>498</v>
      </c>
      <c r="B255">
        <f t="shared" si="3"/>
        <v>70</v>
      </c>
      <c r="C255" t="str">
        <v>Cleander is overthrown by Hippocrates</v>
      </c>
    </row>
    <row r="256" spans="1:3" x14ac:dyDescent="0.25">
      <c r="A256">
        <v>498</v>
      </c>
      <c r="B256">
        <f t="shared" si="3"/>
        <v>70</v>
      </c>
      <c r="C256" t="str">
        <v>Hippocrates vassalized Leontini and puts Aenesidemus as tyrant</v>
      </c>
    </row>
    <row r="257" spans="1:3" x14ac:dyDescent="0.25">
      <c r="A257">
        <v>498</v>
      </c>
      <c r="B257">
        <f t="shared" si="3"/>
        <v>70</v>
      </c>
      <c r="C257" t="str">
        <v>Licodia is annexed by Syracuse</v>
      </c>
    </row>
    <row r="258" spans="1:3" x14ac:dyDescent="0.25">
      <c r="A258">
        <v>497</v>
      </c>
      <c r="B258">
        <f t="shared" si="3"/>
        <v>70</v>
      </c>
      <c r="C258" t="str">
        <v>Eion is sieged by Athens</v>
      </c>
    </row>
    <row r="259" spans="1:3" x14ac:dyDescent="0.25">
      <c r="A259">
        <v>497</v>
      </c>
      <c r="B259">
        <f t="shared" ref="B259:B322" si="4">ROUNDDOWN((-A259+780)/4,0)</f>
        <v>70</v>
      </c>
      <c r="C259" t="str">
        <v>Dardanos, Myrcinos, Abydos, Kyme, Klazomenai, Percote, Lampsakos, Cyprus, Cios and Paesos are reannexed by Persian Empire</v>
      </c>
    </row>
    <row r="260" spans="1:3" x14ac:dyDescent="0.25">
      <c r="A260">
        <v>497</v>
      </c>
      <c r="B260">
        <f t="shared" si="4"/>
        <v>70</v>
      </c>
      <c r="C260" t="str">
        <v>Catania is vassalized by Hippocrates and Deinmenes is put in charge as tyrant</v>
      </c>
    </row>
    <row r="261" spans="1:3" x14ac:dyDescent="0.25">
      <c r="A261">
        <v>497</v>
      </c>
      <c r="B261">
        <f t="shared" si="4"/>
        <v>70</v>
      </c>
      <c r="C261" t="str">
        <v>Persian Empire occupies all Carian land north of Pedasos (Carian)</v>
      </c>
    </row>
    <row r="262" spans="1:3" x14ac:dyDescent="0.25">
      <c r="A262">
        <v>496</v>
      </c>
      <c r="B262">
        <f t="shared" si="4"/>
        <v>71</v>
      </c>
      <c r="C262" t="str">
        <v>Byzantium is overthrown by Histiaeos</v>
      </c>
    </row>
    <row r="263" spans="1:3" x14ac:dyDescent="0.25">
      <c r="A263">
        <v>496</v>
      </c>
      <c r="B263">
        <f t="shared" si="4"/>
        <v>71</v>
      </c>
      <c r="C263" t="str">
        <v>Myrcinos is reannexed by the Persian Empire</v>
      </c>
    </row>
    <row r="264" spans="1:3" x14ac:dyDescent="0.25">
      <c r="A264">
        <v>496</v>
      </c>
      <c r="B264">
        <f t="shared" si="4"/>
        <v>71</v>
      </c>
      <c r="C264" t="str">
        <v>Athenian Tyrant Miltiades II annexes Thracian Chernessos</v>
      </c>
    </row>
    <row r="265" spans="1:3" x14ac:dyDescent="0.25">
      <c r="A265">
        <v>496</v>
      </c>
      <c r="B265">
        <f t="shared" si="4"/>
        <v>71</v>
      </c>
      <c r="C265" t="str">
        <v>Naxos is vassalized by Hippocrates</v>
      </c>
    </row>
    <row r="266" spans="1:3" x14ac:dyDescent="0.25">
      <c r="A266">
        <v>495</v>
      </c>
      <c r="B266">
        <f t="shared" si="4"/>
        <v>71</v>
      </c>
      <c r="C266" t="str">
        <v>Cleinias dies</v>
      </c>
    </row>
    <row r="267" spans="1:3" x14ac:dyDescent="0.25">
      <c r="A267">
        <v>494</v>
      </c>
      <c r="B267">
        <f t="shared" si="4"/>
        <v>71</v>
      </c>
      <c r="C267" t="str">
        <v>Rhegium is overthrown by Anaxilas</v>
      </c>
    </row>
    <row r="268" spans="1:3" x14ac:dyDescent="0.25">
      <c r="A268">
        <v>494</v>
      </c>
      <c r="B268">
        <f t="shared" si="4"/>
        <v>71</v>
      </c>
      <c r="C268" t="str">
        <v>Zancle is vassalized by Hippocrates and Scythes put in charge</v>
      </c>
    </row>
    <row r="269" spans="1:3" x14ac:dyDescent="0.25">
      <c r="A269">
        <v>494</v>
      </c>
      <c r="B269">
        <f t="shared" si="4"/>
        <v>71</v>
      </c>
      <c r="C269" t="str">
        <v>Priene, Samos and Miletus are annexed by Persian Empire</v>
      </c>
    </row>
    <row r="270" spans="1:3" x14ac:dyDescent="0.25">
      <c r="A270">
        <v>493</v>
      </c>
      <c r="B270">
        <f t="shared" si="4"/>
        <v>71</v>
      </c>
      <c r="C270" t="str">
        <v>Byzantium sieges Thasus</v>
      </c>
    </row>
    <row r="271" spans="1:3" x14ac:dyDescent="0.25">
      <c r="A271">
        <v>493</v>
      </c>
      <c r="B271">
        <f t="shared" si="4"/>
        <v>71</v>
      </c>
      <c r="C271" t="str">
        <v>Ionian revolt crushed</v>
      </c>
    </row>
    <row r="272" spans="1:3" x14ac:dyDescent="0.25">
      <c r="A272">
        <v>493</v>
      </c>
      <c r="B272">
        <f t="shared" si="4"/>
        <v>71</v>
      </c>
      <c r="C272" t="str">
        <v>Zancle is settled by Samian refugees and renamed Messene</v>
      </c>
    </row>
    <row r="273" spans="1:3" x14ac:dyDescent="0.25">
      <c r="A273">
        <v>493</v>
      </c>
      <c r="B273">
        <f t="shared" si="4"/>
        <v>71</v>
      </c>
      <c r="C273" t="str">
        <v>Zancle is conquered by Rhegion</v>
      </c>
    </row>
    <row r="274" spans="1:3" x14ac:dyDescent="0.25">
      <c r="A274">
        <v>492</v>
      </c>
      <c r="B274">
        <f t="shared" si="4"/>
        <v>72</v>
      </c>
      <c r="C274" t="str">
        <v>Kamarina (now rebuilt) and Ergezio [it] are vassalized by Hippocrates</v>
      </c>
    </row>
    <row r="275" spans="1:3" x14ac:dyDescent="0.25">
      <c r="A275">
        <v>492</v>
      </c>
      <c r="B275">
        <f t="shared" si="4"/>
        <v>72</v>
      </c>
      <c r="C275" t="str">
        <v>Abdera and Thracian Chernessos are annexed by the Persian Empire</v>
      </c>
    </row>
    <row r="276" spans="1:3" x14ac:dyDescent="0.25">
      <c r="A276">
        <v>491</v>
      </c>
      <c r="B276">
        <f t="shared" si="4"/>
        <v>72</v>
      </c>
      <c r="C276" t="str">
        <v>Hippocrates is overthrown by Gelon</v>
      </c>
    </row>
    <row r="277" spans="1:3" x14ac:dyDescent="0.25">
      <c r="A277">
        <v>491</v>
      </c>
      <c r="B277">
        <f t="shared" si="4"/>
        <v>72</v>
      </c>
      <c r="C277" t="str">
        <v>Fort Scyllaeum is founded by Rhegion</v>
      </c>
    </row>
    <row r="278" spans="1:3" x14ac:dyDescent="0.25">
      <c r="A278">
        <v>490</v>
      </c>
      <c r="B278">
        <f t="shared" si="4"/>
        <v>72</v>
      </c>
      <c r="C278" t="str">
        <v>Aristodemus dies</v>
      </c>
    </row>
    <row r="279" spans="1:3" x14ac:dyDescent="0.25">
      <c r="A279">
        <v>490</v>
      </c>
      <c r="B279">
        <f t="shared" si="4"/>
        <v>72</v>
      </c>
      <c r="C279" t="str">
        <v>Persian conquest of Rhodes</v>
      </c>
    </row>
    <row r="280" spans="1:3" x14ac:dyDescent="0.25">
      <c r="A280">
        <v>490</v>
      </c>
      <c r="B280">
        <f t="shared" si="4"/>
        <v>72</v>
      </c>
      <c r="C280" t="str">
        <v>Persian Siege of Naxos (Naxan Victory)</v>
      </c>
    </row>
    <row r="281" spans="1:3" x14ac:dyDescent="0.25">
      <c r="A281">
        <v>490</v>
      </c>
      <c r="B281">
        <f t="shared" si="4"/>
        <v>72</v>
      </c>
      <c r="C281" t="str">
        <v>Persian conquest of Paros</v>
      </c>
    </row>
    <row r="282" spans="1:3" x14ac:dyDescent="0.25">
      <c r="A282">
        <v>490</v>
      </c>
      <c r="B282">
        <f t="shared" si="4"/>
        <v>72</v>
      </c>
      <c r="C282" t="str">
        <v>Persian sacking of Eretria</v>
      </c>
    </row>
    <row r="283" spans="1:3" x14ac:dyDescent="0.25">
      <c r="A283">
        <v>490</v>
      </c>
      <c r="B283">
        <f t="shared" si="4"/>
        <v>72</v>
      </c>
      <c r="C283" t="str">
        <v>Themistocles and Miltiades, Athenians, defeat Darius at Marathon, Phidippides runs with news.</v>
      </c>
    </row>
    <row r="284" spans="1:3" x14ac:dyDescent="0.25">
      <c r="A284">
        <v>490</v>
      </c>
      <c r="B284">
        <f t="shared" si="4"/>
        <v>72</v>
      </c>
      <c r="C284" t="str">
        <v>Taras defeats the Iapygians in battle</v>
      </c>
    </row>
    <row r="285" spans="1:3" x14ac:dyDescent="0.25">
      <c r="A285">
        <v>488</v>
      </c>
      <c r="B285">
        <f t="shared" si="4"/>
        <v>73</v>
      </c>
      <c r="C285" t="str">
        <v>Akragas is overthrown by Theron</v>
      </c>
    </row>
    <row r="286" spans="1:3" x14ac:dyDescent="0.25">
      <c r="A286">
        <v>486</v>
      </c>
      <c r="B286">
        <f t="shared" si="4"/>
        <v>73</v>
      </c>
      <c r="C286" t="str">
        <v>Himera is overthrown by Terillus</v>
      </c>
    </row>
    <row r="287" spans="1:3" x14ac:dyDescent="0.25">
      <c r="A287">
        <v>485</v>
      </c>
      <c r="B287">
        <f t="shared" si="4"/>
        <v>73</v>
      </c>
      <c r="C287" t="str">
        <v>Gelon annexes Syracuse (Except Kamarina and Licodia), Gela is given to Hieron</v>
      </c>
    </row>
    <row r="288" spans="1:3" x14ac:dyDescent="0.25">
      <c r="A288">
        <v>484</v>
      </c>
      <c r="B288">
        <f t="shared" si="4"/>
        <v>74</v>
      </c>
      <c r="C288" t="str">
        <v>Kamarina is destroyed by Gelon</v>
      </c>
    </row>
    <row r="289" spans="1:3" x14ac:dyDescent="0.25">
      <c r="A289">
        <v>484</v>
      </c>
      <c r="B289">
        <f t="shared" si="4"/>
        <v>74</v>
      </c>
      <c r="C289" t="str">
        <v>Aeschylus, Athenian playwright wins his first victory at the City Dionysia.</v>
      </c>
    </row>
    <row r="290" spans="1:3" x14ac:dyDescent="0.25">
      <c r="A290">
        <v>483</v>
      </c>
      <c r="B290">
        <f t="shared" si="4"/>
        <v>74</v>
      </c>
      <c r="C290" t="str">
        <v>Megara Hyblaea and Licodia are destroyed by Gelon</v>
      </c>
    </row>
    <row r="291" spans="1:3" x14ac:dyDescent="0.25">
      <c r="A291">
        <v>483</v>
      </c>
      <c r="B291">
        <f t="shared" si="4"/>
        <v>74</v>
      </c>
      <c r="C291" t="str">
        <v>Theron puts his son Thrasydaeus in charge of Himera as his vassal</v>
      </c>
    </row>
    <row r="292" spans="1:3" x14ac:dyDescent="0.25">
      <c r="A292">
        <v>481</v>
      </c>
      <c r="B292">
        <f t="shared" si="4"/>
        <v>74</v>
      </c>
      <c r="C292" t="str">
        <v>Andros, Aegina and Akanthus among many other Greek Poleis declare allegiance to Persia</v>
      </c>
    </row>
    <row r="293" spans="1:3" x14ac:dyDescent="0.25">
      <c r="A293">
        <v>481</v>
      </c>
      <c r="B293">
        <f t="shared" si="4"/>
        <v>74</v>
      </c>
      <c r="C293" t="str">
        <v>The Naxos, Milos, Sparta, Athens, Korinth, Kythnos and many other Greek Poleis form the Hellenic League to fight against the Persian Empire</v>
      </c>
    </row>
    <row r="294" spans="1:3" x14ac:dyDescent="0.25">
      <c r="A294">
        <v>480</v>
      </c>
      <c r="B294">
        <f t="shared" si="4"/>
        <v>75</v>
      </c>
      <c r="C294" t="str">
        <v>Aegina and Andros are impressed into the Hellenic League</v>
      </c>
    </row>
    <row r="295" spans="1:3" x14ac:dyDescent="0.25">
      <c r="A295">
        <v>480</v>
      </c>
      <c r="B295">
        <f t="shared" si="4"/>
        <v>75</v>
      </c>
      <c r="C295" t="str">
        <v>Emporion ousts Carthaginian influences</v>
      </c>
    </row>
    <row r="296" spans="1:3" x14ac:dyDescent="0.25">
      <c r="A296">
        <v>480</v>
      </c>
      <c r="B296">
        <f t="shared" si="4"/>
        <v>75</v>
      </c>
      <c r="C296" t="str">
        <v>Leonidas, Spartan, sacrifices 300 Spartan soldiers at the Battle of Thermopylae so main force can escape; Xerxes son of Darius is commanding the Persians.</v>
      </c>
    </row>
    <row r="297" spans="1:3" x14ac:dyDescent="0.25">
      <c r="A297">
        <v>480</v>
      </c>
      <c r="B297">
        <f t="shared" si="4"/>
        <v>75</v>
      </c>
      <c r="C297" t="str">
        <v>Croton, Leucas and Corcyra joins the Hellenic League</v>
      </c>
    </row>
    <row r="298" spans="1:3" x14ac:dyDescent="0.25">
      <c r="A298">
        <v>480</v>
      </c>
      <c r="B298">
        <f t="shared" si="4"/>
        <v>75</v>
      </c>
      <c r="C298" t="str">
        <v>Simultaneous with Thermopylae, the Greeks and Persians fight to a draw in the naval Battle of Artemisium.</v>
      </c>
    </row>
    <row r="299" spans="1:3" x14ac:dyDescent="0.25">
      <c r="A299">
        <v>480</v>
      </c>
      <c r="B299">
        <f t="shared" si="4"/>
        <v>75</v>
      </c>
      <c r="C299" t="str">
        <v>Boeotia, Attica and Phocis are occupied by Persia</v>
      </c>
    </row>
    <row r="300" spans="1:3" x14ac:dyDescent="0.25">
      <c r="A300">
        <v>480</v>
      </c>
      <c r="B300">
        <f t="shared" si="4"/>
        <v>75</v>
      </c>
      <c r="C300" t="str">
        <v>Battle of Salamis: Themistocles, Athenian general, lures Persians into Bay of Salamis, Xerxes loses and goes home, leaves behind Mardonius.</v>
      </c>
    </row>
    <row r="301" spans="1:3" x14ac:dyDescent="0.25">
      <c r="A301">
        <v>480</v>
      </c>
      <c r="B301">
        <f t="shared" si="4"/>
        <v>75</v>
      </c>
      <c r="C301" t="str">
        <v>Possibly simultaneous with the Battle of Salamis, Battle of Himera between Carthage and Akragas (Theron)-Syracuse (Gelon)-Himera (Thrasydaeus)</v>
      </c>
    </row>
    <row r="302" spans="1:3" x14ac:dyDescent="0.25">
      <c r="A302">
        <v>479</v>
      </c>
      <c r="B302">
        <f t="shared" si="4"/>
        <v>75</v>
      </c>
      <c r="C302" t="str">
        <v>Pausanias, Greek general routs Mardonius at the Battle of Plataea.</v>
      </c>
    </row>
    <row r="303" spans="1:3" x14ac:dyDescent="0.25">
      <c r="A303">
        <v>479</v>
      </c>
      <c r="B303">
        <f t="shared" si="4"/>
        <v>75</v>
      </c>
      <c r="C303" t="str">
        <v>Battle of Mycale</v>
      </c>
    </row>
    <row r="304" spans="1:3" x14ac:dyDescent="0.25">
      <c r="A304">
        <v>479</v>
      </c>
      <c r="B304">
        <f t="shared" si="4"/>
        <v>75</v>
      </c>
      <c r="C304" t="str">
        <v>Rhodes, Samos, Kos and many Greek cities in Persia begin to declare independence</v>
      </c>
    </row>
    <row r="305" spans="1:3" x14ac:dyDescent="0.25">
      <c r="A305">
        <v>479</v>
      </c>
      <c r="B305">
        <f t="shared" si="4"/>
        <v>75</v>
      </c>
      <c r="C305" t="str">
        <v>Paros is vassalized by Athens</v>
      </c>
    </row>
    <row r="306" spans="1:3" x14ac:dyDescent="0.25">
      <c r="A306">
        <v>479</v>
      </c>
      <c r="B306">
        <f t="shared" si="4"/>
        <v>75</v>
      </c>
      <c r="C306" t="str">
        <v>Athens annexes Tenedos</v>
      </c>
    </row>
    <row r="307" spans="1:3" x14ac:dyDescent="0.25">
      <c r="A307">
        <v>479</v>
      </c>
      <c r="B307">
        <f t="shared" si="4"/>
        <v>75</v>
      </c>
      <c r="C307" t="str">
        <v>Sestos is besieged by Athens</v>
      </c>
    </row>
    <row r="308" spans="1:3" x14ac:dyDescent="0.25">
      <c r="A308">
        <v>479</v>
      </c>
      <c r="B308">
        <f t="shared" si="4"/>
        <v>75</v>
      </c>
      <c r="C308" t="str">
        <v>Boeotian League is dissolved by Hellenic League</v>
      </c>
    </row>
    <row r="309" spans="1:3" x14ac:dyDescent="0.25">
      <c r="A309">
        <v>479</v>
      </c>
      <c r="B309">
        <f t="shared" si="4"/>
        <v>75</v>
      </c>
      <c r="C309" t="str">
        <v>Sicel Ducetius overthrows Miniu</v>
      </c>
    </row>
    <row r="310" spans="1:3" x14ac:dyDescent="0.25">
      <c r="A310">
        <v>478</v>
      </c>
      <c r="B310">
        <f t="shared" si="4"/>
        <v>75</v>
      </c>
      <c r="C310" t="str">
        <v>Byzantium is besieged by Athens</v>
      </c>
    </row>
    <row r="311" spans="1:3" x14ac:dyDescent="0.25">
      <c r="A311">
        <v>478</v>
      </c>
      <c r="B311">
        <f t="shared" si="4"/>
        <v>75</v>
      </c>
      <c r="C311" t="str">
        <v>Delian League is founded by Athens and is soon joined by Ionia, Delos, Kos, Euboea, Tilos, Rhodes, Karpathos, Athenai, Paros, Troezen, Sifnos, Doris, Aeolis, Andros, Aenea, Akanthos, Samos, Chalcis, Eretria, Chios, Methymna, Chalkidiki, Mutilḗnē, Sigeion, Éphesos and many others</v>
      </c>
    </row>
    <row r="312" spans="1:3" x14ac:dyDescent="0.25">
      <c r="A312">
        <v>478</v>
      </c>
      <c r="B312">
        <f t="shared" si="4"/>
        <v>75</v>
      </c>
      <c r="C312" t="str">
        <v>Gelon dies and is succeeded by Hieron, Polyzelos is put in control of Gela</v>
      </c>
    </row>
    <row r="313" spans="1:3" x14ac:dyDescent="0.25">
      <c r="A313">
        <v>477</v>
      </c>
      <c r="B313">
        <f t="shared" si="4"/>
        <v>75</v>
      </c>
      <c r="C313" t="str">
        <v>The Persian Empire abandons Europe except Doriskus and Eion</v>
      </c>
    </row>
    <row r="314" spans="1:3" x14ac:dyDescent="0.25">
      <c r="A314">
        <v>477</v>
      </c>
      <c r="B314">
        <f t="shared" si="4"/>
        <v>75</v>
      </c>
      <c r="C314" t="str">
        <v>Chalcedon, Byzantium, Carystus, Ainos, Perinthos and others join the Delian League</v>
      </c>
    </row>
    <row r="315" spans="1:3" x14ac:dyDescent="0.25">
      <c r="A315">
        <v>477</v>
      </c>
      <c r="B315">
        <f t="shared" si="4"/>
        <v>75</v>
      </c>
      <c r="C315" t="str">
        <v>Andros is turned into an Athenian cleurchy</v>
      </c>
    </row>
    <row r="316" spans="1:3" x14ac:dyDescent="0.25">
      <c r="A316">
        <v>476</v>
      </c>
      <c r="B316">
        <f t="shared" si="4"/>
        <v>76</v>
      </c>
      <c r="C316" t="str">
        <v>Micythus becomes Tyrant of Rhegion after Anaxilas' death</v>
      </c>
    </row>
    <row r="317" spans="1:3" x14ac:dyDescent="0.25">
      <c r="A317">
        <v>476</v>
      </c>
      <c r="B317">
        <f t="shared" si="4"/>
        <v>76</v>
      </c>
      <c r="C317" t="str">
        <v>Catania is split between Hieron and Ducetius, Catania is renamed Aetna, settled by Dorians and ruled by the Tyrant Deinmenes II</v>
      </c>
    </row>
    <row r="318" spans="1:3" x14ac:dyDescent="0.25">
      <c r="A318">
        <v>476</v>
      </c>
      <c r="B318">
        <f t="shared" si="4"/>
        <v>76</v>
      </c>
      <c r="C318" t="str">
        <v>Taras allies with Rhegion to protect themselves from the Iapygians, but later lose to them in battle</v>
      </c>
    </row>
    <row r="319" spans="1:3" x14ac:dyDescent="0.25">
      <c r="A319">
        <v>476</v>
      </c>
      <c r="B319">
        <f t="shared" si="4"/>
        <v>76</v>
      </c>
      <c r="C319" t="str">
        <v>Himera is settled by Doric colonists</v>
      </c>
    </row>
    <row r="320" spans="1:3" x14ac:dyDescent="0.25">
      <c r="A320">
        <v>476</v>
      </c>
      <c r="B320">
        <f t="shared" si="4"/>
        <v>76</v>
      </c>
      <c r="C320" t="str">
        <v>Sybaris declares independence from Kroton</v>
      </c>
    </row>
    <row r="321" spans="1:3" x14ac:dyDescent="0.25">
      <c r="A321">
        <v>476</v>
      </c>
      <c r="B321">
        <f t="shared" si="4"/>
        <v>76</v>
      </c>
      <c r="C321" t="str">
        <v>Cimon elected general each year --&gt;</v>
      </c>
    </row>
    <row r="322" spans="1:3" x14ac:dyDescent="0.25">
      <c r="A322">
        <v>475</v>
      </c>
      <c r="B322">
        <f t="shared" si="4"/>
        <v>76</v>
      </c>
      <c r="C322" t="str">
        <v>Sybaris is annexed by Kroton</v>
      </c>
    </row>
    <row r="323" spans="1:3" x14ac:dyDescent="0.25">
      <c r="A323">
        <v>475</v>
      </c>
      <c r="B323">
        <f t="shared" ref="B323:B386" si="5">ROUNDDOWN((-A323+780)/4,0)</f>
        <v>76</v>
      </c>
      <c r="C323" t="str">
        <v>Abdera and Eion join the Delian League</v>
      </c>
    </row>
    <row r="324" spans="1:3" x14ac:dyDescent="0.25">
      <c r="A324">
        <v>475</v>
      </c>
      <c r="B324">
        <f t="shared" si="5"/>
        <v>76</v>
      </c>
      <c r="C324" t="str">
        <v>Skyros is annexed by Athens</v>
      </c>
    </row>
    <row r="325" spans="1:3" x14ac:dyDescent="0.25">
      <c r="A325">
        <v>474</v>
      </c>
      <c r="B325">
        <f t="shared" si="5"/>
        <v>76</v>
      </c>
      <c r="C325" t="str">
        <v>Battle of Cumae</v>
      </c>
    </row>
    <row r="326" spans="1:3" x14ac:dyDescent="0.25">
      <c r="A326">
        <v>474</v>
      </c>
      <c r="B326">
        <f t="shared" si="5"/>
        <v>76</v>
      </c>
      <c r="C326" t="str">
        <v>Naxos joins the Delian League</v>
      </c>
    </row>
    <row r="327" spans="1:3" x14ac:dyDescent="0.25">
      <c r="A327">
        <v>474</v>
      </c>
      <c r="B327">
        <f t="shared" si="5"/>
        <v>76</v>
      </c>
      <c r="C327" t="str">
        <v>Hieron occupies the Parthenopean Islands</v>
      </c>
    </row>
    <row r="328" spans="1:3" x14ac:dyDescent="0.25">
      <c r="A328">
        <v>474</v>
      </c>
      <c r="B328">
        <f t="shared" si="5"/>
        <v>76</v>
      </c>
      <c r="C328" t="str">
        <v>Pindar, Greek poet relocates to Thebes (in Greece) from court at Syracuse.</v>
      </c>
    </row>
    <row r="329" spans="1:3" x14ac:dyDescent="0.25">
      <c r="A329">
        <v>473</v>
      </c>
      <c r="B329">
        <f t="shared" si="5"/>
        <v>76</v>
      </c>
      <c r="C329" t="str">
        <v>Taras is defeated by the Iapygians</v>
      </c>
    </row>
    <row r="330" spans="1:3" x14ac:dyDescent="0.25">
      <c r="A330">
        <v>472</v>
      </c>
      <c r="B330">
        <f t="shared" si="5"/>
        <v>77</v>
      </c>
      <c r="C330" t="str">
        <v>Thrasydaeus annexes Akragas after death of Theron</v>
      </c>
    </row>
    <row r="331" spans="1:3" x14ac:dyDescent="0.25">
      <c r="A331">
        <v>471</v>
      </c>
      <c r="B331">
        <f t="shared" si="5"/>
        <v>77</v>
      </c>
      <c r="C331" t="str">
        <v>Naxos leaves the Delian League and is subsequently sieged by Athens</v>
      </c>
    </row>
    <row r="332" spans="1:3" x14ac:dyDescent="0.25">
      <c r="A332">
        <v>471</v>
      </c>
      <c r="B332">
        <f t="shared" si="5"/>
        <v>77</v>
      </c>
      <c r="C332" t="str">
        <v>Themistocles ostracized.</v>
      </c>
    </row>
    <row r="333" spans="1:3" x14ac:dyDescent="0.25">
      <c r="A333">
        <v>470</v>
      </c>
      <c r="B333">
        <f t="shared" si="5"/>
        <v>77</v>
      </c>
      <c r="C333" t="str">
        <v>Dénia, Hēmeroskopeion (Ancient Greek: Ἡμεροσκοπεῖον) is founded by Massaliot Greeks.[6][7][8] The town was situated on the cape then called Artemisium (Ancient Greek: Ἀρτεμίσιον) or Dianium[9] (Ancient Greek: Διάνιον), named from a temple of Ephesia Artemis built upon it (goddess Artemis was called Diana in Latin).</v>
      </c>
    </row>
    <row r="334" spans="1:3" x14ac:dyDescent="0.25">
      <c r="A334">
        <v>470</v>
      </c>
      <c r="B334">
        <f t="shared" si="5"/>
        <v>77</v>
      </c>
      <c r="C334" t="str">
        <v>Naxos is impressed into the Delian League</v>
      </c>
    </row>
    <row r="335" spans="1:3" x14ac:dyDescent="0.25">
      <c r="A335">
        <v>470</v>
      </c>
      <c r="B335">
        <f t="shared" si="5"/>
        <v>77</v>
      </c>
      <c r="C335" t="str">
        <v>Ducetius annexes Ergezio</v>
      </c>
    </row>
    <row r="336" spans="1:3" x14ac:dyDescent="0.25">
      <c r="A336">
        <v>470</v>
      </c>
      <c r="B336">
        <f t="shared" si="5"/>
        <v>77</v>
      </c>
      <c r="C336" t="str">
        <v>The new urban zone of Neápolis (Νεάπολις) was founded by citizens of the nearby Greek city of Cumae on the plain of Parthenope after the victorious Battle of Cumae</v>
      </c>
    </row>
    <row r="337" spans="1:3" x14ac:dyDescent="0.25">
      <c r="A337">
        <v>469</v>
      </c>
      <c r="B337">
        <f t="shared" si="5"/>
        <v>77</v>
      </c>
      <c r="C337" t="str">
        <v>Illios is annexed by Mytilene</v>
      </c>
    </row>
    <row r="338" spans="1:3" x14ac:dyDescent="0.25">
      <c r="A338">
        <v>469</v>
      </c>
      <c r="B338">
        <f t="shared" si="5"/>
        <v>77</v>
      </c>
      <c r="C338" t="str">
        <v>Klazomenai, Phaselis, Aspendos, Doris and Priene join the Delian League</v>
      </c>
    </row>
    <row r="339" spans="1:3" x14ac:dyDescent="0.25">
      <c r="A339">
        <v>468</v>
      </c>
      <c r="B339">
        <f t="shared" si="5"/>
        <v>78</v>
      </c>
      <c r="C339" t="str">
        <v>Thrasydaeus is overthrown by Akragas</v>
      </c>
    </row>
    <row r="340" spans="1:3" x14ac:dyDescent="0.25">
      <c r="A340">
        <v>468</v>
      </c>
      <c r="B340">
        <f t="shared" si="5"/>
        <v>78</v>
      </c>
      <c r="C340" t="str">
        <v>Sophocles, Greek playwright, defeats Aeschylus for Athenian Prize for drama.</v>
      </c>
    </row>
    <row r="341" spans="1:3" x14ac:dyDescent="0.25">
      <c r="A341">
        <v>467</v>
      </c>
      <c r="B341">
        <f t="shared" si="5"/>
        <v>78</v>
      </c>
      <c r="C341" t="str">
        <v>Micythus steps down to Leophron</v>
      </c>
    </row>
    <row r="342" spans="1:3" x14ac:dyDescent="0.25">
      <c r="A342">
        <v>466</v>
      </c>
      <c r="B342">
        <f t="shared" si="5"/>
        <v>78</v>
      </c>
      <c r="C342" t="str">
        <v>Taras is defeated by the Iapygians</v>
      </c>
    </row>
    <row r="343" spans="1:3" x14ac:dyDescent="0.25">
      <c r="A343">
        <v>466</v>
      </c>
      <c r="B343">
        <f t="shared" si="5"/>
        <v>78</v>
      </c>
      <c r="C343" t="str">
        <v>Taras' monarchy is overthrown by democrats</v>
      </c>
    </row>
    <row r="344" spans="1:3" x14ac:dyDescent="0.25">
      <c r="A344">
        <v>466</v>
      </c>
      <c r="B344">
        <f t="shared" si="5"/>
        <v>78</v>
      </c>
      <c r="C344" t="str">
        <v>Thrasybulos succeeds Hieron</v>
      </c>
    </row>
    <row r="345" spans="1:3" x14ac:dyDescent="0.25">
      <c r="A345">
        <v>465</v>
      </c>
      <c r="B345">
        <f t="shared" si="5"/>
        <v>78</v>
      </c>
      <c r="C345" t="str">
        <v>Thasus leaves the Delian League and is sieged by Athens</v>
      </c>
    </row>
    <row r="346" spans="1:3" x14ac:dyDescent="0.25">
      <c r="A346">
        <v>465</v>
      </c>
      <c r="B346">
        <f t="shared" si="5"/>
        <v>78</v>
      </c>
      <c r="C346" t="str">
        <v>Abydos and Troad join the Delian League</v>
      </c>
    </row>
    <row r="347" spans="1:3" x14ac:dyDescent="0.25">
      <c r="A347">
        <v>465</v>
      </c>
      <c r="B347">
        <f t="shared" si="5"/>
        <v>78</v>
      </c>
      <c r="C347" t="str">
        <v>Thracian Chernessos is annexed by Athens</v>
      </c>
    </row>
    <row r="348" spans="1:3" x14ac:dyDescent="0.25">
      <c r="A348">
        <v>465</v>
      </c>
      <c r="B348">
        <f t="shared" si="5"/>
        <v>78</v>
      </c>
      <c r="C348" t="str">
        <v>Deinmenes II, Aenesidemus, Thrasybulos and Polyzelos are overthrown by their respective cities</v>
      </c>
    </row>
    <row r="349" spans="1:3" x14ac:dyDescent="0.25">
      <c r="A349">
        <v>463</v>
      </c>
      <c r="B349">
        <f t="shared" si="5"/>
        <v>79</v>
      </c>
      <c r="C349" t="str">
        <v>Thasus is impressed into the Delian League</v>
      </c>
    </row>
    <row r="350" spans="1:3" x14ac:dyDescent="0.25">
      <c r="A350">
        <v>462</v>
      </c>
      <c r="B350">
        <f t="shared" si="5"/>
        <v>79</v>
      </c>
      <c r="C350" t="str">
        <v>Megara leaves the Peloponnesian League</v>
      </c>
    </row>
    <row r="351" spans="1:3" x14ac:dyDescent="0.25">
      <c r="A351">
        <v>462</v>
      </c>
      <c r="B351">
        <f t="shared" si="5"/>
        <v>79</v>
      </c>
      <c r="C351" t="str">
        <v>--&gt; Cimon elected general each year</v>
      </c>
    </row>
    <row r="352" spans="1:3" x14ac:dyDescent="0.25">
      <c r="A352">
        <v>461</v>
      </c>
      <c r="B352">
        <f t="shared" si="5"/>
        <v>79</v>
      </c>
      <c r="C352" t="str">
        <v>Catania, Naxos and Catania declare independence from Syracuse, Dorian settlers are removed from Catania</v>
      </c>
    </row>
    <row r="353" spans="1:3" x14ac:dyDescent="0.25">
      <c r="A353">
        <v>461</v>
      </c>
      <c r="B353">
        <f t="shared" si="5"/>
        <v>79</v>
      </c>
      <c r="C353" t="str">
        <v>Kamarina is refounded under the Tyranny of Psaumis</v>
      </c>
    </row>
    <row r="354" spans="1:3" x14ac:dyDescent="0.25">
      <c r="A354">
        <v>461</v>
      </c>
      <c r="B354">
        <f t="shared" si="5"/>
        <v>79</v>
      </c>
      <c r="C354" t="str">
        <v>Cimon ostracized.</v>
      </c>
    </row>
    <row r="355" spans="1:3" x14ac:dyDescent="0.25">
      <c r="A355">
        <v>461</v>
      </c>
      <c r="B355">
        <f t="shared" si="5"/>
        <v>79</v>
      </c>
      <c r="C355" t="str">
        <v>Thera joins the Peloponnesian League</v>
      </c>
    </row>
    <row r="356" spans="1:3" x14ac:dyDescent="0.25">
      <c r="A356">
        <v>461</v>
      </c>
      <c r="B356">
        <f t="shared" si="5"/>
        <v>79</v>
      </c>
      <c r="C356" t="str">
        <v>Messene and Rhegion separate and oust Leophron</v>
      </c>
    </row>
    <row r="357" spans="1:3" x14ac:dyDescent="0.25">
      <c r="A357">
        <v>460</v>
      </c>
      <c r="B357">
        <f t="shared" si="5"/>
        <v>80</v>
      </c>
      <c r="C357" t="str">
        <v>Taras defeats the Iapygians</v>
      </c>
    </row>
    <row r="358" spans="1:3" x14ac:dyDescent="0.25">
      <c r="A358">
        <v>460</v>
      </c>
      <c r="B358">
        <f t="shared" si="5"/>
        <v>80</v>
      </c>
      <c r="C358" t="str">
        <v>Aetna is founded</v>
      </c>
    </row>
    <row r="359" spans="1:3" x14ac:dyDescent="0.25">
      <c r="A359">
        <v>460</v>
      </c>
      <c r="B359">
        <f t="shared" si="5"/>
        <v>80</v>
      </c>
      <c r="C359" t="str">
        <v>First Peloponnesian War Starts</v>
      </c>
    </row>
    <row r="360" spans="1:3" x14ac:dyDescent="0.25">
      <c r="A360">
        <v>459</v>
      </c>
      <c r="B360">
        <f t="shared" si="5"/>
        <v>80</v>
      </c>
      <c r="C360" t="str">
        <v>Aegina is besieged by Athens</v>
      </c>
    </row>
    <row r="361" spans="1:3" x14ac:dyDescent="0.25">
      <c r="A361">
        <v>459</v>
      </c>
      <c r="B361">
        <f t="shared" si="5"/>
        <v>80</v>
      </c>
      <c r="C361" t="str">
        <v>Morgantina is annexed by Ducetius</v>
      </c>
    </row>
    <row r="362" spans="1:3" x14ac:dyDescent="0.25">
      <c r="A362">
        <v>459</v>
      </c>
      <c r="B362">
        <f t="shared" si="5"/>
        <v>80</v>
      </c>
      <c r="C362" t="str">
        <v>Siege of Memphis, destruction of the Athenian fleet by Megabyzus --&gt;</v>
      </c>
    </row>
    <row r="363" spans="1:3" x14ac:dyDescent="0.25">
      <c r="A363">
        <v>458</v>
      </c>
      <c r="B363">
        <f t="shared" si="5"/>
        <v>80</v>
      </c>
      <c r="C363" t="str">
        <v>Imbros is annexed by Athens</v>
      </c>
    </row>
    <row r="364" spans="1:3" x14ac:dyDescent="0.25">
      <c r="A364">
        <v>457</v>
      </c>
      <c r="B364">
        <f t="shared" si="5"/>
        <v>80</v>
      </c>
      <c r="C364" t="str">
        <v>Aegina is impressed into the Delian League</v>
      </c>
    </row>
    <row r="365" spans="1:3" x14ac:dyDescent="0.25">
      <c r="A365">
        <v>457</v>
      </c>
      <c r="B365">
        <f t="shared" si="5"/>
        <v>80</v>
      </c>
      <c r="C365" t="str">
        <v>Delphi is annexed by Phocis</v>
      </c>
    </row>
    <row r="366" spans="1:3" x14ac:dyDescent="0.25">
      <c r="A366">
        <v>457</v>
      </c>
      <c r="B366">
        <f t="shared" si="5"/>
        <v>80</v>
      </c>
      <c r="C366" t="str">
        <v>Pericles, Athenian statesman begins Golden Age, he was taught by Anaxagoras, who believed in dualistic Universe and atoms.</v>
      </c>
    </row>
    <row r="367" spans="1:3" x14ac:dyDescent="0.25">
      <c r="A367">
        <v>457</v>
      </c>
      <c r="B367">
        <f t="shared" si="5"/>
        <v>80</v>
      </c>
      <c r="C367" t="str">
        <v>Boeotia (Except Thebes), Phocis and Locris join the Delian League</v>
      </c>
    </row>
    <row r="368" spans="1:3" x14ac:dyDescent="0.25">
      <c r="A368">
        <v>456</v>
      </c>
      <c r="B368">
        <f t="shared" si="5"/>
        <v>81</v>
      </c>
      <c r="C368" t="str">
        <v>Gythium is raided by Athens</v>
      </c>
    </row>
    <row r="369" spans="1:3" x14ac:dyDescent="0.25">
      <c r="A369">
        <v>456</v>
      </c>
      <c r="B369">
        <f t="shared" si="5"/>
        <v>81</v>
      </c>
      <c r="C369" t="str">
        <v>Zakynthos joins the Delian League</v>
      </c>
    </row>
    <row r="370" spans="1:3" x14ac:dyDescent="0.25">
      <c r="A370">
        <v>456</v>
      </c>
      <c r="B370">
        <f t="shared" si="5"/>
        <v>81</v>
      </c>
      <c r="C370" t="str">
        <v>Castrugiuvanni (Enna) join Ducetius</v>
      </c>
    </row>
    <row r="371" spans="1:3" x14ac:dyDescent="0.25">
      <c r="A371">
        <v>456</v>
      </c>
      <c r="B371">
        <f t="shared" si="5"/>
        <v>81</v>
      </c>
      <c r="C371" t="str">
        <v>Aeschylus dies.</v>
      </c>
    </row>
    <row r="372" spans="1:3" x14ac:dyDescent="0.25">
      <c r="A372">
        <v>455</v>
      </c>
      <c r="B372">
        <f t="shared" si="5"/>
        <v>81</v>
      </c>
      <c r="C372" t="str">
        <v>Nafpaktos is impressed into the Delian League and settled with Messenian Helots</v>
      </c>
    </row>
    <row r="373" spans="1:3" x14ac:dyDescent="0.25">
      <c r="A373">
        <v>455</v>
      </c>
      <c r="B373">
        <f t="shared" si="5"/>
        <v>81</v>
      </c>
      <c r="C373" t="str">
        <v>--&gt; Siege of Memphis, destruction of the Athenian fleet by Megabyzus</v>
      </c>
    </row>
    <row r="374" spans="1:3" x14ac:dyDescent="0.25">
      <c r="A374">
        <v>454</v>
      </c>
      <c r="B374">
        <f t="shared" si="5"/>
        <v>81</v>
      </c>
      <c r="C374" t="str">
        <v>Abacaenum is annexed by Ducetius</v>
      </c>
    </row>
    <row r="375" spans="1:3" x14ac:dyDescent="0.25">
      <c r="A375">
        <v>454</v>
      </c>
      <c r="B375">
        <f t="shared" si="5"/>
        <v>81</v>
      </c>
      <c r="C375" t="str">
        <v>Movement of Delian treasury to Athens and start of the First Athenian Empire</v>
      </c>
    </row>
    <row r="376" spans="1:3" x14ac:dyDescent="0.25">
      <c r="A376">
        <v>454</v>
      </c>
      <c r="B376">
        <f t="shared" si="5"/>
        <v>81</v>
      </c>
      <c r="C376" t="str">
        <v>Athenian annexation of Delos</v>
      </c>
    </row>
    <row r="377" spans="1:3" x14ac:dyDescent="0.25">
      <c r="A377">
        <v>453</v>
      </c>
      <c r="B377">
        <f t="shared" si="5"/>
        <v>81</v>
      </c>
      <c r="C377" t="str">
        <v>Palike is founded by Ducetius</v>
      </c>
    </row>
    <row r="378" spans="1:3" x14ac:dyDescent="0.25">
      <c r="A378">
        <v>452</v>
      </c>
      <c r="B378">
        <f t="shared" si="5"/>
        <v>82</v>
      </c>
      <c r="C378" t="str">
        <v>Akragas and Aetna are annexed by Ducetius, Ducetius sieges Motyon</v>
      </c>
    </row>
    <row r="379" spans="1:3" x14ac:dyDescent="0.25">
      <c r="A379">
        <v>452</v>
      </c>
      <c r="B379">
        <f t="shared" si="5"/>
        <v>82</v>
      </c>
      <c r="C379" t="str">
        <v>Nea Sybaris is founded by Sybarites</v>
      </c>
    </row>
    <row r="380" spans="1:3" x14ac:dyDescent="0.25">
      <c r="A380">
        <v>451</v>
      </c>
      <c r="B380">
        <f t="shared" si="5"/>
        <v>82</v>
      </c>
      <c r="C380" t="str">
        <v>Athens besieges Kition</v>
      </c>
    </row>
    <row r="381" spans="1:3" x14ac:dyDescent="0.25">
      <c r="A381">
        <v>451</v>
      </c>
      <c r="B381">
        <f t="shared" si="5"/>
        <v>82</v>
      </c>
      <c r="C381" t="str">
        <v>Motyon is occupied by Ducetius</v>
      </c>
    </row>
    <row r="382" spans="1:3" x14ac:dyDescent="0.25">
      <c r="A382">
        <v>450</v>
      </c>
      <c r="B382">
        <f t="shared" si="5"/>
        <v>82</v>
      </c>
      <c r="C382" t="str">
        <v>Naxos becomes a cleurchy</v>
      </c>
    </row>
    <row r="383" spans="1:3" x14ac:dyDescent="0.25">
      <c r="A383">
        <v>450</v>
      </c>
      <c r="B383">
        <f t="shared" si="5"/>
        <v>82</v>
      </c>
      <c r="C383" t="str">
        <v>Akragas and Motyon are liberated from Ducetius starting a decades long conflict between Syracuse+friends and the Sicels</v>
      </c>
    </row>
    <row r="384" spans="1:3" x14ac:dyDescent="0.25">
      <c r="A384">
        <v>449</v>
      </c>
      <c r="B384">
        <f t="shared" si="5"/>
        <v>82</v>
      </c>
      <c r="C384" t="str">
        <v>Delphi declares independence from Phocis</v>
      </c>
    </row>
    <row r="385" spans="1:3" x14ac:dyDescent="0.25">
      <c r="A385">
        <v>449</v>
      </c>
      <c r="B385">
        <f t="shared" si="5"/>
        <v>82</v>
      </c>
      <c r="C385" t="str">
        <v>Ducetius abandons the Sicel Federation he created and is forced to go into exile at Korinth</v>
      </c>
    </row>
    <row r="386" spans="1:3" x14ac:dyDescent="0.25">
      <c r="A386">
        <v>449</v>
      </c>
      <c r="B386">
        <f t="shared" si="5"/>
        <v>82</v>
      </c>
      <c r="C386" t="str">
        <v>Morgantina is annexed Syracuse</v>
      </c>
    </row>
    <row r="387" spans="1:3" x14ac:dyDescent="0.25">
      <c r="A387">
        <v>449</v>
      </c>
      <c r="B387">
        <f t="shared" ref="B387:B450" si="6">ROUNDDOWN((-A387+780)/4,0)</f>
        <v>82</v>
      </c>
      <c r="C387" t="str">
        <v>Herodotus, Greek Historian, writes History of Greco-Persian War from 490 to 479.</v>
      </c>
    </row>
    <row r="388" spans="1:3" x14ac:dyDescent="0.25">
      <c r="A388">
        <v>448</v>
      </c>
      <c r="B388">
        <f t="shared" si="6"/>
        <v>83</v>
      </c>
      <c r="C388" t="str">
        <v>Delphi is annexed by Phocis</v>
      </c>
    </row>
    <row r="389" spans="1:3" x14ac:dyDescent="0.25">
      <c r="A389">
        <v>447</v>
      </c>
      <c r="B389">
        <f t="shared" si="6"/>
        <v>83</v>
      </c>
      <c r="C389" t="str">
        <v>Ictinus and Callicrates, Greek architects, begin construction of the Parthenon.</v>
      </c>
    </row>
    <row r="390" spans="1:3" x14ac:dyDescent="0.25">
      <c r="A390">
        <v>447</v>
      </c>
      <c r="B390">
        <f t="shared" si="6"/>
        <v>83</v>
      </c>
      <c r="C390" t="str">
        <v>Nea Sybaris is annexed by Kroton</v>
      </c>
    </row>
    <row r="391" spans="1:3" x14ac:dyDescent="0.25">
      <c r="A391">
        <v>447</v>
      </c>
      <c r="B391">
        <f t="shared" si="6"/>
        <v>83</v>
      </c>
      <c r="C391" t="str">
        <v>Chalcis leaves the Delian League and is besieged by Athens</v>
      </c>
    </row>
    <row r="392" spans="1:3" x14ac:dyDescent="0.25">
      <c r="A392">
        <v>446</v>
      </c>
      <c r="B392">
        <f t="shared" si="6"/>
        <v>83</v>
      </c>
      <c r="C392" t="str">
        <v>Phocis, Locris and Boeotia leave the Delian League, Boeotia unites into the Boeotian League and joins the Peloponnesian League</v>
      </c>
    </row>
    <row r="393" spans="1:3" x14ac:dyDescent="0.25">
      <c r="A393">
        <v>446</v>
      </c>
      <c r="B393">
        <f t="shared" si="6"/>
        <v>83</v>
      </c>
      <c r="C393" t="str">
        <v>Megara joins the Peloponnesian League</v>
      </c>
    </row>
    <row r="394" spans="1:3" x14ac:dyDescent="0.25">
      <c r="A394">
        <v>446</v>
      </c>
      <c r="B394">
        <f t="shared" si="6"/>
        <v>83</v>
      </c>
      <c r="C394" t="str">
        <v>Kale Akte is founded by Ducetius</v>
      </c>
    </row>
    <row r="395" spans="1:3" x14ac:dyDescent="0.25">
      <c r="A395">
        <v>446</v>
      </c>
      <c r="B395">
        <f t="shared" si="6"/>
        <v>83</v>
      </c>
      <c r="C395" t="str">
        <v>Achaea and Trozen leave the Peloponnesian League and join the Delian League</v>
      </c>
    </row>
    <row r="396" spans="1:3" x14ac:dyDescent="0.25">
      <c r="A396">
        <v>446</v>
      </c>
      <c r="B396">
        <f t="shared" si="6"/>
        <v>83</v>
      </c>
      <c r="C396" t="str">
        <v>Euboean Revolt --&gt;</v>
      </c>
    </row>
    <row r="397" spans="1:3" x14ac:dyDescent="0.25">
      <c r="A397">
        <v>445</v>
      </c>
      <c r="B397">
        <f t="shared" si="6"/>
        <v>83</v>
      </c>
      <c r="C397" t="str">
        <v>Euboea is impressed into the Delian League</v>
      </c>
    </row>
    <row r="398" spans="1:3" x14ac:dyDescent="0.25">
      <c r="A398">
        <v>445</v>
      </c>
      <c r="B398">
        <f t="shared" si="6"/>
        <v>83</v>
      </c>
      <c r="C398" t="str">
        <v>Histiaea becomes an Athenian cleurchy</v>
      </c>
    </row>
    <row r="399" spans="1:3" x14ac:dyDescent="0.25">
      <c r="A399">
        <v>445</v>
      </c>
      <c r="B399">
        <f t="shared" si="6"/>
        <v>83</v>
      </c>
      <c r="C399" t="str">
        <v>First Peloponnesian War Ends</v>
      </c>
    </row>
    <row r="400" spans="1:3" x14ac:dyDescent="0.25">
      <c r="A400">
        <v>445</v>
      </c>
      <c r="B400">
        <f t="shared" si="6"/>
        <v>83</v>
      </c>
      <c r="C400" t="str">
        <v>Troezen is impressed into the Peloponnesian League</v>
      </c>
    </row>
    <row r="401" spans="1:3" x14ac:dyDescent="0.25">
      <c r="A401">
        <v>445</v>
      </c>
      <c r="B401">
        <f t="shared" si="6"/>
        <v>83</v>
      </c>
      <c r="C401" t="str">
        <v>--&gt; Euboean Revolt</v>
      </c>
    </row>
    <row r="402" spans="1:3" x14ac:dyDescent="0.25">
      <c r="A402">
        <v>443</v>
      </c>
      <c r="B402">
        <f t="shared" si="6"/>
        <v>84</v>
      </c>
      <c r="C402" t="str">
        <v>Thurii is founded by Sybarites and Various Hellenes</v>
      </c>
    </row>
    <row r="403" spans="1:3" x14ac:dyDescent="0.25">
      <c r="A403">
        <v>441</v>
      </c>
      <c r="B403">
        <f t="shared" si="6"/>
        <v>84</v>
      </c>
      <c r="C403" t="str">
        <v>Euripides, Greek playwright, wins Athenian prize.</v>
      </c>
    </row>
    <row r="404" spans="1:3" x14ac:dyDescent="0.25">
      <c r="A404">
        <v>441</v>
      </c>
      <c r="B404">
        <f t="shared" si="6"/>
        <v>84</v>
      </c>
      <c r="C404" t="str">
        <v>Sybaris on the Traeis is founded by Sybarites exiled from Thurii</v>
      </c>
    </row>
    <row r="405" spans="1:3" x14ac:dyDescent="0.25">
      <c r="A405">
        <v>440</v>
      </c>
      <c r="B405">
        <f t="shared" si="6"/>
        <v>85</v>
      </c>
      <c r="C405" t="str">
        <v>Samos leaves the Delian League and is besieged by Athens</v>
      </c>
    </row>
    <row r="406" spans="1:3" x14ac:dyDescent="0.25">
      <c r="A406">
        <v>440</v>
      </c>
      <c r="B406">
        <f t="shared" si="6"/>
        <v>85</v>
      </c>
      <c r="C406" t="str">
        <v>Palike is destroyed, ending the Sicel Federation</v>
      </c>
    </row>
    <row r="407" spans="1:3" x14ac:dyDescent="0.25">
      <c r="A407">
        <v>440</v>
      </c>
      <c r="B407">
        <f t="shared" si="6"/>
        <v>85</v>
      </c>
      <c r="C407" t="str">
        <v>Ducetius dies</v>
      </c>
    </row>
    <row r="408" spans="1:3" x14ac:dyDescent="0.25">
      <c r="A408">
        <v>439</v>
      </c>
      <c r="B408">
        <f t="shared" si="6"/>
        <v>85</v>
      </c>
      <c r="C408" t="str">
        <v>Samos is impressed into the Delian League</v>
      </c>
    </row>
    <row r="409" spans="1:3" x14ac:dyDescent="0.25">
      <c r="A409">
        <v>438</v>
      </c>
      <c r="B409">
        <f t="shared" si="6"/>
        <v>85</v>
      </c>
      <c r="C409" t="str">
        <v>Founding of the Bosporan Kingdom[10]</v>
      </c>
    </row>
    <row r="410" spans="1:3" x14ac:dyDescent="0.25">
      <c r="A410">
        <v>437</v>
      </c>
      <c r="B410">
        <f t="shared" si="6"/>
        <v>85</v>
      </c>
      <c r="C410" t="str">
        <v>Newly founded Amphipolis annexes Eion</v>
      </c>
    </row>
    <row r="411" spans="1:3" x14ac:dyDescent="0.25">
      <c r="A411">
        <v>437</v>
      </c>
      <c r="B411">
        <f t="shared" si="6"/>
        <v>85</v>
      </c>
      <c r="C411" t="str">
        <v>Athens allies with Messapia</v>
      </c>
    </row>
    <row r="412" spans="1:3" x14ac:dyDescent="0.25">
      <c r="A412">
        <v>436</v>
      </c>
      <c r="B412">
        <f t="shared" si="6"/>
        <v>86</v>
      </c>
      <c r="C412" t="str">
        <v>Taulantii-Epidamos War</v>
      </c>
    </row>
    <row r="413" spans="1:3" x14ac:dyDescent="0.25">
      <c r="A413">
        <v>435</v>
      </c>
      <c r="B413">
        <f t="shared" si="6"/>
        <v>86</v>
      </c>
      <c r="C413" t="str">
        <v>Phidias, Greek sculptor, completes statue of Zeus at Elis, 1 of 7 wonders of the world.</v>
      </c>
    </row>
    <row r="414" spans="1:3" x14ac:dyDescent="0.25">
      <c r="A414">
        <v>434</v>
      </c>
      <c r="B414">
        <f t="shared" si="6"/>
        <v>86</v>
      </c>
      <c r="C414" t="str">
        <v>Epidamos becomes a democracy</v>
      </c>
    </row>
    <row r="415" spans="1:3" x14ac:dyDescent="0.25">
      <c r="A415">
        <v>434</v>
      </c>
      <c r="B415">
        <f t="shared" si="6"/>
        <v>86</v>
      </c>
      <c r="C415" t="str">
        <v>Epidamos is annexed by Korinth</v>
      </c>
    </row>
    <row r="416" spans="1:3" x14ac:dyDescent="0.25">
      <c r="A416">
        <v>434</v>
      </c>
      <c r="B416">
        <f t="shared" si="6"/>
        <v>86</v>
      </c>
      <c r="C416" t="str">
        <v>Kerkyra allies with Taulantii and besiege Epidamos</v>
      </c>
    </row>
    <row r="417" spans="1:3" x14ac:dyDescent="0.25">
      <c r="A417">
        <v>434</v>
      </c>
      <c r="B417">
        <f t="shared" si="6"/>
        <v>86</v>
      </c>
      <c r="C417" t="str">
        <v>Kerkyra seizes Outer Epidamos (City)</v>
      </c>
    </row>
    <row r="418" spans="1:3" x14ac:dyDescent="0.25">
      <c r="A418">
        <v>434</v>
      </c>
      <c r="B418">
        <f t="shared" si="6"/>
        <v>86</v>
      </c>
      <c r="C418" t="str">
        <v>Battle of Leukimme</v>
      </c>
    </row>
    <row r="419" spans="1:3" x14ac:dyDescent="0.25">
      <c r="A419">
        <v>434</v>
      </c>
      <c r="B419">
        <f t="shared" si="6"/>
        <v>86</v>
      </c>
      <c r="C419" t="str">
        <v>Kerkyra raids Kyllene</v>
      </c>
    </row>
    <row r="420" spans="1:3" x14ac:dyDescent="0.25">
      <c r="A420">
        <v>434</v>
      </c>
      <c r="B420">
        <f t="shared" si="6"/>
        <v>86</v>
      </c>
      <c r="C420" t="str">
        <v>Kerkyra joins Delian League</v>
      </c>
    </row>
    <row r="421" spans="1:3" x14ac:dyDescent="0.25">
      <c r="A421">
        <v>433</v>
      </c>
      <c r="B421">
        <f t="shared" si="6"/>
        <v>86</v>
      </c>
      <c r="C421" t="str">
        <v>Battle of Sybota</v>
      </c>
    </row>
    <row r="422" spans="1:3" x14ac:dyDescent="0.25">
      <c r="A422">
        <v>433</v>
      </c>
      <c r="B422">
        <f t="shared" si="6"/>
        <v>86</v>
      </c>
      <c r="C422" t="str">
        <v>Anactorium is annexed by Korinth</v>
      </c>
    </row>
    <row r="423" spans="1:3" x14ac:dyDescent="0.25">
      <c r="A423">
        <v>432</v>
      </c>
      <c r="B423">
        <f t="shared" si="6"/>
        <v>87</v>
      </c>
      <c r="C423" t="str">
        <v>Psaumis dies</v>
      </c>
    </row>
    <row r="424" spans="1:3" x14ac:dyDescent="0.25">
      <c r="A424">
        <v>432</v>
      </c>
      <c r="B424">
        <f t="shared" si="6"/>
        <v>87</v>
      </c>
      <c r="C424" t="str">
        <v>Potidaea leaves the Delian League and is sieged by Athens</v>
      </c>
    </row>
    <row r="425" spans="1:3" x14ac:dyDescent="0.25">
      <c r="A425">
        <v>432</v>
      </c>
      <c r="B425">
        <f t="shared" si="6"/>
        <v>87</v>
      </c>
      <c r="C425" t="str">
        <v>Pydna is besieged by Athens</v>
      </c>
    </row>
    <row r="426" spans="1:3" x14ac:dyDescent="0.25">
      <c r="A426">
        <v>432</v>
      </c>
      <c r="B426">
        <f t="shared" si="6"/>
        <v>87</v>
      </c>
      <c r="C426" t="str">
        <v>End of "Golden Age" of Athens</v>
      </c>
    </row>
    <row r="427" spans="1:3" x14ac:dyDescent="0.25">
      <c r="A427">
        <v>431</v>
      </c>
      <c r="B427">
        <f t="shared" si="6"/>
        <v>87</v>
      </c>
      <c r="C427" t="str">
        <v>Sparta commanded by King Archidamus II prepares to destroy Athens thus starting the Peloponnesian War.</v>
      </c>
    </row>
    <row r="428" spans="1:3" x14ac:dyDescent="0.25">
      <c r="A428">
        <v>431</v>
      </c>
      <c r="B428">
        <f t="shared" si="6"/>
        <v>87</v>
      </c>
      <c r="C428" t="str">
        <v>Plataea is besieged by Thebes</v>
      </c>
    </row>
    <row r="429" spans="1:3" x14ac:dyDescent="0.25">
      <c r="A429">
        <v>431</v>
      </c>
      <c r="B429">
        <f t="shared" si="6"/>
        <v>87</v>
      </c>
      <c r="C429" t="str">
        <v>Pagae and Atalanta is occupied by Athens</v>
      </c>
    </row>
    <row r="430" spans="1:3" x14ac:dyDescent="0.25">
      <c r="A430">
        <v>431</v>
      </c>
      <c r="B430">
        <f t="shared" si="6"/>
        <v>87</v>
      </c>
      <c r="C430" t="str">
        <v>Aegina is annexed by Athens</v>
      </c>
    </row>
    <row r="431" spans="1:3" x14ac:dyDescent="0.25">
      <c r="A431">
        <v>431</v>
      </c>
      <c r="B431">
        <f t="shared" si="6"/>
        <v>87</v>
      </c>
      <c r="C431" t="str">
        <v>Empedocles, Greek doctor, believes body has Four Temperaments.</v>
      </c>
    </row>
    <row r="432" spans="1:3" x14ac:dyDescent="0.25">
      <c r="A432">
        <v>430</v>
      </c>
      <c r="B432">
        <f t="shared" si="6"/>
        <v>87</v>
      </c>
      <c r="C432" t="str">
        <v>Athens abandons the Siege of Pydna</v>
      </c>
    </row>
    <row r="433" spans="1:3" x14ac:dyDescent="0.25">
      <c r="A433">
        <v>430</v>
      </c>
      <c r="B433">
        <f t="shared" si="6"/>
        <v>87</v>
      </c>
      <c r="C433" t="str">
        <v>Herakleion is impressed into the Delian League</v>
      </c>
    </row>
    <row r="434" spans="1:3" x14ac:dyDescent="0.25">
      <c r="A434">
        <v>430</v>
      </c>
      <c r="B434">
        <f t="shared" si="6"/>
        <v>87</v>
      </c>
      <c r="C434" t="str">
        <v>Spartan Siege of Zakynthos (Local Victory)</v>
      </c>
    </row>
    <row r="435" spans="1:3" x14ac:dyDescent="0.25">
      <c r="A435">
        <v>430</v>
      </c>
      <c r="B435">
        <f t="shared" si="6"/>
        <v>87</v>
      </c>
      <c r="C435" t="str">
        <v>Failed peace mission by Athens, bubonic plague year, Sparta takes no prisoners.</v>
      </c>
    </row>
    <row r="436" spans="1:3" x14ac:dyDescent="0.25">
      <c r="A436">
        <v>430</v>
      </c>
      <c r="B436">
        <f t="shared" si="6"/>
        <v>87</v>
      </c>
      <c r="C436" t="str">
        <v>Leucippus, Greek philosopher, believes every natural event has natural cause. Athenian Plague begins in Athens.</v>
      </c>
    </row>
    <row r="437" spans="1:3" x14ac:dyDescent="0.25">
      <c r="A437">
        <v>429</v>
      </c>
      <c r="B437">
        <f t="shared" si="6"/>
        <v>87</v>
      </c>
      <c r="C437" t="str">
        <v>Herakleion is annexed by Macedonia</v>
      </c>
    </row>
    <row r="438" spans="1:3" x14ac:dyDescent="0.25">
      <c r="A438">
        <v>429</v>
      </c>
      <c r="B438">
        <f t="shared" si="6"/>
        <v>87</v>
      </c>
      <c r="C438" t="str">
        <v>Potidaea is impressed into the Delian League</v>
      </c>
    </row>
    <row r="439" spans="1:3" x14ac:dyDescent="0.25">
      <c r="A439">
        <v>429</v>
      </c>
      <c r="B439">
        <f t="shared" si="6"/>
        <v>87</v>
      </c>
      <c r="C439" t="str">
        <v>All Chalkidiki cities (Except Mende, Acanthus, Scione, Stagirus and Aphytis) leave the Delian League</v>
      </c>
    </row>
    <row r="440" spans="1:3" x14ac:dyDescent="0.25">
      <c r="A440">
        <v>429</v>
      </c>
      <c r="B440">
        <f t="shared" si="6"/>
        <v>87</v>
      </c>
      <c r="C440" t="str">
        <v>Athens Siege of Kydonia (Local Victory)</v>
      </c>
    </row>
    <row r="441" spans="1:3" x14ac:dyDescent="0.25">
      <c r="A441">
        <v>429</v>
      </c>
      <c r="B441">
        <f t="shared" si="6"/>
        <v>87</v>
      </c>
      <c r="C441" t="str">
        <v>Phormio, Athenian admiral, wins the Battle of Chalcis/Rhium.</v>
      </c>
    </row>
    <row r="442" spans="1:3" x14ac:dyDescent="0.25">
      <c r="A442">
        <v>429</v>
      </c>
      <c r="B442">
        <f t="shared" si="6"/>
        <v>87</v>
      </c>
      <c r="C442" t="str">
        <v>Pericles dies of Athenian Plague, possibly typhus or bubonic plague.</v>
      </c>
    </row>
    <row r="443" spans="1:3" x14ac:dyDescent="0.25">
      <c r="A443">
        <v>429</v>
      </c>
      <c r="B443">
        <f t="shared" si="6"/>
        <v>87</v>
      </c>
      <c r="C443" t="str">
        <v>Hippocrates, Greek doctor, believes diseases have physical cause.</v>
      </c>
    </row>
    <row r="444" spans="1:3" x14ac:dyDescent="0.25">
      <c r="A444">
        <v>429</v>
      </c>
      <c r="B444">
        <f t="shared" si="6"/>
        <v>87</v>
      </c>
      <c r="C444" t="str">
        <v>First Battle of Naupaktos (Athenian Victory)</v>
      </c>
    </row>
    <row r="445" spans="1:3" x14ac:dyDescent="0.25">
      <c r="A445">
        <v>428</v>
      </c>
      <c r="B445">
        <f t="shared" si="6"/>
        <v>88</v>
      </c>
      <c r="C445" t="str">
        <v>Plato born.</v>
      </c>
    </row>
    <row r="446" spans="1:3" x14ac:dyDescent="0.25">
      <c r="A446">
        <v>428</v>
      </c>
      <c r="B446">
        <f t="shared" si="6"/>
        <v>88</v>
      </c>
      <c r="C446" t="str">
        <v>Mytilene and Antissa leave the Delian league and Mytilene is sieged by Athens, Antissa is sieged by Methymna</v>
      </c>
    </row>
    <row r="447" spans="1:3" x14ac:dyDescent="0.25">
      <c r="A447">
        <v>428</v>
      </c>
      <c r="B447">
        <f t="shared" si="6"/>
        <v>88</v>
      </c>
      <c r="C447" t="str">
        <v>Illios joins the Delian League</v>
      </c>
    </row>
    <row r="448" spans="1:3" x14ac:dyDescent="0.25">
      <c r="A448">
        <v>427</v>
      </c>
      <c r="B448">
        <f t="shared" si="6"/>
        <v>88</v>
      </c>
      <c r="C448" t="str">
        <v>Suppression of Mytilene, Antissa is annexed by Methymna, Mytilene becomes an Athenian Cleurchy, Mytilene Troad joins the Delian League as independent cities</v>
      </c>
    </row>
    <row r="449" spans="1:3" x14ac:dyDescent="0.25">
      <c r="A449">
        <v>427</v>
      </c>
      <c r="B449">
        <f t="shared" si="6"/>
        <v>88</v>
      </c>
      <c r="C449" t="str">
        <v>Archidamus II dies, Alcidas, Greek admiral sent to help Lesbos, raids Ionia and flees after seeing Athenian might. Athenian Plague returns.</v>
      </c>
    </row>
    <row r="450" spans="1:3" x14ac:dyDescent="0.25">
      <c r="A450">
        <v>427</v>
      </c>
      <c r="B450">
        <f t="shared" si="6"/>
        <v>88</v>
      </c>
      <c r="C450" t="str">
        <v>Plataea is impressed into the Boeotian League and by extension, the Peloponnesian League</v>
      </c>
    </row>
    <row r="451" spans="1:3" x14ac:dyDescent="0.25">
      <c r="A451">
        <v>427</v>
      </c>
      <c r="B451">
        <f t="shared" ref="B451:B514" si="7">ROUNDDOWN((-A451+780)/4,0)</f>
        <v>88</v>
      </c>
      <c r="C451" t="str">
        <v>Aristophanes, Greek playwright, wins Athenian Prize.</v>
      </c>
    </row>
    <row r="452" spans="1:3" x14ac:dyDescent="0.25">
      <c r="A452">
        <v>427</v>
      </c>
      <c r="B452">
        <f t="shared" si="7"/>
        <v>88</v>
      </c>
      <c r="C452" t="str">
        <v>Corcyran Civil War (Democratic Victory)</v>
      </c>
    </row>
    <row r="453" spans="1:3" x14ac:dyDescent="0.25">
      <c r="A453">
        <v>427</v>
      </c>
      <c r="B453">
        <f t="shared" si="7"/>
        <v>88</v>
      </c>
      <c r="C453" t="str">
        <v>First Athenian Intervention in Sicily begins</v>
      </c>
    </row>
    <row r="454" spans="1:3" x14ac:dyDescent="0.25">
      <c r="A454">
        <v>426</v>
      </c>
      <c r="B454">
        <f t="shared" si="7"/>
        <v>88</v>
      </c>
      <c r="C454" t="str">
        <v>Megara occupies Pegae</v>
      </c>
    </row>
    <row r="455" spans="1:3" x14ac:dyDescent="0.25">
      <c r="A455">
        <v>426</v>
      </c>
      <c r="B455">
        <f t="shared" si="7"/>
        <v>88</v>
      </c>
      <c r="C455" t="str">
        <v>Athens sieges Lecus</v>
      </c>
    </row>
    <row r="456" spans="1:3" x14ac:dyDescent="0.25">
      <c r="A456">
        <v>426</v>
      </c>
      <c r="B456">
        <f t="shared" si="7"/>
        <v>88</v>
      </c>
      <c r="C456" t="str">
        <v>Pylos, Messene, Mylae, Aegitium and Tichium are occupied by Athens, Pylos is founded by escaped Helots</v>
      </c>
    </row>
    <row r="457" spans="1:3" x14ac:dyDescent="0.25">
      <c r="A457">
        <v>426</v>
      </c>
      <c r="B457">
        <f t="shared" si="7"/>
        <v>88</v>
      </c>
      <c r="C457" t="str">
        <v>Battle of Tanagra</v>
      </c>
    </row>
    <row r="458" spans="1:3" x14ac:dyDescent="0.25">
      <c r="A458">
        <v>426</v>
      </c>
      <c r="B458">
        <f t="shared" si="7"/>
        <v>88</v>
      </c>
      <c r="C458" t="str">
        <v>Amfissa joins the Peloponnesian League</v>
      </c>
    </row>
    <row r="459" spans="1:3" x14ac:dyDescent="0.25">
      <c r="A459">
        <v>426</v>
      </c>
      <c r="B459">
        <f t="shared" si="7"/>
        <v>88</v>
      </c>
      <c r="C459" t="str">
        <v>Ozolian Locris join the Delian League</v>
      </c>
    </row>
    <row r="460" spans="1:3" x14ac:dyDescent="0.25">
      <c r="A460">
        <v>426</v>
      </c>
      <c r="B460">
        <f t="shared" si="7"/>
        <v>88</v>
      </c>
      <c r="C460" t="str">
        <v>Demosthenes, Athenian general, and Cleon, Athenian demagogue, revitalizes Athenian forces, makes bold plans opposed by Nicias, his first military campaign barely succeeds.</v>
      </c>
    </row>
    <row r="461" spans="1:3" x14ac:dyDescent="0.25">
      <c r="A461">
        <v>426</v>
      </c>
      <c r="B461">
        <f t="shared" si="7"/>
        <v>88</v>
      </c>
      <c r="C461" t="str">
        <v>Ambrakia occupies Olpae and Argos</v>
      </c>
    </row>
    <row r="462" spans="1:3" x14ac:dyDescent="0.25">
      <c r="A462">
        <v>426</v>
      </c>
      <c r="B462">
        <f t="shared" si="7"/>
        <v>88</v>
      </c>
      <c r="C462" t="str">
        <v>Acarnanian League and Amphilochian League are founded and join the Delian League</v>
      </c>
    </row>
    <row r="463" spans="1:3" x14ac:dyDescent="0.25">
      <c r="A463">
        <v>425</v>
      </c>
      <c r="B463">
        <f t="shared" si="7"/>
        <v>88</v>
      </c>
      <c r="C463" t="str">
        <v>Acarnania occupies Olpae and Argos</v>
      </c>
    </row>
    <row r="464" spans="1:3" x14ac:dyDescent="0.25">
      <c r="A464">
        <v>425</v>
      </c>
      <c r="B464">
        <f t="shared" si="7"/>
        <v>88</v>
      </c>
      <c r="C464" t="str">
        <v>Athenian fleet bottles up Spartan navy at Navarino Bay, Nicias resigns.</v>
      </c>
    </row>
    <row r="465" spans="1:3" x14ac:dyDescent="0.25">
      <c r="A465">
        <v>425</v>
      </c>
      <c r="B465">
        <f t="shared" si="7"/>
        <v>88</v>
      </c>
      <c r="C465" t="str">
        <v>Herakleion is impressed into the Delian League</v>
      </c>
    </row>
    <row r="466" spans="1:3" x14ac:dyDescent="0.25">
      <c r="A466">
        <v>425</v>
      </c>
      <c r="B466">
        <f t="shared" si="7"/>
        <v>88</v>
      </c>
      <c r="C466" t="str">
        <v>Athens occupies Sphacteria</v>
      </c>
    </row>
    <row r="467" spans="1:3" x14ac:dyDescent="0.25">
      <c r="A467">
        <v>425</v>
      </c>
      <c r="B467">
        <f t="shared" si="7"/>
        <v>88</v>
      </c>
      <c r="C467" t="str">
        <v>Morgantina is annexed by Kamarina</v>
      </c>
    </row>
    <row r="468" spans="1:3" x14ac:dyDescent="0.25">
      <c r="A468">
        <v>425</v>
      </c>
      <c r="B468">
        <f t="shared" si="7"/>
        <v>88</v>
      </c>
      <c r="C468" t="str">
        <v>Ozolian Locris joins the Peloponnesian League</v>
      </c>
    </row>
    <row r="469" spans="1:3" x14ac:dyDescent="0.25">
      <c r="A469">
        <v>425</v>
      </c>
      <c r="B469">
        <f t="shared" si="7"/>
        <v>88</v>
      </c>
      <c r="C469" t="str">
        <v>Athens withdraws from Lecas and Acarnania</v>
      </c>
    </row>
    <row r="470" spans="1:3" x14ac:dyDescent="0.25">
      <c r="A470">
        <v>425</v>
      </c>
      <c r="B470">
        <f t="shared" si="7"/>
        <v>88</v>
      </c>
      <c r="C470" t="str">
        <v>Athens withdraws from Messene and Mylae is impressed into the Delian League</v>
      </c>
    </row>
    <row r="471" spans="1:3" x14ac:dyDescent="0.25">
      <c r="A471">
        <v>424</v>
      </c>
      <c r="B471">
        <f t="shared" si="7"/>
        <v>89</v>
      </c>
      <c r="C471" t="str">
        <v>Herakleion is annexed by Makedonia</v>
      </c>
    </row>
    <row r="472" spans="1:3" x14ac:dyDescent="0.25">
      <c r="A472">
        <v>424</v>
      </c>
      <c r="B472">
        <f t="shared" si="7"/>
        <v>89</v>
      </c>
      <c r="C472" t="str">
        <v>Eion, Akanthus and Amphipolis are besieged by Sparta</v>
      </c>
    </row>
    <row r="473" spans="1:3" x14ac:dyDescent="0.25">
      <c r="A473">
        <v>424</v>
      </c>
      <c r="B473">
        <f t="shared" si="7"/>
        <v>89</v>
      </c>
      <c r="C473" t="str">
        <v>Stagira joins the Peloponnesian League</v>
      </c>
    </row>
    <row r="474" spans="1:3" x14ac:dyDescent="0.25">
      <c r="A474">
        <v>424</v>
      </c>
      <c r="B474">
        <f t="shared" si="7"/>
        <v>89</v>
      </c>
      <c r="C474" t="str">
        <v>Nisaia, and Siphae are occupied by Athenai</v>
      </c>
    </row>
    <row r="475" spans="1:3" x14ac:dyDescent="0.25">
      <c r="A475">
        <v>424</v>
      </c>
      <c r="B475">
        <f t="shared" si="7"/>
        <v>89</v>
      </c>
      <c r="C475" t="str">
        <v>Thyrea is occupied by Athens</v>
      </c>
    </row>
    <row r="476" spans="1:3" x14ac:dyDescent="0.25">
      <c r="A476">
        <v>424</v>
      </c>
      <c r="B476">
        <f t="shared" si="7"/>
        <v>89</v>
      </c>
      <c r="C476" t="str">
        <v>First Athenian Intervention in Sicily ends</v>
      </c>
    </row>
    <row r="477" spans="1:3" x14ac:dyDescent="0.25">
      <c r="A477">
        <v>424</v>
      </c>
      <c r="B477">
        <f t="shared" si="7"/>
        <v>89</v>
      </c>
      <c r="C477" t="str">
        <v>Pagondas of Thebes (in Greece) crushes Athenian army at the Battle of Delium, Brasidas a Spartan general, has a successful campaign in the Chalcidice, Cleon exiles Thucydides for 20 years for arriving late.</v>
      </c>
    </row>
    <row r="478" spans="1:3" x14ac:dyDescent="0.25">
      <c r="A478">
        <v>423</v>
      </c>
      <c r="B478">
        <f t="shared" si="7"/>
        <v>89</v>
      </c>
      <c r="C478" t="str">
        <v>Sparta occupied Amphipolis and Scione</v>
      </c>
    </row>
    <row r="479" spans="1:3" x14ac:dyDescent="0.25">
      <c r="A479">
        <v>423</v>
      </c>
      <c r="B479">
        <f t="shared" si="7"/>
        <v>89</v>
      </c>
      <c r="C479" t="str">
        <v>Torone is occupied by Makedonia</v>
      </c>
    </row>
    <row r="480" spans="1:3" x14ac:dyDescent="0.25">
      <c r="A480">
        <v>423</v>
      </c>
      <c r="B480">
        <f t="shared" si="7"/>
        <v>89</v>
      </c>
      <c r="C480" t="str">
        <v>Akanthus joins the Peloponnesian League</v>
      </c>
    </row>
    <row r="481" spans="1:3" x14ac:dyDescent="0.25">
      <c r="A481">
        <v>423</v>
      </c>
      <c r="B481">
        <f t="shared" si="7"/>
        <v>89</v>
      </c>
      <c r="C481" t="str">
        <v>Truce of Laches supposed to stop Brasidas but doesn't, Nicias commands Athenian forces in retaking Mende.</v>
      </c>
    </row>
    <row r="482" spans="1:3" x14ac:dyDescent="0.25">
      <c r="A482">
        <v>423</v>
      </c>
      <c r="B482">
        <f t="shared" si="7"/>
        <v>89</v>
      </c>
      <c r="C482" t="str">
        <v>Olynthus form the Chalcidian League independent of the Delian League</v>
      </c>
    </row>
    <row r="483" spans="1:3" x14ac:dyDescent="0.25">
      <c r="A483">
        <v>422</v>
      </c>
      <c r="B483">
        <f t="shared" si="7"/>
        <v>89</v>
      </c>
      <c r="C483" t="str">
        <v>Stagira is besieged by Athens</v>
      </c>
    </row>
    <row r="484" spans="1:3" x14ac:dyDescent="0.25">
      <c r="A484">
        <v>422</v>
      </c>
      <c r="B484">
        <f t="shared" si="7"/>
        <v>89</v>
      </c>
      <c r="C484" t="str">
        <v>Neapolis is annexed by Rome</v>
      </c>
    </row>
    <row r="485" spans="1:3" x14ac:dyDescent="0.25">
      <c r="A485">
        <v>422</v>
      </c>
      <c r="B485">
        <f t="shared" si="7"/>
        <v>89</v>
      </c>
      <c r="C485" t="str">
        <v>Torone and Scione are impressed into the Delian League</v>
      </c>
    </row>
    <row r="486" spans="1:3" x14ac:dyDescent="0.25">
      <c r="A486">
        <v>422</v>
      </c>
      <c r="B486">
        <f t="shared" si="7"/>
        <v>89</v>
      </c>
      <c r="C486" t="str">
        <v>Cleon meets Brasidas outside of Amphipolis, both are killed (Battle of Amphipolis).</v>
      </c>
    </row>
    <row r="487" spans="1:3" x14ac:dyDescent="0.25">
      <c r="A487">
        <v>422</v>
      </c>
      <c r="B487">
        <f t="shared" si="7"/>
        <v>89</v>
      </c>
      <c r="C487" t="str">
        <v>Syracuse annexes the now weak Leontini</v>
      </c>
    </row>
    <row r="488" spans="1:3" x14ac:dyDescent="0.25">
      <c r="A488">
        <v>421</v>
      </c>
      <c r="B488">
        <f t="shared" si="7"/>
        <v>89</v>
      </c>
      <c r="C488" t="str">
        <v>Peace of Nicias brings temporary end to war, but Alcibiades, a nephew of Pericles, makes anti-Sparta alliance.</v>
      </c>
    </row>
    <row r="489" spans="1:3" x14ac:dyDescent="0.25">
      <c r="A489">
        <v>421</v>
      </c>
      <c r="B489">
        <f t="shared" si="7"/>
        <v>89</v>
      </c>
      <c r="C489" t="str">
        <v>Herakleion is impressed into the Delian League</v>
      </c>
    </row>
    <row r="490" spans="1:3" x14ac:dyDescent="0.25">
      <c r="A490">
        <v>421</v>
      </c>
      <c r="B490">
        <f t="shared" si="7"/>
        <v>89</v>
      </c>
      <c r="C490" t="str">
        <v>Cumae is annexed by Oscans</v>
      </c>
    </row>
    <row r="491" spans="1:3" x14ac:dyDescent="0.25">
      <c r="A491">
        <v>421</v>
      </c>
      <c r="B491">
        <f t="shared" si="7"/>
        <v>89</v>
      </c>
      <c r="C491" t="str">
        <v>Athens abandons the Siege of Stagira</v>
      </c>
    </row>
    <row r="492" spans="1:3" x14ac:dyDescent="0.25">
      <c r="A492">
        <v>421</v>
      </c>
      <c r="B492">
        <f t="shared" si="7"/>
        <v>89</v>
      </c>
      <c r="C492" t="str">
        <v>Delphi declares independence from Phocis</v>
      </c>
    </row>
    <row r="493" spans="1:3" x14ac:dyDescent="0.25">
      <c r="A493">
        <v>421</v>
      </c>
      <c r="B493">
        <f t="shared" si="7"/>
        <v>89</v>
      </c>
      <c r="C493" t="str">
        <v>Argulus, Apollonia, Potidaea, Akanthus, Stageira and others join the Chalcidian League</v>
      </c>
    </row>
    <row r="494" spans="1:3" x14ac:dyDescent="0.25">
      <c r="A494">
        <v>420</v>
      </c>
      <c r="B494">
        <f t="shared" si="7"/>
        <v>90</v>
      </c>
      <c r="C494" t="str">
        <v>Mantineia, Argos, Elis, Sicyon and Achaea betray Sparta and switch to the Delian League</v>
      </c>
    </row>
    <row r="495" spans="1:3" x14ac:dyDescent="0.25">
      <c r="A495">
        <v>419</v>
      </c>
      <c r="B495">
        <f t="shared" si="7"/>
        <v>90</v>
      </c>
      <c r="C495" t="str">
        <v>Athens occupies Epidauros</v>
      </c>
    </row>
    <row r="496" spans="1:3" x14ac:dyDescent="0.25">
      <c r="A496">
        <v>419</v>
      </c>
      <c r="B496">
        <f t="shared" si="7"/>
        <v>90</v>
      </c>
      <c r="C496" t="str">
        <v>King Agis II of Sparta attacks Argos, makes treaty.</v>
      </c>
    </row>
    <row r="497" spans="1:3" x14ac:dyDescent="0.25">
      <c r="A497">
        <v>418</v>
      </c>
      <c r="B497">
        <f t="shared" si="7"/>
        <v>90</v>
      </c>
      <c r="C497" t="str">
        <v>Battle of Mantinea, greatest land battle of war, gives Sparta victory over Argos, which violated treaty, Alcibiades thrown out, alliance ended.</v>
      </c>
    </row>
    <row r="498" spans="1:3" x14ac:dyDescent="0.25">
      <c r="A498">
        <v>418</v>
      </c>
      <c r="B498">
        <f t="shared" si="7"/>
        <v>90</v>
      </c>
      <c r="C498" t="str">
        <v>Orchmenos is occupied by Argos</v>
      </c>
    </row>
    <row r="499" spans="1:3" x14ac:dyDescent="0.25">
      <c r="A499">
        <v>417</v>
      </c>
      <c r="B499">
        <f t="shared" si="7"/>
        <v>90</v>
      </c>
      <c r="C499" t="str">
        <v>Orchmenos is given to Boeotia</v>
      </c>
    </row>
    <row r="500" spans="1:3" x14ac:dyDescent="0.25">
      <c r="A500">
        <v>417</v>
      </c>
      <c r="B500">
        <f t="shared" si="7"/>
        <v>90</v>
      </c>
      <c r="C500" t="str">
        <v>Sicyon joins the Peloponnesian League</v>
      </c>
    </row>
    <row r="501" spans="1:3" x14ac:dyDescent="0.25">
      <c r="A501">
        <v>417</v>
      </c>
      <c r="B501">
        <f t="shared" si="7"/>
        <v>90</v>
      </c>
      <c r="C501" t="str">
        <v>Epidauros is occupied by Sparta</v>
      </c>
    </row>
    <row r="502" spans="1:3" x14ac:dyDescent="0.25">
      <c r="A502">
        <v>416</v>
      </c>
      <c r="B502">
        <f t="shared" si="7"/>
        <v>91</v>
      </c>
      <c r="C502" t="str">
        <v>Melos is besieged by Athens</v>
      </c>
    </row>
    <row r="503" spans="1:3" x14ac:dyDescent="0.25">
      <c r="A503">
        <v>416</v>
      </c>
      <c r="B503">
        <f t="shared" si="7"/>
        <v>91</v>
      </c>
      <c r="C503" t="str">
        <v>Alcibiades makes plans, is restored to power.</v>
      </c>
    </row>
    <row r="504" spans="1:3" x14ac:dyDescent="0.25">
      <c r="A504">
        <v>416</v>
      </c>
      <c r="B504">
        <f t="shared" si="7"/>
        <v>91</v>
      </c>
      <c r="C504" t="str">
        <v>Selinus annexes Segesta's frontier provinces</v>
      </c>
    </row>
    <row r="505" spans="1:3" x14ac:dyDescent="0.25">
      <c r="A505">
        <v>416</v>
      </c>
      <c r="B505">
        <f t="shared" si="7"/>
        <v>91</v>
      </c>
      <c r="C505" t="str">
        <v>Massacre of the Melians.</v>
      </c>
    </row>
    <row r="506" spans="1:3" x14ac:dyDescent="0.25">
      <c r="A506">
        <v>415</v>
      </c>
      <c r="B506">
        <f t="shared" si="7"/>
        <v>91</v>
      </c>
      <c r="C506" t="str">
        <v>Hermai statues are mutilated in Athens, Alcibiades accused, asks for inquiry, told to set sail for battle (Sicilian Expedition), is condemned to death in absentia, he defects to Sparta.</v>
      </c>
    </row>
    <row r="507" spans="1:3" x14ac:dyDescent="0.25">
      <c r="A507">
        <v>415</v>
      </c>
      <c r="B507">
        <f t="shared" si="7"/>
        <v>91</v>
      </c>
      <c r="C507" t="str">
        <v>Many Syracusan cities rebel</v>
      </c>
    </row>
    <row r="508" spans="1:3" x14ac:dyDescent="0.25">
      <c r="A508">
        <v>415</v>
      </c>
      <c r="B508">
        <f t="shared" si="7"/>
        <v>91</v>
      </c>
      <c r="C508" t="str">
        <v>Siege of Syracuse --&gt;</v>
      </c>
    </row>
    <row r="509" spans="1:3" x14ac:dyDescent="0.25">
      <c r="A509">
        <v>414</v>
      </c>
      <c r="B509">
        <f t="shared" si="7"/>
        <v>91</v>
      </c>
      <c r="C509" t="str">
        <v>Metapontion allies with Athens --&gt;</v>
      </c>
    </row>
    <row r="510" spans="1:3" x14ac:dyDescent="0.25">
      <c r="A510">
        <v>414</v>
      </c>
      <c r="B510">
        <f t="shared" si="7"/>
        <v>91</v>
      </c>
      <c r="C510" t="str">
        <v>Lamachus, Athenian commander killed at Syracuse.</v>
      </c>
    </row>
    <row r="511" spans="1:3" x14ac:dyDescent="0.25">
      <c r="A511">
        <v>413</v>
      </c>
      <c r="B511">
        <f t="shared" si="7"/>
        <v>91</v>
      </c>
      <c r="C511" t="str">
        <v>Nicias and Demosthenes killed at Syracuse</v>
      </c>
    </row>
    <row r="512" spans="1:3" x14ac:dyDescent="0.25">
      <c r="A512">
        <v>413</v>
      </c>
      <c r="B512">
        <f t="shared" si="7"/>
        <v>91</v>
      </c>
      <c r="C512" t="str">
        <v>Leontini and Kamarina are vassalized by Syracuse</v>
      </c>
    </row>
    <row r="513" spans="1:3" x14ac:dyDescent="0.25">
      <c r="A513">
        <v>413</v>
      </c>
      <c r="B513">
        <f t="shared" si="7"/>
        <v>91</v>
      </c>
      <c r="C513" t="str">
        <v>Herakleion is annexed by Makedonia</v>
      </c>
    </row>
    <row r="514" spans="1:3" x14ac:dyDescent="0.25">
      <c r="A514">
        <v>413</v>
      </c>
      <c r="B514">
        <f t="shared" si="7"/>
        <v>91</v>
      </c>
      <c r="C514" t="str">
        <v>Miletus and Khios betray Athens and join the Peloponnesian League</v>
      </c>
    </row>
    <row r="515" spans="1:3" x14ac:dyDescent="0.25">
      <c r="A515">
        <v>413</v>
      </c>
      <c r="B515">
        <f t="shared" ref="B515:B578" si="8">ROUNDDOWN((-A515+780)/4,0)</f>
        <v>91</v>
      </c>
      <c r="C515" t="str">
        <v>--&gt; Siege of Syracuse</v>
      </c>
    </row>
    <row r="516" spans="1:3" x14ac:dyDescent="0.25">
      <c r="A516">
        <v>413</v>
      </c>
      <c r="B516">
        <f t="shared" si="8"/>
        <v>91</v>
      </c>
      <c r="C516" t="str">
        <v>--&gt; Metapontion allies with Athens</v>
      </c>
    </row>
    <row r="517" spans="1:3" x14ac:dyDescent="0.25">
      <c r="A517">
        <v>412</v>
      </c>
      <c r="B517">
        <f t="shared" si="8"/>
        <v>92</v>
      </c>
      <c r="C517" t="str">
        <v>Alcibiades is expelled from Sparta, conspires to come back to Athens.</v>
      </c>
    </row>
    <row r="518" spans="1:3" x14ac:dyDescent="0.25">
      <c r="A518">
        <v>412</v>
      </c>
      <c r="B518">
        <f t="shared" si="8"/>
        <v>92</v>
      </c>
      <c r="C518" t="str">
        <v>Methymna is occupied by Sparta</v>
      </c>
    </row>
    <row r="519" spans="1:3" x14ac:dyDescent="0.25">
      <c r="A519">
        <v>412</v>
      </c>
      <c r="B519">
        <f t="shared" si="8"/>
        <v>92</v>
      </c>
      <c r="C519" t="str">
        <v>Klazomenai and Kyzikus betray Athens and join the Peloponnesian League</v>
      </c>
    </row>
    <row r="520" spans="1:3" x14ac:dyDescent="0.25">
      <c r="A520">
        <v>412</v>
      </c>
      <c r="B520">
        <f t="shared" si="8"/>
        <v>92</v>
      </c>
      <c r="C520" t="str">
        <v>Chios is sieged by Athens</v>
      </c>
    </row>
    <row r="521" spans="1:3" x14ac:dyDescent="0.25">
      <c r="A521">
        <v>412</v>
      </c>
      <c r="B521">
        <f t="shared" si="8"/>
        <v>92</v>
      </c>
      <c r="C521" t="str">
        <v>Aygrion dies and is succeeded by Aygris</v>
      </c>
    </row>
    <row r="522" spans="1:3" x14ac:dyDescent="0.25">
      <c r="A522">
        <v>411</v>
      </c>
      <c r="B522">
        <f t="shared" si="8"/>
        <v>92</v>
      </c>
      <c r="C522" t="str">
        <v>Sparta allies with Persia</v>
      </c>
    </row>
    <row r="523" spans="1:3" x14ac:dyDescent="0.25">
      <c r="A523">
        <v>411</v>
      </c>
      <c r="B523">
        <f t="shared" si="8"/>
        <v>92</v>
      </c>
      <c r="C523" t="str">
        <v>Aspendos is annexed by Persia</v>
      </c>
    </row>
    <row r="524" spans="1:3" x14ac:dyDescent="0.25">
      <c r="A524">
        <v>411</v>
      </c>
      <c r="B524">
        <f t="shared" si="8"/>
        <v>92</v>
      </c>
      <c r="C524" t="str">
        <v>Kyzikus and Klazomenai are impressed into the Delian League</v>
      </c>
    </row>
    <row r="525" spans="1:3" x14ac:dyDescent="0.25">
      <c r="A525">
        <v>411</v>
      </c>
      <c r="B525">
        <f t="shared" si="8"/>
        <v>92</v>
      </c>
      <c r="C525" t="str">
        <v>Oropos is occupied by Boeotia</v>
      </c>
    </row>
    <row r="526" spans="1:3" x14ac:dyDescent="0.25">
      <c r="A526">
        <v>411</v>
      </c>
      <c r="B526">
        <f t="shared" si="8"/>
        <v>92</v>
      </c>
      <c r="C526" t="str">
        <v>Illios is annexes by Lampsacus</v>
      </c>
    </row>
    <row r="527" spans="1:3" x14ac:dyDescent="0.25">
      <c r="A527">
        <v>411</v>
      </c>
      <c r="B527">
        <f t="shared" si="8"/>
        <v>92</v>
      </c>
      <c r="C527" t="str">
        <v>Athens abandons the Siege of Chios</v>
      </c>
    </row>
    <row r="528" spans="1:3" x14ac:dyDescent="0.25">
      <c r="A528">
        <v>411</v>
      </c>
      <c r="B528">
        <f t="shared" si="8"/>
        <v>92</v>
      </c>
      <c r="C528" t="str">
        <v>Sparta leaves Methymna</v>
      </c>
    </row>
    <row r="529" spans="1:3" x14ac:dyDescent="0.25">
      <c r="A529">
        <v>411</v>
      </c>
      <c r="B529">
        <f t="shared" si="8"/>
        <v>92</v>
      </c>
      <c r="C529" t="str">
        <v>Euboea, Byzantium, Abydos, Andros, Antandrus, Lampsacus, Chalcedon and Rodos betray Athens and join the Peloponnesian League</v>
      </c>
    </row>
    <row r="530" spans="1:3" x14ac:dyDescent="0.25">
      <c r="A530">
        <v>411</v>
      </c>
      <c r="B530">
        <f t="shared" si="8"/>
        <v>92</v>
      </c>
      <c r="C530" t="str">
        <v>Abydos is overthrown by Dercylidas</v>
      </c>
    </row>
    <row r="531" spans="1:3" x14ac:dyDescent="0.25">
      <c r="A531">
        <v>411</v>
      </c>
      <c r="B531">
        <f t="shared" si="8"/>
        <v>92</v>
      </c>
      <c r="C531" t="str">
        <v>Selinus attacks Segesta once again and aggravates Carthage</v>
      </c>
    </row>
    <row r="532" spans="1:3" x14ac:dyDescent="0.25">
      <c r="A532">
        <v>411</v>
      </c>
      <c r="B532">
        <f t="shared" si="8"/>
        <v>92</v>
      </c>
      <c r="C532" t="str">
        <v>Athens is overthrown by the Four Hundred</v>
      </c>
    </row>
    <row r="533" spans="1:3" x14ac:dyDescent="0.25">
      <c r="A533">
        <v>410</v>
      </c>
      <c r="B533">
        <f t="shared" si="8"/>
        <v>92</v>
      </c>
      <c r="C533" t="str">
        <v>After several successes, Athenian demagogue Cleophon rejects Spartan peace offers.</v>
      </c>
    </row>
    <row r="534" spans="1:3" x14ac:dyDescent="0.25">
      <c r="A534">
        <v>410</v>
      </c>
      <c r="B534">
        <f t="shared" si="8"/>
        <v>92</v>
      </c>
      <c r="C534" t="str">
        <v>Segesta is annexed by Carthage</v>
      </c>
    </row>
    <row r="535" spans="1:3" x14ac:dyDescent="0.25">
      <c r="A535">
        <v>410</v>
      </c>
      <c r="B535">
        <f t="shared" si="8"/>
        <v>92</v>
      </c>
      <c r="C535" t="str">
        <v>Four Hundred are overthrown by Athens</v>
      </c>
    </row>
    <row r="536" spans="1:3" x14ac:dyDescent="0.25">
      <c r="A536">
        <v>409</v>
      </c>
      <c r="B536">
        <f t="shared" si="8"/>
        <v>92</v>
      </c>
      <c r="C536" t="str">
        <v>Antandrus is annexed by Persia</v>
      </c>
    </row>
    <row r="537" spans="1:3" x14ac:dyDescent="0.25">
      <c r="A537">
        <v>409</v>
      </c>
      <c r="B537">
        <f t="shared" si="8"/>
        <v>92</v>
      </c>
      <c r="C537" t="str">
        <v>Abydos is besieged by Athens</v>
      </c>
    </row>
    <row r="538" spans="1:3" x14ac:dyDescent="0.25">
      <c r="A538">
        <v>409</v>
      </c>
      <c r="B538">
        <f t="shared" si="8"/>
        <v>92</v>
      </c>
      <c r="C538" t="str">
        <v>Sparta sieges Klazomenai</v>
      </c>
    </row>
    <row r="539" spans="1:3" x14ac:dyDescent="0.25">
      <c r="A539">
        <v>409</v>
      </c>
      <c r="B539">
        <f t="shared" si="8"/>
        <v>92</v>
      </c>
      <c r="C539" t="str">
        <v>Selinus and Himera are sacked by Carthage</v>
      </c>
    </row>
    <row r="540" spans="1:3" x14ac:dyDescent="0.25">
      <c r="A540">
        <v>409</v>
      </c>
      <c r="B540">
        <f t="shared" si="8"/>
        <v>92</v>
      </c>
      <c r="C540" t="str">
        <v>Byzantium recaptured by Alcibiades for Athens.</v>
      </c>
    </row>
    <row r="541" spans="1:3" x14ac:dyDescent="0.25">
      <c r="A541">
        <v>408</v>
      </c>
      <c r="B541">
        <f t="shared" si="8"/>
        <v>93</v>
      </c>
      <c r="C541" t="str">
        <v>The 3 poleis of Rodos unite and build a new capital called Rodos</v>
      </c>
    </row>
    <row r="542" spans="1:3" x14ac:dyDescent="0.25">
      <c r="A542">
        <v>408</v>
      </c>
      <c r="B542">
        <f t="shared" si="8"/>
        <v>93</v>
      </c>
      <c r="C542" t="str">
        <v>Athens besieges Paleopoli</v>
      </c>
    </row>
    <row r="543" spans="1:3" x14ac:dyDescent="0.25">
      <c r="A543">
        <v>408</v>
      </c>
      <c r="B543">
        <f t="shared" si="8"/>
        <v>93</v>
      </c>
      <c r="C543" t="str">
        <v>Athens abandons Siege of Abydos</v>
      </c>
    </row>
    <row r="544" spans="1:3" x14ac:dyDescent="0.25">
      <c r="A544">
        <v>408</v>
      </c>
      <c r="B544">
        <f t="shared" si="8"/>
        <v>93</v>
      </c>
      <c r="C544" t="str">
        <v>Sparta abandons the Siege of Klazomenai</v>
      </c>
    </row>
    <row r="545" spans="1:3" x14ac:dyDescent="0.25">
      <c r="A545">
        <v>408</v>
      </c>
      <c r="B545">
        <f t="shared" si="8"/>
        <v>93</v>
      </c>
      <c r="C545" t="str">
        <v>Alcibiades reenters Athens in triumph, Lysander, a Spartan commander, has fleet built at Ephesus.</v>
      </c>
    </row>
    <row r="546" spans="1:3" x14ac:dyDescent="0.25">
      <c r="A546">
        <v>407</v>
      </c>
      <c r="B546">
        <f t="shared" si="8"/>
        <v>93</v>
      </c>
      <c r="C546" t="str">
        <v>Thermae is founded by Carthage</v>
      </c>
    </row>
    <row r="547" spans="1:3" x14ac:dyDescent="0.25">
      <c r="A547">
        <v>407</v>
      </c>
      <c r="B547">
        <f t="shared" si="8"/>
        <v>93</v>
      </c>
      <c r="C547" t="str">
        <v>Athens abandons the Siege of Paleopoli</v>
      </c>
    </row>
    <row r="548" spans="1:3" x14ac:dyDescent="0.25">
      <c r="A548">
        <v>407</v>
      </c>
      <c r="B548">
        <f t="shared" si="8"/>
        <v>93</v>
      </c>
      <c r="C548" t="str">
        <v>Lysander begins destruction of Athenian fleet, Alcibiades stripped of power.</v>
      </c>
    </row>
    <row r="549" spans="1:3" x14ac:dyDescent="0.25">
      <c r="A549">
        <v>406</v>
      </c>
      <c r="B549">
        <f t="shared" si="8"/>
        <v>93</v>
      </c>
      <c r="C549" t="str">
        <v>Sparta sieges Methymna</v>
      </c>
    </row>
    <row r="550" spans="1:3" x14ac:dyDescent="0.25">
      <c r="A550">
        <v>406</v>
      </c>
      <c r="B550">
        <f t="shared" si="8"/>
        <v>93</v>
      </c>
      <c r="C550" t="str">
        <v>Akragas is sacked by Carthage</v>
      </c>
    </row>
    <row r="551" spans="1:3" x14ac:dyDescent="0.25">
      <c r="A551">
        <v>406</v>
      </c>
      <c r="B551">
        <f t="shared" si="8"/>
        <v>93</v>
      </c>
      <c r="C551" t="str">
        <v>Callicratides, Spartan naval commander, loses Battle of Arginusae over blockade of Mitylene harbor, Sparta sues for peace, rejected by Cleophon.</v>
      </c>
    </row>
    <row r="552" spans="1:3" x14ac:dyDescent="0.25">
      <c r="A552">
        <v>405</v>
      </c>
      <c r="B552">
        <f t="shared" si="8"/>
        <v>93</v>
      </c>
      <c r="C552" t="str">
        <v>Methymna is impressed into the Peloponnesian League</v>
      </c>
    </row>
    <row r="553" spans="1:3" x14ac:dyDescent="0.25">
      <c r="A553">
        <v>405</v>
      </c>
      <c r="B553">
        <f t="shared" si="8"/>
        <v>93</v>
      </c>
      <c r="C553" t="str">
        <v>Syracuse is overthrown by Dionysius the Elder</v>
      </c>
    </row>
    <row r="554" spans="1:3" x14ac:dyDescent="0.25">
      <c r="A554">
        <v>405</v>
      </c>
      <c r="B554">
        <f t="shared" si="8"/>
        <v>93</v>
      </c>
      <c r="C554" t="str">
        <v>Melos is annexed by Sparta</v>
      </c>
    </row>
    <row r="555" spans="1:3" x14ac:dyDescent="0.25">
      <c r="A555">
        <v>405</v>
      </c>
      <c r="B555">
        <f t="shared" si="8"/>
        <v>93</v>
      </c>
      <c r="C555" t="str">
        <v>Gela, Kamarina and Akrillai is sacked by Carthage</v>
      </c>
    </row>
    <row r="556" spans="1:3" x14ac:dyDescent="0.25">
      <c r="A556">
        <v>405</v>
      </c>
      <c r="B556">
        <f t="shared" si="8"/>
        <v>93</v>
      </c>
      <c r="C556" t="str">
        <v>Carthage allow the people of the sacked cities to return as Carthaginian subjects and rebuild their cities</v>
      </c>
    </row>
    <row r="557" spans="1:3" x14ac:dyDescent="0.25">
      <c r="A557">
        <v>405</v>
      </c>
      <c r="B557">
        <f t="shared" si="8"/>
        <v>93</v>
      </c>
      <c r="C557" t="str">
        <v>Leontini and Morgantina declare independence from Syracuse</v>
      </c>
    </row>
    <row r="558" spans="1:3" x14ac:dyDescent="0.25">
      <c r="A558">
        <v>405</v>
      </c>
      <c r="B558">
        <f t="shared" si="8"/>
        <v>93</v>
      </c>
      <c r="C558" t="str">
        <v>Carthage annexes Elymi, Sicel and Sican territory</v>
      </c>
    </row>
    <row r="559" spans="1:3" x14ac:dyDescent="0.25">
      <c r="A559">
        <v>405</v>
      </c>
      <c r="B559">
        <f t="shared" si="8"/>
        <v>93</v>
      </c>
      <c r="C559" t="str">
        <v>The naval Battle of Aegospotami in which Lysander captures the Athenian fleet, Spartan king Pausanias besieges Athens, Cleophon executed, Corinth and Thebes demand destruction of Athens.</v>
      </c>
    </row>
    <row r="560" spans="1:3" x14ac:dyDescent="0.25">
      <c r="A560">
        <v>405</v>
      </c>
      <c r="B560">
        <f t="shared" si="8"/>
        <v>93</v>
      </c>
      <c r="C560" t="str">
        <v>Klazomenai and Ephesus betray Athens and join the Peloponnesian League. All Carthaginian subjects (Except Ziz, their islands, Motya, Solus, Elymi, Segesta, and Entella) gain independence</v>
      </c>
    </row>
    <row r="561" spans="1:3" x14ac:dyDescent="0.25">
      <c r="A561">
        <v>404</v>
      </c>
      <c r="B561">
        <f t="shared" si="8"/>
        <v>94</v>
      </c>
      <c r="C561" t="str">
        <v>Athens capitulates April 25. Theramenes secures terms, prevents total destruction of Athens, Theramenes and Alcibiades are killed.</v>
      </c>
    </row>
    <row r="562" spans="1:3" x14ac:dyDescent="0.25">
      <c r="A562">
        <v>404</v>
      </c>
      <c r="B562">
        <f t="shared" si="8"/>
        <v>94</v>
      </c>
      <c r="C562" t="str">
        <v>Delian League is dissolved</v>
      </c>
    </row>
    <row r="563" spans="1:3" x14ac:dyDescent="0.25">
      <c r="A563">
        <v>404</v>
      </c>
      <c r="B563">
        <f t="shared" si="8"/>
        <v>94</v>
      </c>
      <c r="C563" t="str">
        <v>Korinth leaves the Peloponnesian League</v>
      </c>
    </row>
    <row r="564" spans="1:3" x14ac:dyDescent="0.25">
      <c r="A564">
        <v>404</v>
      </c>
      <c r="B564">
        <f t="shared" si="8"/>
        <v>94</v>
      </c>
      <c r="C564" t="str">
        <v>Entella is overthrown by mercenaries loyal to Carthage</v>
      </c>
    </row>
    <row r="565" spans="1:3" x14ac:dyDescent="0.25">
      <c r="A565">
        <v>404</v>
      </c>
      <c r="B565">
        <f t="shared" si="8"/>
        <v>94</v>
      </c>
      <c r="C565" t="str">
        <v>Aygris becomes a Syracusan Subject</v>
      </c>
    </row>
    <row r="566" spans="1:3" x14ac:dyDescent="0.25">
      <c r="A566">
        <v>404</v>
      </c>
      <c r="B566">
        <f t="shared" si="8"/>
        <v>94</v>
      </c>
      <c r="C566" t="str">
        <v>Nafpaktos is annexed by Ozolian Locris</v>
      </c>
    </row>
    <row r="567" spans="1:3" x14ac:dyDescent="0.25">
      <c r="A567">
        <v>404</v>
      </c>
      <c r="B567">
        <f t="shared" si="8"/>
        <v>94</v>
      </c>
      <c r="C567" t="str">
        <v>Athens is overthrown by the Thirty</v>
      </c>
    </row>
    <row r="568" spans="1:3" x14ac:dyDescent="0.25">
      <c r="A568">
        <v>404</v>
      </c>
      <c r="B568">
        <f t="shared" si="8"/>
        <v>94</v>
      </c>
      <c r="C568" t="str">
        <v>Athens joins the Peloponnesian League</v>
      </c>
    </row>
    <row r="569" spans="1:3" x14ac:dyDescent="0.25">
      <c r="A569">
        <v>403</v>
      </c>
      <c r="B569">
        <f t="shared" si="8"/>
        <v>94</v>
      </c>
      <c r="C569" t="str">
        <v>Aeimnestus, who is loyal to Dionysius, overthrows Castrugiuvanni</v>
      </c>
    </row>
    <row r="570" spans="1:3" x14ac:dyDescent="0.25">
      <c r="A570">
        <v>403</v>
      </c>
      <c r="B570">
        <f t="shared" si="8"/>
        <v>94</v>
      </c>
      <c r="C570" t="str">
        <v>Aetna is overthrown by mercenaries loyal to Dionysius</v>
      </c>
    </row>
    <row r="571" spans="1:3" x14ac:dyDescent="0.25">
      <c r="A571">
        <v>403</v>
      </c>
      <c r="B571">
        <f t="shared" si="8"/>
        <v>94</v>
      </c>
      <c r="C571" t="str">
        <v>Dionysius destroys Naxos and Catania and Sicels split Naxos with Syracuse, Catania is ruled by Campanian mercenaries loyal to Dionysius</v>
      </c>
    </row>
    <row r="572" spans="1:3" x14ac:dyDescent="0.25">
      <c r="A572">
        <v>403</v>
      </c>
      <c r="B572">
        <f t="shared" si="8"/>
        <v>94</v>
      </c>
      <c r="C572" t="str">
        <v>Athens overthrows the Thirty</v>
      </c>
    </row>
    <row r="573" spans="1:3" x14ac:dyDescent="0.25">
      <c r="A573">
        <v>403</v>
      </c>
      <c r="B573">
        <f t="shared" si="8"/>
        <v>94</v>
      </c>
      <c r="C573" t="str">
        <v>Athens leaves the Peloponnesian League and refounds the Delian League</v>
      </c>
    </row>
    <row r="574" spans="1:3" x14ac:dyDescent="0.25">
      <c r="A574">
        <v>402</v>
      </c>
      <c r="B574">
        <f t="shared" si="8"/>
        <v>94</v>
      </c>
      <c r="C574" t="str">
        <v>Elis leaves the Peloponnesian League and is subsequently sieged by Sparta</v>
      </c>
    </row>
    <row r="575" spans="1:3" x14ac:dyDescent="0.25">
      <c r="A575">
        <v>401</v>
      </c>
      <c r="B575">
        <f t="shared" si="8"/>
        <v>94</v>
      </c>
      <c r="C575" t="str">
        <v>Euboea joins the Delian League</v>
      </c>
    </row>
    <row r="576" spans="1:3" x14ac:dyDescent="0.25">
      <c r="A576">
        <v>401</v>
      </c>
      <c r="B576">
        <f t="shared" si="8"/>
        <v>94</v>
      </c>
      <c r="C576" t="str">
        <v>Elis is sacked and impressed into the Peloponnesian League</v>
      </c>
    </row>
    <row r="577" spans="1:3" x14ac:dyDescent="0.25">
      <c r="A577">
        <v>401</v>
      </c>
      <c r="B577">
        <f t="shared" si="8"/>
        <v>94</v>
      </c>
      <c r="C577" t="str">
        <v>Dionysius free Castrugiuvanni from Aeimnestus</v>
      </c>
    </row>
    <row r="578" spans="1:3" x14ac:dyDescent="0.25">
      <c r="A578">
        <v>401</v>
      </c>
      <c r="B578">
        <f t="shared" si="8"/>
        <v>94</v>
      </c>
      <c r="C578" t="str">
        <v>Poseidonia is annexed by Lucanians</v>
      </c>
    </row>
    <row r="579" spans="1:3" x14ac:dyDescent="0.25">
      <c r="A579">
        <v>401</v>
      </c>
      <c r="B579">
        <f t="shared" ref="B579:B642" si="9">ROUNDDOWN((-A579+780)/4,0)</f>
        <v>94</v>
      </c>
      <c r="C579" t="str">
        <v>Thucydides, Greek historian, leaves account of "Golden Age of Pericles" and Peloponnesian War at his death (History of the Peloponnesian War).</v>
      </c>
    </row>
    <row r="580" spans="1:3" x14ac:dyDescent="0.25">
      <c r="A580">
        <v>400</v>
      </c>
      <c r="B580">
        <f t="shared" si="9"/>
        <v>95</v>
      </c>
      <c r="C580" t="str">
        <v>Adranon is founded by Dionysius</v>
      </c>
    </row>
    <row r="581" spans="1:3" x14ac:dyDescent="0.25">
      <c r="A581">
        <v>400</v>
      </c>
      <c r="B581">
        <f t="shared" si="9"/>
        <v>95</v>
      </c>
      <c r="C581" t="str">
        <v>Aygris annexes Centuripe</v>
      </c>
    </row>
    <row r="582" spans="1:3" x14ac:dyDescent="0.25">
      <c r="A582">
        <v>400</v>
      </c>
      <c r="B582">
        <f t="shared" si="9"/>
        <v>95</v>
      </c>
      <c r="C582" t="str">
        <v>Democritus, Greek philosopher, develops Atomic theory, believes cause and necessity, nothing comes out of nothing</v>
      </c>
    </row>
    <row r="583" spans="1:3" x14ac:dyDescent="0.25">
      <c r="A583">
        <v>399</v>
      </c>
      <c r="B583">
        <f t="shared" si="9"/>
        <v>95</v>
      </c>
      <c r="C583" t="str">
        <v>Illios declares independence from Lampsacus</v>
      </c>
    </row>
    <row r="584" spans="1:3" x14ac:dyDescent="0.25">
      <c r="A584">
        <v>399</v>
      </c>
      <c r="B584">
        <f t="shared" si="9"/>
        <v>95</v>
      </c>
      <c r="C584" t="str">
        <v>Sparta sways Persian Controlled Greek cities near Pergamon to their side and march on Egyptian Larissa and siege it</v>
      </c>
    </row>
    <row r="585" spans="1:3" x14ac:dyDescent="0.25">
      <c r="A585">
        <v>399</v>
      </c>
      <c r="B585">
        <f t="shared" si="9"/>
        <v>95</v>
      </c>
      <c r="C585" t="str">
        <v>Socrates, Greek philosopher, condemned to death for corrupting youth.</v>
      </c>
    </row>
    <row r="586" spans="1:3" x14ac:dyDescent="0.25">
      <c r="A586">
        <v>398</v>
      </c>
      <c r="B586">
        <f t="shared" si="9"/>
        <v>95</v>
      </c>
      <c r="C586" t="str">
        <v>Ionia joins the Peloponnesian League</v>
      </c>
    </row>
    <row r="587" spans="1:3" x14ac:dyDescent="0.25">
      <c r="A587">
        <v>398</v>
      </c>
      <c r="B587">
        <f t="shared" si="9"/>
        <v>95</v>
      </c>
      <c r="C587" t="str">
        <v>All Carthaginian subjects (Except Ziz, their islands, Motya, Solus, Elymi, Segesta, and Entella) gain independence from Carthage</v>
      </c>
    </row>
    <row r="588" spans="1:3" x14ac:dyDescent="0.25">
      <c r="A588">
        <v>398</v>
      </c>
      <c r="B588">
        <f t="shared" si="9"/>
        <v>95</v>
      </c>
      <c r="C588" t="str">
        <v>Dionysius sieges Segesta and Entella</v>
      </c>
    </row>
    <row r="589" spans="1:3" x14ac:dyDescent="0.25">
      <c r="A589">
        <v>398</v>
      </c>
      <c r="B589">
        <f t="shared" si="9"/>
        <v>95</v>
      </c>
      <c r="C589" t="str">
        <v>Mainland territory of Motya is occupied by Dionysius</v>
      </c>
    </row>
    <row r="590" spans="1:3" x14ac:dyDescent="0.25">
      <c r="A590">
        <v>397</v>
      </c>
      <c r="B590">
        <f t="shared" si="9"/>
        <v>95</v>
      </c>
      <c r="C590" t="str">
        <v>Motya is destroyed by Dionysius and the Carthaginians build Lilybaion to replace it</v>
      </c>
    </row>
    <row r="591" spans="1:3" x14ac:dyDescent="0.25">
      <c r="A591">
        <v>397</v>
      </c>
      <c r="B591">
        <f t="shared" si="9"/>
        <v>95</v>
      </c>
      <c r="C591" t="str">
        <v>Dionysius abandons the Sieges of Entella and Segesta</v>
      </c>
    </row>
    <row r="592" spans="1:3" x14ac:dyDescent="0.25">
      <c r="A592">
        <v>397</v>
      </c>
      <c r="B592">
        <f t="shared" si="9"/>
        <v>95</v>
      </c>
      <c r="C592" t="str">
        <v>Eryx, Segesta, Lipari, Messene and Entella are annexed by Carthage</v>
      </c>
    </row>
    <row r="593" spans="1:3" x14ac:dyDescent="0.25">
      <c r="A593">
        <v>397</v>
      </c>
      <c r="B593">
        <f t="shared" si="9"/>
        <v>95</v>
      </c>
      <c r="C593" t="str">
        <v>Carthage allies with the Sicel cities except Assorus</v>
      </c>
    </row>
    <row r="594" spans="1:3" x14ac:dyDescent="0.25">
      <c r="A594">
        <v>397</v>
      </c>
      <c r="B594">
        <f t="shared" si="9"/>
        <v>95</v>
      </c>
      <c r="C594" t="str">
        <v>Tauormenion is founded by Carthage to be a supply base, settled by Sicels</v>
      </c>
    </row>
    <row r="595" spans="1:3" x14ac:dyDescent="0.25">
      <c r="A595">
        <v>397</v>
      </c>
      <c r="B595">
        <f t="shared" si="9"/>
        <v>95</v>
      </c>
      <c r="C595" t="str">
        <v>Carthaginian forces have to go the long way around Mount Etna due to an eruption</v>
      </c>
    </row>
    <row r="596" spans="1:3" x14ac:dyDescent="0.25">
      <c r="A596">
        <v>397</v>
      </c>
      <c r="B596">
        <f t="shared" si="9"/>
        <v>95</v>
      </c>
      <c r="C596" t="str">
        <v>Catania is occupied by Carthage</v>
      </c>
    </row>
    <row r="597" spans="1:3" x14ac:dyDescent="0.25">
      <c r="A597">
        <v>397</v>
      </c>
      <c r="B597">
        <f t="shared" si="9"/>
        <v>95</v>
      </c>
      <c r="C597" t="str">
        <v>Battle of Catania</v>
      </c>
    </row>
    <row r="598" spans="1:3" x14ac:dyDescent="0.25">
      <c r="A598">
        <v>397</v>
      </c>
      <c r="B598">
        <f t="shared" si="9"/>
        <v>95</v>
      </c>
      <c r="C598" t="str">
        <v>Syracuse is besieged by Carthage</v>
      </c>
    </row>
    <row r="599" spans="1:3" x14ac:dyDescent="0.25">
      <c r="A599">
        <v>396</v>
      </c>
      <c r="B599">
        <f t="shared" si="9"/>
        <v>96</v>
      </c>
      <c r="C599" t="str">
        <v>Carthage lifts the Siege of Syracuse and abandons Eastern Sicily except Messene and Lipari</v>
      </c>
    </row>
    <row r="600" spans="1:3" x14ac:dyDescent="0.25">
      <c r="A600">
        <v>396</v>
      </c>
      <c r="B600">
        <f t="shared" si="9"/>
        <v>96</v>
      </c>
      <c r="C600" t="str">
        <v>Himera and Selinus are annexed by Carthage</v>
      </c>
    </row>
    <row r="601" spans="1:3" x14ac:dyDescent="0.25">
      <c r="A601">
        <v>396</v>
      </c>
      <c r="B601">
        <f t="shared" si="9"/>
        <v>96</v>
      </c>
      <c r="C601" t="str">
        <v>Gela, Ergezio, Catania, Adranon, Kamarina and Leontini are annexed by Dionysius</v>
      </c>
    </row>
    <row r="602" spans="1:3" x14ac:dyDescent="0.25">
      <c r="A602">
        <v>396</v>
      </c>
      <c r="B602">
        <f t="shared" si="9"/>
        <v>96</v>
      </c>
      <c r="C602" t="str">
        <v>Tyndaris is founded by Dionysius to combat piracy and a base of operations</v>
      </c>
    </row>
    <row r="603" spans="1:3" x14ac:dyDescent="0.25">
      <c r="A603">
        <v>396</v>
      </c>
      <c r="B603">
        <f t="shared" si="9"/>
        <v>96</v>
      </c>
      <c r="C603" t="str">
        <v>Persia annexes Rodos</v>
      </c>
    </row>
    <row r="604" spans="1:3" x14ac:dyDescent="0.25">
      <c r="A604">
        <v>396</v>
      </c>
      <c r="B604">
        <f t="shared" si="9"/>
        <v>96</v>
      </c>
      <c r="C604" t="str">
        <v>Sparta campaigns in Phrygia</v>
      </c>
    </row>
    <row r="605" spans="1:3" x14ac:dyDescent="0.25">
      <c r="A605">
        <v>395</v>
      </c>
      <c r="B605">
        <f t="shared" si="9"/>
        <v>96</v>
      </c>
      <c r="C605" t="str">
        <v>Sparta campaigns in Ionia, Caria and march up to Sardis</v>
      </c>
    </row>
    <row r="606" spans="1:3" x14ac:dyDescent="0.25">
      <c r="A606">
        <v>395</v>
      </c>
      <c r="B606">
        <f t="shared" si="9"/>
        <v>96</v>
      </c>
      <c r="C606" t="str">
        <v>Orchmenus leaves the Boeotian League</v>
      </c>
    </row>
    <row r="607" spans="1:3" x14ac:dyDescent="0.25">
      <c r="A607">
        <v>395</v>
      </c>
      <c r="B607">
        <f t="shared" si="9"/>
        <v>96</v>
      </c>
      <c r="C607" t="str">
        <v>Cephaloedium is annexed by Dionysius</v>
      </c>
    </row>
    <row r="608" spans="1:3" x14ac:dyDescent="0.25">
      <c r="A608">
        <v>395</v>
      </c>
      <c r="B608">
        <f t="shared" si="9"/>
        <v>96</v>
      </c>
      <c r="C608" t="str">
        <v>Mylae is annexed by Rhegion</v>
      </c>
    </row>
    <row r="609" spans="1:3" x14ac:dyDescent="0.25">
      <c r="A609">
        <v>395</v>
      </c>
      <c r="B609">
        <f t="shared" si="9"/>
        <v>96</v>
      </c>
      <c r="C609" t="str">
        <v>Argos, Korinthos and Boeotian League leave the Peloponnesian League</v>
      </c>
    </row>
    <row r="610" spans="1:3" x14ac:dyDescent="0.25">
      <c r="A610">
        <v>394</v>
      </c>
      <c r="B610">
        <f t="shared" si="9"/>
        <v>96</v>
      </c>
      <c r="C610" t="str">
        <v>Sparta withdraws from Anatolia</v>
      </c>
    </row>
    <row r="611" spans="1:3" x14ac:dyDescent="0.25">
      <c r="A611">
        <v>394</v>
      </c>
      <c r="B611">
        <f t="shared" si="9"/>
        <v>96</v>
      </c>
      <c r="C611" t="str">
        <v>All Thracian and Anatolian Greek cities leave the Peloponnesian League (Except Sestos and Abydos)</v>
      </c>
    </row>
    <row r="612" spans="1:3" x14ac:dyDescent="0.25">
      <c r="A612">
        <v>394</v>
      </c>
      <c r="B612">
        <f t="shared" si="9"/>
        <v>96</v>
      </c>
      <c r="C612" t="str">
        <v>Virtually all Greek Anatolian cities are annexed by Persia</v>
      </c>
    </row>
    <row r="613" spans="1:3" x14ac:dyDescent="0.25">
      <c r="A613">
        <v>394</v>
      </c>
      <c r="B613">
        <f t="shared" si="9"/>
        <v>96</v>
      </c>
      <c r="C613" t="str">
        <v>Klazomenaites relocate to an island off shore</v>
      </c>
    </row>
    <row r="614" spans="1:3" x14ac:dyDescent="0.25">
      <c r="A614">
        <v>394</v>
      </c>
      <c r="B614">
        <f t="shared" si="9"/>
        <v>96</v>
      </c>
      <c r="C614" t="str">
        <v>Mylae is annexed by Syracuse</v>
      </c>
    </row>
    <row r="615" spans="1:3" x14ac:dyDescent="0.25">
      <c r="A615">
        <v>393</v>
      </c>
      <c r="B615">
        <f t="shared" si="9"/>
        <v>96</v>
      </c>
      <c r="C615" t="str">
        <v>Lipari is annexed by Syracuse</v>
      </c>
    </row>
    <row r="616" spans="1:3" x14ac:dyDescent="0.25">
      <c r="A616">
        <v>393</v>
      </c>
      <c r="B616">
        <f t="shared" si="9"/>
        <v>96</v>
      </c>
      <c r="C616" t="str">
        <v>Italiote League is formed by Sybaris on the Traeis, Croton, Caulonia, Thurii, Rhegium and Velia</v>
      </c>
    </row>
    <row r="617" spans="1:3" x14ac:dyDescent="0.25">
      <c r="A617">
        <v>393</v>
      </c>
      <c r="B617">
        <f t="shared" si="9"/>
        <v>96</v>
      </c>
      <c r="C617" t="str">
        <v>Imbros, Lemnos and Skyros are annexed by Athens</v>
      </c>
    </row>
    <row r="618" spans="1:3" x14ac:dyDescent="0.25">
      <c r="A618">
        <v>393</v>
      </c>
      <c r="B618">
        <f t="shared" si="9"/>
        <v>96</v>
      </c>
      <c r="C618" t="str">
        <v>Makedonia starts paying tribute to the newly formed Kingdom of Dardania</v>
      </c>
    </row>
    <row r="619" spans="1:3" x14ac:dyDescent="0.25">
      <c r="A619">
        <v>393</v>
      </c>
      <c r="B619">
        <f t="shared" si="9"/>
        <v>96</v>
      </c>
      <c r="C619" t="str">
        <v>Chalcidian League annexes some Makedonian land</v>
      </c>
    </row>
    <row r="620" spans="1:3" x14ac:dyDescent="0.25">
      <c r="A620">
        <v>392</v>
      </c>
      <c r="B620">
        <f t="shared" si="9"/>
        <v>97</v>
      </c>
      <c r="C620" t="str">
        <v>Sparta occupies Lechaeum</v>
      </c>
    </row>
    <row r="621" spans="1:3" x14ac:dyDescent="0.25">
      <c r="A621">
        <v>392</v>
      </c>
      <c r="B621">
        <f t="shared" si="9"/>
        <v>97</v>
      </c>
      <c r="C621" t="str">
        <v>Heraclea Minoa, Akragas and Sicani territory are annexed by Carthage</v>
      </c>
    </row>
    <row r="622" spans="1:3" x14ac:dyDescent="0.25">
      <c r="A622">
        <v>392</v>
      </c>
      <c r="B622">
        <f t="shared" si="9"/>
        <v>97</v>
      </c>
      <c r="C622" t="str">
        <v>Sicel territory is annexed by Dionysius</v>
      </c>
    </row>
    <row r="623" spans="1:3" x14ac:dyDescent="0.25">
      <c r="A623">
        <v>392</v>
      </c>
      <c r="B623">
        <f t="shared" si="9"/>
        <v>97</v>
      </c>
      <c r="C623" t="str">
        <v>Makedonia stops paying tribute to Dardania</v>
      </c>
    </row>
    <row r="624" spans="1:3" x14ac:dyDescent="0.25">
      <c r="A624">
        <v>392</v>
      </c>
      <c r="B624">
        <f t="shared" si="9"/>
        <v>97</v>
      </c>
      <c r="C624" t="str">
        <v>Makedonia reannexes the land taken by the Chalcidian League</v>
      </c>
    </row>
    <row r="625" spans="1:3" x14ac:dyDescent="0.25">
      <c r="A625">
        <v>392</v>
      </c>
      <c r="B625">
        <f t="shared" si="9"/>
        <v>97</v>
      </c>
      <c r="C625" t="str">
        <v>Damastion is annexed by Dardania</v>
      </c>
    </row>
    <row r="626" spans="1:3" x14ac:dyDescent="0.25">
      <c r="A626">
        <v>391</v>
      </c>
      <c r="B626">
        <f t="shared" si="9"/>
        <v>97</v>
      </c>
      <c r="C626" t="str">
        <v>Korinth occupies Phlius</v>
      </c>
    </row>
    <row r="627" spans="1:3" x14ac:dyDescent="0.25">
      <c r="A627">
        <v>391</v>
      </c>
      <c r="B627">
        <f t="shared" si="9"/>
        <v>97</v>
      </c>
      <c r="C627" t="str">
        <v>Tauromenion is overthrown by mercenaries loyal to Dionysius</v>
      </c>
    </row>
    <row r="628" spans="1:3" x14ac:dyDescent="0.25">
      <c r="A628">
        <v>391</v>
      </c>
      <c r="B628">
        <f t="shared" si="9"/>
        <v>97</v>
      </c>
      <c r="C628" t="str">
        <v>Makedonia starts pays tribute to Dardania</v>
      </c>
    </row>
    <row r="629" spans="1:3" x14ac:dyDescent="0.25">
      <c r="A629">
        <v>390</v>
      </c>
      <c r="B629">
        <f t="shared" si="9"/>
        <v>97</v>
      </c>
      <c r="C629" t="str">
        <v>The Acarnanian League joins the Peloponnesian League</v>
      </c>
    </row>
    <row r="630" spans="1:3" x14ac:dyDescent="0.25">
      <c r="A630">
        <v>390</v>
      </c>
      <c r="B630">
        <f t="shared" si="9"/>
        <v>97</v>
      </c>
      <c r="C630" t="str">
        <v>Dercylidas is succeeded by Anaxibios</v>
      </c>
    </row>
    <row r="631" spans="1:3" x14ac:dyDescent="0.25">
      <c r="A631">
        <v>390</v>
      </c>
      <c r="B631">
        <f t="shared" si="9"/>
        <v>97</v>
      </c>
      <c r="C631" t="str">
        <v>Himera is merged into Thermae</v>
      </c>
    </row>
    <row r="632" spans="1:3" x14ac:dyDescent="0.25">
      <c r="A632">
        <v>390</v>
      </c>
      <c r="B632">
        <f t="shared" si="9"/>
        <v>97</v>
      </c>
      <c r="C632" t="str">
        <v>Dionysius transfers control of Mylae to Messene</v>
      </c>
    </row>
    <row r="633" spans="1:3" x14ac:dyDescent="0.25">
      <c r="A633">
        <v>390</v>
      </c>
      <c r="B633">
        <f t="shared" si="9"/>
        <v>97</v>
      </c>
      <c r="C633" t="str">
        <v>Kroton is annexed by Syracuse</v>
      </c>
    </row>
    <row r="634" spans="1:3" x14ac:dyDescent="0.25">
      <c r="A634">
        <v>390</v>
      </c>
      <c r="B634">
        <f t="shared" si="9"/>
        <v>97</v>
      </c>
      <c r="C634" t="str">
        <v>Argos and Korinth unite into Argos-Korinth</v>
      </c>
    </row>
    <row r="635" spans="1:3" x14ac:dyDescent="0.25">
      <c r="A635">
        <v>390</v>
      </c>
      <c r="B635">
        <f t="shared" si="9"/>
        <v>97</v>
      </c>
      <c r="C635" t="str">
        <v>Castrugiuvani is annexed by Syracuse</v>
      </c>
    </row>
    <row r="636" spans="1:3" x14ac:dyDescent="0.25">
      <c r="A636">
        <v>389</v>
      </c>
      <c r="B636">
        <f t="shared" si="9"/>
        <v>97</v>
      </c>
      <c r="C636" t="str">
        <v>Metapontion is annexed by Syracuse</v>
      </c>
    </row>
    <row r="637" spans="1:3" x14ac:dyDescent="0.25">
      <c r="A637">
        <v>389</v>
      </c>
      <c r="B637">
        <f t="shared" si="9"/>
        <v>97</v>
      </c>
      <c r="C637" t="str">
        <v>Anaxibios is overthrown by Abydos</v>
      </c>
    </row>
    <row r="638" spans="1:3" x14ac:dyDescent="0.25">
      <c r="A638">
        <v>387</v>
      </c>
      <c r="B638">
        <f t="shared" si="9"/>
        <v>98</v>
      </c>
      <c r="C638" t="str">
        <v>Rhegion is annexed by Syracuse and renamed it to Phoebea</v>
      </c>
    </row>
    <row r="639" spans="1:3" x14ac:dyDescent="0.25">
      <c r="A639">
        <v>387</v>
      </c>
      <c r="B639">
        <f t="shared" si="9"/>
        <v>98</v>
      </c>
      <c r="C639" t="str">
        <v>Peace of Antalcidas concluded between the Greeks and the Persians that leads to virtually all Greek cities in Asia Minor being annexed by Persia</v>
      </c>
    </row>
    <row r="640" spans="1:3" x14ac:dyDescent="0.25">
      <c r="A640">
        <v>387</v>
      </c>
      <c r="B640">
        <f t="shared" si="9"/>
        <v>98</v>
      </c>
      <c r="C640" t="str">
        <v>Ancona is founded by Greek settlers from Syracuse, who gave it its name: Ancona stems from the Greek word Ἀγκών (Ankòn), meaning "elbow"</v>
      </c>
    </row>
    <row r="641" spans="1:3" x14ac:dyDescent="0.25">
      <c r="A641">
        <v>387</v>
      </c>
      <c r="B641">
        <f t="shared" si="9"/>
        <v>98</v>
      </c>
      <c r="C641" t="str">
        <v>Argos and Korinth split</v>
      </c>
    </row>
    <row r="642" spans="1:3" x14ac:dyDescent="0.25">
      <c r="A642">
        <v>387</v>
      </c>
      <c r="B642">
        <f t="shared" si="9"/>
        <v>98</v>
      </c>
      <c r="C642" t="str">
        <v>All cities gain independence and all league except the Peloponnesian League are disbanded</v>
      </c>
    </row>
    <row r="643" spans="1:3" x14ac:dyDescent="0.25">
      <c r="A643">
        <v>386</v>
      </c>
      <c r="B643">
        <f t="shared" ref="B643:B706" si="10">ROUNDDOWN((-A643+780)/4,0)</f>
        <v>98</v>
      </c>
      <c r="C643" t="str">
        <v>Phlius becomes a democracy</v>
      </c>
    </row>
    <row r="644" spans="1:3" x14ac:dyDescent="0.25">
      <c r="A644">
        <v>385</v>
      </c>
      <c r="B644">
        <f t="shared" si="10"/>
        <v>98</v>
      </c>
      <c r="C644" t="str">
        <v>Dardania attacks Molossia</v>
      </c>
    </row>
    <row r="645" spans="1:3" x14ac:dyDescent="0.25">
      <c r="A645">
        <v>385</v>
      </c>
      <c r="B645">
        <f t="shared" si="10"/>
        <v>98</v>
      </c>
      <c r="C645" t="str">
        <v>The Greeks colonized the island of Pharos (Hvar, Croatia).[11]</v>
      </c>
    </row>
    <row r="646" spans="1:3" x14ac:dyDescent="0.25">
      <c r="A646">
        <v>384</v>
      </c>
      <c r="B646">
        <f t="shared" si="10"/>
        <v>99</v>
      </c>
      <c r="C646" t="str">
        <v>Dionysius occupies Pyrgi and Caere</v>
      </c>
    </row>
    <row r="647" spans="1:3" x14ac:dyDescent="0.25">
      <c r="A647">
        <v>384</v>
      </c>
      <c r="B647">
        <f t="shared" si="10"/>
        <v>99</v>
      </c>
      <c r="C647" t="str">
        <v>Chalcidian League annexes Makedonia land including Pella</v>
      </c>
    </row>
    <row r="648" spans="1:3" x14ac:dyDescent="0.25">
      <c r="A648">
        <v>383</v>
      </c>
      <c r="B648">
        <f t="shared" si="10"/>
        <v>99</v>
      </c>
      <c r="C648" t="str">
        <v>Gela gains independence from Syracuse</v>
      </c>
    </row>
    <row r="649" spans="1:3" x14ac:dyDescent="0.25">
      <c r="A649">
        <v>383</v>
      </c>
      <c r="B649">
        <f t="shared" si="10"/>
        <v>99</v>
      </c>
      <c r="C649" t="str">
        <v>Dionysius leaves Eturia</v>
      </c>
    </row>
    <row r="650" spans="1:3" x14ac:dyDescent="0.25">
      <c r="A650">
        <v>383</v>
      </c>
      <c r="B650">
        <f t="shared" si="10"/>
        <v>99</v>
      </c>
      <c r="C650" t="str">
        <v>Liburnia besieges Pharos</v>
      </c>
    </row>
    <row r="651" spans="1:3" x14ac:dyDescent="0.25">
      <c r="A651">
        <v>383</v>
      </c>
      <c r="B651">
        <f t="shared" si="10"/>
        <v>99</v>
      </c>
      <c r="C651" t="str">
        <v>Potidaea leaves the Chalcidian League</v>
      </c>
    </row>
    <row r="652" spans="1:3" x14ac:dyDescent="0.25">
      <c r="A652">
        <v>382</v>
      </c>
      <c r="B652">
        <f t="shared" si="10"/>
        <v>99</v>
      </c>
      <c r="C652" t="str">
        <v>Thebes is overthrown by Leontiades and Archias</v>
      </c>
    </row>
    <row r="653" spans="1:3" x14ac:dyDescent="0.25">
      <c r="A653">
        <v>382</v>
      </c>
      <c r="B653">
        <f t="shared" si="10"/>
        <v>99</v>
      </c>
      <c r="C653" t="str">
        <v>Thebes is impressed into the Peloponnesian League</v>
      </c>
    </row>
    <row r="654" spans="1:3" x14ac:dyDescent="0.25">
      <c r="A654">
        <v>380</v>
      </c>
      <c r="B654">
        <f t="shared" si="10"/>
        <v>100</v>
      </c>
      <c r="C654" t="str">
        <v>Sparta besieges Phlius</v>
      </c>
    </row>
    <row r="655" spans="1:3" x14ac:dyDescent="0.25">
      <c r="A655">
        <v>380</v>
      </c>
      <c r="B655">
        <f t="shared" si="10"/>
        <v>100</v>
      </c>
      <c r="C655" t="str">
        <v>Makedonia recaptures their former territory</v>
      </c>
    </row>
    <row r="656" spans="1:3" x14ac:dyDescent="0.25">
      <c r="A656">
        <v>379</v>
      </c>
      <c r="B656">
        <f t="shared" si="10"/>
        <v>100</v>
      </c>
      <c r="C656" t="str">
        <v>Kroton is annexed by Dionysius</v>
      </c>
    </row>
    <row r="657" spans="1:3" x14ac:dyDescent="0.25">
      <c r="A657">
        <v>379</v>
      </c>
      <c r="B657">
        <f t="shared" si="10"/>
        <v>100</v>
      </c>
      <c r="C657" t="str">
        <v>Phlius is impressed into the Peloponnesian League</v>
      </c>
    </row>
    <row r="658" spans="1:3" x14ac:dyDescent="0.25">
      <c r="A658">
        <v>379</v>
      </c>
      <c r="B658">
        <f t="shared" si="10"/>
        <v>100</v>
      </c>
      <c r="C658" t="str">
        <v>The Chalcidian League is disbanded and its former members are impressed into the Peloponnesian League and Potidaea and Korinth also join the league</v>
      </c>
    </row>
    <row r="659" spans="1:3" x14ac:dyDescent="0.25">
      <c r="A659">
        <v>379</v>
      </c>
      <c r="B659">
        <f t="shared" si="10"/>
        <v>100</v>
      </c>
      <c r="C659" t="str">
        <v>Leontiades and Archias are overthrown and Thebes leaves the Peloponnesian League</v>
      </c>
    </row>
    <row r="660" spans="1:3" x14ac:dyDescent="0.25">
      <c r="A660">
        <v>379</v>
      </c>
      <c r="B660">
        <f t="shared" si="10"/>
        <v>100</v>
      </c>
      <c r="C660" t="str">
        <v>Sparta occupies Thespiae</v>
      </c>
    </row>
    <row r="661" spans="1:3" x14ac:dyDescent="0.25">
      <c r="A661">
        <v>378</v>
      </c>
      <c r="B661">
        <f t="shared" si="10"/>
        <v>100</v>
      </c>
      <c r="C661" t="str">
        <v>Themison overthrows Eretria</v>
      </c>
    </row>
    <row r="662" spans="1:3" x14ac:dyDescent="0.25">
      <c r="A662">
        <v>377</v>
      </c>
      <c r="B662">
        <f t="shared" si="10"/>
        <v>100</v>
      </c>
      <c r="C662" t="str">
        <v>The Boeotian League is refounded by Thebes</v>
      </c>
    </row>
    <row r="663" spans="1:3" x14ac:dyDescent="0.25">
      <c r="A663">
        <v>376</v>
      </c>
      <c r="B663">
        <f t="shared" si="10"/>
        <v>101</v>
      </c>
      <c r="C663" t="str">
        <v>Abdera is sacked by the Triballi and Maroneia</v>
      </c>
    </row>
    <row r="664" spans="1:3" x14ac:dyDescent="0.25">
      <c r="A664">
        <v>376</v>
      </c>
      <c r="B664">
        <f t="shared" si="10"/>
        <v>101</v>
      </c>
      <c r="C664" t="str">
        <v>Thespiae and the rest of Boeotia are liberated and join the Boeotian League</v>
      </c>
    </row>
    <row r="665" spans="1:3" x14ac:dyDescent="0.25">
      <c r="A665">
        <v>375</v>
      </c>
      <c r="B665">
        <f t="shared" si="10"/>
        <v>101</v>
      </c>
      <c r="C665" t="str">
        <v>The Acarnanian League defects from the Peloponnesian League and joins the Delian League</v>
      </c>
    </row>
    <row r="666" spans="1:3" x14ac:dyDescent="0.25">
      <c r="A666">
        <v>375</v>
      </c>
      <c r="B666">
        <f t="shared" si="10"/>
        <v>101</v>
      </c>
      <c r="C666" t="str">
        <v>Chalcidian League is reestablished by Olynthus and joins the Delian League</v>
      </c>
    </row>
    <row r="667" spans="1:3" x14ac:dyDescent="0.25">
      <c r="A667">
        <v>373</v>
      </c>
      <c r="B667">
        <f t="shared" si="10"/>
        <v>101</v>
      </c>
      <c r="C667" t="str">
        <v>Kerkyra is besieged by Sparta</v>
      </c>
    </row>
    <row r="668" spans="1:3" x14ac:dyDescent="0.25">
      <c r="A668">
        <v>371</v>
      </c>
      <c r="B668">
        <f t="shared" si="10"/>
        <v>102</v>
      </c>
      <c r="C668" t="str">
        <v>Sparta leaves Kerkyra</v>
      </c>
    </row>
    <row r="669" spans="1:3" x14ac:dyDescent="0.25">
      <c r="A669">
        <v>370</v>
      </c>
      <c r="B669">
        <f t="shared" si="10"/>
        <v>102</v>
      </c>
      <c r="C669" t="str">
        <v>Gythium is occupied by Thebes</v>
      </c>
    </row>
    <row r="670" spans="1:3" x14ac:dyDescent="0.25">
      <c r="A670">
        <v>370</v>
      </c>
      <c r="B670">
        <f t="shared" si="10"/>
        <v>102</v>
      </c>
      <c r="C670" t="str">
        <v>Heraclea Sintica is founded by Makedonia</v>
      </c>
    </row>
    <row r="671" spans="1:3" x14ac:dyDescent="0.25">
      <c r="A671">
        <v>369</v>
      </c>
      <c r="B671">
        <f t="shared" si="10"/>
        <v>102</v>
      </c>
      <c r="C671" t="str">
        <v>Korinth is overthrown by Timophanes</v>
      </c>
    </row>
    <row r="672" spans="1:3" x14ac:dyDescent="0.25">
      <c r="A672">
        <v>368</v>
      </c>
      <c r="B672">
        <f t="shared" si="10"/>
        <v>103</v>
      </c>
      <c r="C672" t="str">
        <v>Aetolian League is founded</v>
      </c>
    </row>
    <row r="673" spans="1:3" x14ac:dyDescent="0.25">
      <c r="A673">
        <v>367</v>
      </c>
      <c r="B673">
        <f t="shared" si="10"/>
        <v>103</v>
      </c>
      <c r="C673" t="str">
        <v>Daparria is annexed by Dardania</v>
      </c>
    </row>
    <row r="674" spans="1:3" x14ac:dyDescent="0.25">
      <c r="A674">
        <v>367</v>
      </c>
      <c r="B674">
        <f t="shared" si="10"/>
        <v>103</v>
      </c>
      <c r="C674" t="str">
        <v>Kroton is annexed by Bruttian League</v>
      </c>
    </row>
    <row r="675" spans="1:3" x14ac:dyDescent="0.25">
      <c r="A675">
        <v>366</v>
      </c>
      <c r="B675">
        <f t="shared" si="10"/>
        <v>103</v>
      </c>
      <c r="C675" t="str">
        <v>Opus declares independence from Athens with the help of Themison</v>
      </c>
    </row>
    <row r="676" spans="1:3" x14ac:dyDescent="0.25">
      <c r="A676">
        <v>365</v>
      </c>
      <c r="B676">
        <f t="shared" si="10"/>
        <v>103</v>
      </c>
      <c r="C676" t="str">
        <v>Opus requests Thebes to protect them from Athens and sends a garrison. Opus is impressed into the Boeotian League</v>
      </c>
    </row>
    <row r="677" spans="1:3" x14ac:dyDescent="0.25">
      <c r="A677">
        <v>364</v>
      </c>
      <c r="B677">
        <f t="shared" si="10"/>
        <v>104</v>
      </c>
      <c r="C677" t="str">
        <v>Timophanes is assassinated</v>
      </c>
    </row>
    <row r="678" spans="1:3" x14ac:dyDescent="0.25">
      <c r="A678">
        <v>364</v>
      </c>
      <c r="B678">
        <f t="shared" si="10"/>
        <v>104</v>
      </c>
      <c r="C678" t="str">
        <v>Orchmenus leaves the Boeotian League and is subsequently sieged by Thebes</v>
      </c>
    </row>
    <row r="679" spans="1:3" x14ac:dyDescent="0.25">
      <c r="A679">
        <v>363</v>
      </c>
      <c r="B679">
        <f t="shared" si="10"/>
        <v>104</v>
      </c>
      <c r="C679" t="str">
        <v>Orchmenus is impressed into the Boeotian League</v>
      </c>
    </row>
    <row r="680" spans="1:3" x14ac:dyDescent="0.25">
      <c r="A680">
        <v>363</v>
      </c>
      <c r="B680">
        <f t="shared" si="10"/>
        <v>104</v>
      </c>
      <c r="C680" t="str">
        <v>Pydna is impressed into the Delian League</v>
      </c>
    </row>
    <row r="681" spans="1:3" x14ac:dyDescent="0.25">
      <c r="A681">
        <v>362</v>
      </c>
      <c r="B681">
        <f t="shared" si="10"/>
        <v>104</v>
      </c>
      <c r="C681" t="str">
        <v>Themison dies and is succeeded by Plutarch</v>
      </c>
    </row>
    <row r="682" spans="1:3" x14ac:dyDescent="0.25">
      <c r="A682">
        <v>361</v>
      </c>
      <c r="B682">
        <f t="shared" si="10"/>
        <v>104</v>
      </c>
      <c r="C682" t="str">
        <v>Potidaea and Torone are impressed into the Delian League and become Athenian Cluerchies</v>
      </c>
    </row>
    <row r="683" spans="1:3" x14ac:dyDescent="0.25">
      <c r="A683">
        <v>360</v>
      </c>
      <c r="B683">
        <f t="shared" si="10"/>
        <v>105</v>
      </c>
      <c r="C683" t="str">
        <v>Tauromenion overthrows the mercenaries and falls under the tyranny of Andromache</v>
      </c>
    </row>
    <row r="684" spans="1:3" x14ac:dyDescent="0.25">
      <c r="A684">
        <v>360</v>
      </c>
      <c r="B684">
        <f t="shared" si="10"/>
        <v>105</v>
      </c>
      <c r="C684" t="str">
        <v>Illios is overthrown by Charidemos</v>
      </c>
    </row>
    <row r="685" spans="1:3" x14ac:dyDescent="0.25">
      <c r="A685">
        <v>360</v>
      </c>
      <c r="B685">
        <f t="shared" si="10"/>
        <v>105</v>
      </c>
      <c r="C685" t="str">
        <v>Abydos is overthrown by Iphiades</v>
      </c>
    </row>
    <row r="686" spans="1:3" x14ac:dyDescent="0.25">
      <c r="A686">
        <v>359</v>
      </c>
      <c r="B686">
        <f t="shared" si="10"/>
        <v>105</v>
      </c>
      <c r="C686" t="str">
        <v>Charidemos is overthrown by Illios</v>
      </c>
    </row>
    <row r="687" spans="1:3" x14ac:dyDescent="0.25">
      <c r="A687">
        <v>359</v>
      </c>
      <c r="B687">
        <f t="shared" si="10"/>
        <v>105</v>
      </c>
      <c r="C687" t="str">
        <v>Dardania annexes Lake Ohrid and Upper Macedonia</v>
      </c>
    </row>
    <row r="688" spans="1:3" x14ac:dyDescent="0.25">
      <c r="A688">
        <v>359</v>
      </c>
      <c r="B688">
        <f t="shared" si="10"/>
        <v>105</v>
      </c>
      <c r="C688" t="str">
        <v>Archelaus annexes Methone, Aegae and Pydna</v>
      </c>
    </row>
    <row r="689" spans="1:3" x14ac:dyDescent="0.25">
      <c r="A689">
        <v>358</v>
      </c>
      <c r="B689">
        <f t="shared" si="10"/>
        <v>105</v>
      </c>
      <c r="C689" t="str">
        <v>Archelaus is annexed by Makedonia</v>
      </c>
    </row>
    <row r="690" spans="1:3" x14ac:dyDescent="0.25">
      <c r="A690">
        <v>358</v>
      </c>
      <c r="B690">
        <f t="shared" si="10"/>
        <v>105</v>
      </c>
      <c r="C690" t="str">
        <v>Macedonia reannexes Lake Ohrid, Lynkestis and Upper Macedonia from Dardania</v>
      </c>
    </row>
    <row r="691" spans="1:3" x14ac:dyDescent="0.25">
      <c r="A691">
        <v>358</v>
      </c>
      <c r="B691">
        <f t="shared" si="10"/>
        <v>105</v>
      </c>
      <c r="C691" t="str">
        <v>Makedonia annexes Paeonia</v>
      </c>
    </row>
    <row r="692" spans="1:3" x14ac:dyDescent="0.25">
      <c r="A692">
        <v>357</v>
      </c>
      <c r="B692">
        <f t="shared" si="10"/>
        <v>105</v>
      </c>
      <c r="C692" t="str">
        <v>Social War Starts</v>
      </c>
    </row>
    <row r="693" spans="1:3" x14ac:dyDescent="0.25">
      <c r="A693">
        <v>357</v>
      </c>
      <c r="B693">
        <f t="shared" si="10"/>
        <v>105</v>
      </c>
      <c r="C693" t="str">
        <v>Kos, Khios, Rodos and Byzantium leave the Delian League</v>
      </c>
    </row>
    <row r="694" spans="1:3" x14ac:dyDescent="0.25">
      <c r="A694">
        <v>357</v>
      </c>
      <c r="B694">
        <f t="shared" si="10"/>
        <v>105</v>
      </c>
      <c r="C694" t="str">
        <v>Makedonia annexes Pydna and Amphipolis</v>
      </c>
    </row>
    <row r="695" spans="1:3" x14ac:dyDescent="0.25">
      <c r="A695">
        <v>357</v>
      </c>
      <c r="B695">
        <f t="shared" si="10"/>
        <v>105</v>
      </c>
      <c r="C695" t="str">
        <v>Dionysius II is overthrown by Dion</v>
      </c>
    </row>
    <row r="696" spans="1:3" x14ac:dyDescent="0.25">
      <c r="A696">
        <v>356</v>
      </c>
      <c r="B696">
        <f t="shared" si="10"/>
        <v>106</v>
      </c>
      <c r="C696" t="str">
        <v>Phocis annexes Delphi</v>
      </c>
    </row>
    <row r="697" spans="1:3" x14ac:dyDescent="0.25">
      <c r="A697">
        <v>356</v>
      </c>
      <c r="B697">
        <f t="shared" si="10"/>
        <v>106</v>
      </c>
      <c r="C697" t="str">
        <v>Locris is annexed by Dionysius II</v>
      </c>
    </row>
    <row r="698" spans="1:3" x14ac:dyDescent="0.25">
      <c r="A698">
        <v>356</v>
      </c>
      <c r="B698">
        <f t="shared" si="10"/>
        <v>106</v>
      </c>
      <c r="C698" t="str">
        <v>Lemnos, Samos and Imbros is occupied by Chios and leave the Delian League</v>
      </c>
    </row>
    <row r="699" spans="1:3" x14ac:dyDescent="0.25">
      <c r="A699">
        <v>356</v>
      </c>
      <c r="B699">
        <f t="shared" si="10"/>
        <v>106</v>
      </c>
      <c r="C699" t="str">
        <v>Makedonia annexes Crenides, renames it Philippi and settles it with Makedonians</v>
      </c>
    </row>
    <row r="700" spans="1:3" x14ac:dyDescent="0.25">
      <c r="A700">
        <v>356</v>
      </c>
      <c r="B700">
        <f t="shared" si="10"/>
        <v>106</v>
      </c>
      <c r="C700" t="str">
        <v>Makedonian border set on Nestus river</v>
      </c>
    </row>
    <row r="701" spans="1:3" x14ac:dyDescent="0.25">
      <c r="A701">
        <v>356</v>
      </c>
      <c r="B701">
        <f t="shared" si="10"/>
        <v>106</v>
      </c>
      <c r="C701" t="str">
        <v>Potidaea and Anthemus are annexed by Chalcidian League</v>
      </c>
    </row>
    <row r="702" spans="1:3" x14ac:dyDescent="0.25">
      <c r="A702">
        <v>356</v>
      </c>
      <c r="B702">
        <f t="shared" si="10"/>
        <v>106</v>
      </c>
      <c r="C702" t="str">
        <v>Makedonia besieges Methone</v>
      </c>
    </row>
    <row r="703" spans="1:3" x14ac:dyDescent="0.25">
      <c r="A703">
        <v>356</v>
      </c>
      <c r="B703">
        <f t="shared" si="10"/>
        <v>106</v>
      </c>
      <c r="C703" t="str">
        <v>Lokros is overthrown by Dionysius II</v>
      </c>
    </row>
    <row r="704" spans="1:3" x14ac:dyDescent="0.25">
      <c r="A704">
        <v>355</v>
      </c>
      <c r="B704">
        <f t="shared" si="10"/>
        <v>106</v>
      </c>
      <c r="C704" t="str">
        <v>Social War Ends</v>
      </c>
    </row>
    <row r="705" spans="1:3" x14ac:dyDescent="0.25">
      <c r="A705">
        <v>355</v>
      </c>
      <c r="B705">
        <f t="shared" si="10"/>
        <v>106</v>
      </c>
      <c r="C705" t="str">
        <v>Argolas is besieged by Phocis</v>
      </c>
    </row>
    <row r="706" spans="1:3" x14ac:dyDescent="0.25">
      <c r="A706">
        <v>355</v>
      </c>
      <c r="B706">
        <f t="shared" si="10"/>
        <v>106</v>
      </c>
      <c r="C706" t="str">
        <v>Dion is overthrown by Callipus</v>
      </c>
    </row>
    <row r="707" spans="1:3" x14ac:dyDescent="0.25">
      <c r="A707">
        <v>354</v>
      </c>
      <c r="B707">
        <f t="shared" ref="B707:B770" si="11">ROUNDDOWN((-A707+780)/4,0)</f>
        <v>106</v>
      </c>
      <c r="C707" t="str">
        <v>Methone and Abdera are annexed by Makedonia</v>
      </c>
    </row>
    <row r="708" spans="1:3" x14ac:dyDescent="0.25">
      <c r="A708">
        <v>354</v>
      </c>
      <c r="B708">
        <f t="shared" si="11"/>
        <v>106</v>
      </c>
      <c r="C708" t="str">
        <v>Phocis abandons the Siege of Argolas</v>
      </c>
    </row>
    <row r="709" spans="1:3" x14ac:dyDescent="0.25">
      <c r="A709">
        <v>354</v>
      </c>
      <c r="B709">
        <f t="shared" si="11"/>
        <v>106</v>
      </c>
      <c r="C709" t="str">
        <v>Thessaly is vassalized by Phocis</v>
      </c>
    </row>
    <row r="710" spans="1:3" x14ac:dyDescent="0.25">
      <c r="A710">
        <v>353</v>
      </c>
      <c r="B710">
        <f t="shared" si="11"/>
        <v>106</v>
      </c>
      <c r="C710" t="str">
        <v>Catania is annexed by Callipus</v>
      </c>
    </row>
    <row r="711" spans="1:3" x14ac:dyDescent="0.25">
      <c r="A711">
        <v>353</v>
      </c>
      <c r="B711">
        <f t="shared" si="11"/>
        <v>106</v>
      </c>
      <c r="C711" t="str">
        <v>Makedonia occupied Pagasae</v>
      </c>
    </row>
    <row r="712" spans="1:3" x14ac:dyDescent="0.25">
      <c r="A712">
        <v>353</v>
      </c>
      <c r="B712">
        <f t="shared" si="11"/>
        <v>106</v>
      </c>
      <c r="C712" t="str">
        <v>Thessaly is vassalized by Makedonia</v>
      </c>
    </row>
    <row r="713" spans="1:3" x14ac:dyDescent="0.25">
      <c r="A713">
        <v>352</v>
      </c>
      <c r="B713">
        <f t="shared" si="11"/>
        <v>107</v>
      </c>
      <c r="C713" t="str">
        <v>Callipus is overthrown by Hipparinos (Callipus keeps Catania)</v>
      </c>
    </row>
    <row r="714" spans="1:3" x14ac:dyDescent="0.25">
      <c r="A714">
        <v>352</v>
      </c>
      <c r="B714">
        <f t="shared" si="11"/>
        <v>107</v>
      </c>
      <c r="C714" t="str">
        <v>Nicodemus overthrows Centuripe</v>
      </c>
    </row>
    <row r="715" spans="1:3" x14ac:dyDescent="0.25">
      <c r="A715">
        <v>352</v>
      </c>
      <c r="B715">
        <f t="shared" si="11"/>
        <v>107</v>
      </c>
      <c r="C715" t="str">
        <v>Orchmenus and Chaeronea are occupied by Phocis</v>
      </c>
    </row>
    <row r="716" spans="1:3" x14ac:dyDescent="0.25">
      <c r="A716">
        <v>351</v>
      </c>
      <c r="B716">
        <f t="shared" si="11"/>
        <v>107</v>
      </c>
      <c r="C716" t="str">
        <v>Rhegion is annexed by Callipus</v>
      </c>
    </row>
    <row r="717" spans="1:3" x14ac:dyDescent="0.25">
      <c r="A717">
        <v>350</v>
      </c>
      <c r="B717">
        <f t="shared" si="11"/>
        <v>107</v>
      </c>
      <c r="C717" t="str">
        <v>Akanthos is annexed by Makedonia</v>
      </c>
    </row>
    <row r="718" spans="1:3" x14ac:dyDescent="0.25">
      <c r="A718">
        <v>350</v>
      </c>
      <c r="B718">
        <f t="shared" si="11"/>
        <v>107</v>
      </c>
      <c r="C718" t="str">
        <v>Nice (Nicaea) is founded by the Greeks of Massalia (Marseille), and was given the name of Nikaia (Νίκαια) in honour of a victory over the neighbouring Ligurians; Nike (Νίκη) was the Greek goddess of victory.</v>
      </c>
    </row>
    <row r="719" spans="1:3" x14ac:dyDescent="0.25">
      <c r="A719">
        <v>350</v>
      </c>
      <c r="B719">
        <f t="shared" si="11"/>
        <v>107</v>
      </c>
      <c r="C719" t="str">
        <v>Hipparinos is overthrown by Aretaeus</v>
      </c>
    </row>
    <row r="720" spans="1:3" x14ac:dyDescent="0.25">
      <c r="A720">
        <v>350</v>
      </c>
      <c r="B720">
        <f t="shared" si="11"/>
        <v>107</v>
      </c>
      <c r="C720" t="str">
        <v>Mamercus ousts Callippus from Catania</v>
      </c>
    </row>
    <row r="721" spans="1:3" x14ac:dyDescent="0.25">
      <c r="A721">
        <v>349</v>
      </c>
      <c r="B721">
        <f t="shared" si="11"/>
        <v>107</v>
      </c>
      <c r="C721" t="str">
        <v>Plutarch is expelled from Eretria</v>
      </c>
    </row>
    <row r="722" spans="1:3" x14ac:dyDescent="0.25">
      <c r="A722">
        <v>349</v>
      </c>
      <c r="B722">
        <f t="shared" si="11"/>
        <v>107</v>
      </c>
      <c r="C722" t="str">
        <v>Aretaeus is overthrown by Nysaios</v>
      </c>
    </row>
    <row r="723" spans="1:3" x14ac:dyDescent="0.25">
      <c r="A723">
        <v>348</v>
      </c>
      <c r="B723">
        <f t="shared" si="11"/>
        <v>108</v>
      </c>
      <c r="C723" t="str">
        <v>Stagira is annexed by Makedonia</v>
      </c>
    </row>
    <row r="724" spans="1:3" x14ac:dyDescent="0.25">
      <c r="A724">
        <v>348</v>
      </c>
      <c r="B724">
        <f t="shared" si="11"/>
        <v>108</v>
      </c>
      <c r="C724" t="str">
        <v>Callipus is overthrown by Leptines</v>
      </c>
    </row>
    <row r="725" spans="1:3" x14ac:dyDescent="0.25">
      <c r="A725">
        <v>347</v>
      </c>
      <c r="B725">
        <f t="shared" si="11"/>
        <v>108</v>
      </c>
      <c r="C725" t="str">
        <v>Leontini is overthrown by Hicetas</v>
      </c>
    </row>
    <row r="726" spans="1:3" x14ac:dyDescent="0.25">
      <c r="A726">
        <v>347</v>
      </c>
      <c r="B726">
        <f t="shared" si="11"/>
        <v>108</v>
      </c>
      <c r="C726" t="str">
        <v>Plato, Greek philosopher, founder of Academy, dies.</v>
      </c>
    </row>
    <row r="727" spans="1:3" x14ac:dyDescent="0.25">
      <c r="A727">
        <v>347</v>
      </c>
      <c r="B727">
        <f t="shared" si="11"/>
        <v>108</v>
      </c>
      <c r="C727" t="str">
        <v>Methymna is overthrown by Kleommis</v>
      </c>
    </row>
    <row r="728" spans="1:3" x14ac:dyDescent="0.25">
      <c r="A728">
        <v>346</v>
      </c>
      <c r="B728">
        <f t="shared" si="11"/>
        <v>108</v>
      </c>
      <c r="C728" t="str">
        <v>Phocis withdraws from Boeotia</v>
      </c>
    </row>
    <row r="729" spans="1:3" x14ac:dyDescent="0.25">
      <c r="A729">
        <v>346</v>
      </c>
      <c r="B729">
        <f t="shared" si="11"/>
        <v>108</v>
      </c>
      <c r="C729" t="str">
        <v>Dionysius II leaves Locris and overthrows Nysaios</v>
      </c>
    </row>
    <row r="730" spans="1:3" x14ac:dyDescent="0.25">
      <c r="A730">
        <v>346</v>
      </c>
      <c r="B730">
        <f t="shared" si="11"/>
        <v>108</v>
      </c>
      <c r="C730" t="str">
        <v>Lyttos is besieged by Knossos</v>
      </c>
    </row>
    <row r="731" spans="1:3" x14ac:dyDescent="0.25">
      <c r="A731">
        <v>346</v>
      </c>
      <c r="B731">
        <f t="shared" si="11"/>
        <v>108</v>
      </c>
      <c r="C731" t="str">
        <v>Makedonia occupies Thermopylae and Antikyra, Nicaea is occupied by Thessaly</v>
      </c>
    </row>
    <row r="732" spans="1:3" x14ac:dyDescent="0.25">
      <c r="A732">
        <v>345</v>
      </c>
      <c r="B732">
        <f t="shared" si="11"/>
        <v>108</v>
      </c>
      <c r="C732" t="str">
        <v>Makedonia withdraws from Thermopylae and Antikyra</v>
      </c>
    </row>
    <row r="733" spans="1:3" x14ac:dyDescent="0.25">
      <c r="A733">
        <v>345</v>
      </c>
      <c r="B733">
        <f t="shared" si="11"/>
        <v>108</v>
      </c>
      <c r="C733" t="str">
        <v>Grabaei becomes a vassal of Macedonia</v>
      </c>
    </row>
    <row r="734" spans="1:3" x14ac:dyDescent="0.25">
      <c r="A734">
        <v>345</v>
      </c>
      <c r="B734">
        <f t="shared" si="11"/>
        <v>108</v>
      </c>
      <c r="C734" t="str">
        <v>Hicetas sieges Syracuse and seizes Syracuse's territory</v>
      </c>
    </row>
    <row r="735" spans="1:3" x14ac:dyDescent="0.25">
      <c r="A735">
        <v>345</v>
      </c>
      <c r="B735">
        <f t="shared" si="11"/>
        <v>108</v>
      </c>
      <c r="C735" t="str">
        <v>The Pro-Makedonian Tyrant Hipparchus overthrows Eretria</v>
      </c>
    </row>
    <row r="736" spans="1:3" x14ac:dyDescent="0.25">
      <c r="A736">
        <v>345</v>
      </c>
      <c r="B736">
        <f t="shared" si="11"/>
        <v>108</v>
      </c>
      <c r="C736" t="str">
        <v>Mainland Syracuse (City) is occupied by Hicetas leaving only the citadel in Dionysius' control</v>
      </c>
    </row>
    <row r="737" spans="1:3" x14ac:dyDescent="0.25">
      <c r="A737">
        <v>344</v>
      </c>
      <c r="B737">
        <f t="shared" si="11"/>
        <v>109</v>
      </c>
      <c r="C737" t="str">
        <v>Macedonia occupies Illios and annexes Tenedos</v>
      </c>
    </row>
    <row r="738" spans="1:3" x14ac:dyDescent="0.25">
      <c r="A738">
        <v>344</v>
      </c>
      <c r="B738">
        <f t="shared" si="11"/>
        <v>109</v>
      </c>
      <c r="C738" t="str">
        <v>Siege of Lyttos lifted by Knossos</v>
      </c>
    </row>
    <row r="739" spans="1:3" x14ac:dyDescent="0.25">
      <c r="A739">
        <v>344</v>
      </c>
      <c r="B739">
        <f t="shared" si="11"/>
        <v>109</v>
      </c>
      <c r="C739" t="str">
        <v>Knossos besieges Kydonia</v>
      </c>
    </row>
    <row r="740" spans="1:3" x14ac:dyDescent="0.25">
      <c r="A740">
        <v>344</v>
      </c>
      <c r="B740">
        <f t="shared" si="11"/>
        <v>109</v>
      </c>
      <c r="C740" t="str">
        <v>Hicetas is repulsed by Timoleon from Syracuse</v>
      </c>
    </row>
    <row r="741" spans="1:3" x14ac:dyDescent="0.25">
      <c r="A741">
        <v>344</v>
      </c>
      <c r="B741">
        <f t="shared" si="11"/>
        <v>109</v>
      </c>
      <c r="C741" t="str">
        <v>Timoleon takes control of all Syracusan forces outside the citadel</v>
      </c>
    </row>
    <row r="742" spans="1:3" x14ac:dyDescent="0.25">
      <c r="A742">
        <v>343</v>
      </c>
      <c r="B742">
        <f t="shared" si="11"/>
        <v>109</v>
      </c>
      <c r="C742" t="str">
        <v>Messene is rebuilt by Timoelon, Adranon is freed from mercenary control, Nicodemus is overthrown by Centuripe with help of Timoleon</v>
      </c>
    </row>
    <row r="743" spans="1:3" x14ac:dyDescent="0.25">
      <c r="A743">
        <v>343</v>
      </c>
      <c r="B743">
        <f t="shared" si="11"/>
        <v>109</v>
      </c>
      <c r="C743" t="str">
        <v>Timoleon annexes the citadel</v>
      </c>
    </row>
    <row r="744" spans="1:3" x14ac:dyDescent="0.25">
      <c r="A744">
        <v>343</v>
      </c>
      <c r="B744">
        <f t="shared" si="11"/>
        <v>109</v>
      </c>
      <c r="C744" t="str">
        <v>Siege of Kydonia is lifted by Knossos</v>
      </c>
    </row>
    <row r="745" spans="1:3" x14ac:dyDescent="0.25">
      <c r="A745">
        <v>342</v>
      </c>
      <c r="B745">
        <f t="shared" si="11"/>
        <v>109</v>
      </c>
      <c r="C745" t="str">
        <v>Rhegion is freed by Timoleon</v>
      </c>
    </row>
    <row r="746" spans="1:3" x14ac:dyDescent="0.25">
      <c r="A746">
        <v>342</v>
      </c>
      <c r="B746">
        <f t="shared" si="11"/>
        <v>109</v>
      </c>
      <c r="C746" t="str">
        <v>Aristotle, Greek philosopher, begins teaching Alexander, son of Philip of Macedon.</v>
      </c>
    </row>
    <row r="747" spans="1:3" x14ac:dyDescent="0.25">
      <c r="A747">
        <v>341</v>
      </c>
      <c r="B747">
        <f t="shared" si="11"/>
        <v>109</v>
      </c>
      <c r="C747" t="str">
        <v>Hipparchus is overthrown by Athenian forces and impressed into the Delian league</v>
      </c>
    </row>
    <row r="748" spans="1:3" x14ac:dyDescent="0.25">
      <c r="A748">
        <v>341</v>
      </c>
      <c r="B748">
        <f t="shared" si="11"/>
        <v>109</v>
      </c>
      <c r="C748" t="str">
        <v>Samothrace is annexed by Makedonia</v>
      </c>
    </row>
    <row r="749" spans="1:3" x14ac:dyDescent="0.25">
      <c r="A749">
        <v>340</v>
      </c>
      <c r="B749">
        <f t="shared" si="11"/>
        <v>110</v>
      </c>
      <c r="C749" t="str">
        <v>Antipolis (modern day Antibes) is founded by Phocaean Greeks from Massilia.[12]</v>
      </c>
    </row>
    <row r="750" spans="1:3" x14ac:dyDescent="0.25">
      <c r="A750">
        <v>340</v>
      </c>
      <c r="B750">
        <f t="shared" si="11"/>
        <v>110</v>
      </c>
      <c r="C750" t="str">
        <v>Skyros is annexed by Makedonia</v>
      </c>
    </row>
    <row r="751" spans="1:3" x14ac:dyDescent="0.25">
      <c r="A751">
        <v>340</v>
      </c>
      <c r="B751">
        <f t="shared" si="11"/>
        <v>110</v>
      </c>
      <c r="C751" t="str">
        <v>Entella is freed by Timoleon</v>
      </c>
    </row>
    <row r="752" spans="1:3" x14ac:dyDescent="0.25">
      <c r="A752">
        <v>339</v>
      </c>
      <c r="B752">
        <f t="shared" si="11"/>
        <v>110</v>
      </c>
      <c r="C752" t="str">
        <v>Elateia is occupied by Makedonia</v>
      </c>
    </row>
    <row r="753" spans="1:3" x14ac:dyDescent="0.25">
      <c r="A753">
        <v>339</v>
      </c>
      <c r="B753">
        <f t="shared" si="11"/>
        <v>110</v>
      </c>
      <c r="C753" t="str">
        <v>Agyris and Aetna are freed by Timoleon</v>
      </c>
    </row>
    <row r="754" spans="1:3" x14ac:dyDescent="0.25">
      <c r="A754">
        <v>339</v>
      </c>
      <c r="B754">
        <f t="shared" si="11"/>
        <v>110</v>
      </c>
      <c r="C754" t="str">
        <v>Nicaea is occupied by Boeotia</v>
      </c>
    </row>
    <row r="755" spans="1:3" x14ac:dyDescent="0.25">
      <c r="A755">
        <v>338</v>
      </c>
      <c r="B755">
        <f t="shared" si="11"/>
        <v>110</v>
      </c>
      <c r="C755" t="str">
        <v>Amphissa is annexed by Delphi</v>
      </c>
    </row>
    <row r="756" spans="1:3" x14ac:dyDescent="0.25">
      <c r="A756">
        <v>338</v>
      </c>
      <c r="B756">
        <f t="shared" si="11"/>
        <v>110</v>
      </c>
      <c r="C756" t="str">
        <v>Thyrea is annexed by Argos</v>
      </c>
    </row>
    <row r="757" spans="1:3" x14ac:dyDescent="0.25">
      <c r="A757">
        <v>338</v>
      </c>
      <c r="B757">
        <f t="shared" si="11"/>
        <v>110</v>
      </c>
      <c r="C757" t="str">
        <v>Mamercus dies</v>
      </c>
    </row>
    <row r="758" spans="1:3" x14ac:dyDescent="0.25">
      <c r="A758">
        <v>338</v>
      </c>
      <c r="B758">
        <f t="shared" si="11"/>
        <v>110</v>
      </c>
      <c r="C758" t="str">
        <v>Cumae is annexed by Rome</v>
      </c>
    </row>
    <row r="759" spans="1:3" x14ac:dyDescent="0.25">
      <c r="A759">
        <v>338</v>
      </c>
      <c r="B759">
        <f t="shared" si="11"/>
        <v>110</v>
      </c>
      <c r="C759" t="str">
        <v>Leontini is freed by Timoleon</v>
      </c>
    </row>
    <row r="760" spans="1:3" x14ac:dyDescent="0.25">
      <c r="A760">
        <v>338</v>
      </c>
      <c r="B760">
        <f t="shared" si="11"/>
        <v>110</v>
      </c>
      <c r="C760" t="str">
        <v>Nafpaktos joins the Aetolian League</v>
      </c>
    </row>
    <row r="761" spans="1:3" x14ac:dyDescent="0.25">
      <c r="A761">
        <v>338</v>
      </c>
      <c r="B761">
        <f t="shared" si="11"/>
        <v>110</v>
      </c>
      <c r="C761" t="str">
        <v>King Philip II of Macedon defeats Athens and Thebes at Battle of Chaeronea August 2 and establishes League of Corinth during winter of 338 BC/337 BC.</v>
      </c>
    </row>
    <row r="762" spans="1:3" x14ac:dyDescent="0.25">
      <c r="A762">
        <v>337</v>
      </c>
      <c r="B762">
        <f t="shared" si="11"/>
        <v>110</v>
      </c>
      <c r="C762" t="str">
        <v>Amfissa declares independence from Delphi</v>
      </c>
    </row>
    <row r="763" spans="1:3" x14ac:dyDescent="0.25">
      <c r="A763">
        <v>336</v>
      </c>
      <c r="B763">
        <f t="shared" si="11"/>
        <v>111</v>
      </c>
      <c r="C763" t="str">
        <v>Timoleon dies</v>
      </c>
    </row>
    <row r="764" spans="1:3" x14ac:dyDescent="0.25">
      <c r="A764">
        <v>336</v>
      </c>
      <c r="B764">
        <f t="shared" si="11"/>
        <v>111</v>
      </c>
      <c r="C764" t="str">
        <v>Lesbos is annexed by Makedonia</v>
      </c>
    </row>
    <row r="765" spans="1:3" x14ac:dyDescent="0.25">
      <c r="A765">
        <v>336</v>
      </c>
      <c r="B765">
        <f t="shared" si="11"/>
        <v>111</v>
      </c>
      <c r="C765" t="str">
        <v>Alexander succeeds father Philip II, who was assassinated by Pausanias of Orestis.</v>
      </c>
    </row>
    <row r="766" spans="1:3" x14ac:dyDescent="0.25">
      <c r="A766">
        <v>334</v>
      </c>
      <c r="B766">
        <f t="shared" si="11"/>
        <v>111</v>
      </c>
      <c r="C766" t="str">
        <v>Andromache dies and his city is annexed by Syracuse</v>
      </c>
    </row>
    <row r="767" spans="1:3" x14ac:dyDescent="0.25">
      <c r="A767">
        <v>334</v>
      </c>
      <c r="B767">
        <f t="shared" si="11"/>
        <v>111</v>
      </c>
      <c r="C767" t="str">
        <v>Battle of the Granicus</v>
      </c>
    </row>
    <row r="768" spans="1:3" x14ac:dyDescent="0.25">
      <c r="A768">
        <v>333</v>
      </c>
      <c r="B768">
        <f t="shared" si="11"/>
        <v>111</v>
      </c>
      <c r="C768" t="str">
        <v>Saminum is occupied by Epirus</v>
      </c>
    </row>
    <row r="769" spans="1:3" x14ac:dyDescent="0.25">
      <c r="A769">
        <v>333</v>
      </c>
      <c r="B769">
        <f t="shared" si="11"/>
        <v>111</v>
      </c>
      <c r="C769" t="str">
        <v>Alexander defeats Persians at Battle of Issus, but Darius III escapes.</v>
      </c>
    </row>
    <row r="770" spans="1:3" x14ac:dyDescent="0.25">
      <c r="A770">
        <v>332</v>
      </c>
      <c r="B770">
        <f t="shared" si="11"/>
        <v>112</v>
      </c>
      <c r="C770" t="str">
        <v>Epirus occupies Heraclea, Metapontium, Southern Lucania, Daunia, Paestum, Terina and Sipontum</v>
      </c>
    </row>
    <row r="771" spans="1:3" x14ac:dyDescent="0.25">
      <c r="A771">
        <v>332</v>
      </c>
      <c r="B771">
        <f t="shared" ref="B771:B834" si="12">ROUNDDOWN((-A771+780)/4,0)</f>
        <v>112</v>
      </c>
      <c r="C771" t="str">
        <v>Siege of Tyre</v>
      </c>
    </row>
    <row r="772" spans="1:3" x14ac:dyDescent="0.25">
      <c r="A772">
        <v>332</v>
      </c>
      <c r="B772">
        <f t="shared" si="12"/>
        <v>112</v>
      </c>
      <c r="C772" t="str">
        <v>Siege of Gaza</v>
      </c>
    </row>
    <row r="773" spans="1:3" x14ac:dyDescent="0.25">
      <c r="A773">
        <v>332</v>
      </c>
      <c r="B773">
        <f t="shared" si="12"/>
        <v>112</v>
      </c>
      <c r="C773" t="str">
        <v>Alexander conquers Egypt.</v>
      </c>
    </row>
    <row r="774" spans="1:3" x14ac:dyDescent="0.25">
      <c r="A774">
        <v>332</v>
      </c>
      <c r="B774">
        <f t="shared" si="12"/>
        <v>112</v>
      </c>
      <c r="C774" t="str">
        <v>Alexandria is founded by Alexander the Great</v>
      </c>
    </row>
    <row r="775" spans="1:3" x14ac:dyDescent="0.25">
      <c r="A775">
        <v>331</v>
      </c>
      <c r="B775">
        <f t="shared" si="12"/>
        <v>112</v>
      </c>
      <c r="C775" t="str">
        <v>Epirus occupies Cosentia</v>
      </c>
    </row>
    <row r="776" spans="1:3" x14ac:dyDescent="0.25">
      <c r="A776">
        <v>331</v>
      </c>
      <c r="B776">
        <f t="shared" si="12"/>
        <v>112</v>
      </c>
      <c r="C776" t="str">
        <v>Battle of Pandosia</v>
      </c>
    </row>
    <row r="777" spans="1:3" x14ac:dyDescent="0.25">
      <c r="A777">
        <v>331</v>
      </c>
      <c r="B777">
        <f t="shared" si="12"/>
        <v>112</v>
      </c>
      <c r="C777" t="str">
        <v>Gerasa (Jordan) is founded by Makedonian veterans</v>
      </c>
    </row>
    <row r="778" spans="1:3" x14ac:dyDescent="0.25">
      <c r="A778">
        <v>331</v>
      </c>
      <c r="B778">
        <f t="shared" si="12"/>
        <v>112</v>
      </c>
      <c r="C778" t="str">
        <v>at Battle of Gaugamela October 1, Alexander ends Achaemenid Dynasty and conquers Persian Empire.</v>
      </c>
    </row>
    <row r="779" spans="1:3" x14ac:dyDescent="0.25">
      <c r="A779">
        <v>331</v>
      </c>
      <c r="B779">
        <f t="shared" si="12"/>
        <v>112</v>
      </c>
      <c r="C779" t="str">
        <v>Alexander the Great enters in Babylon</v>
      </c>
    </row>
    <row r="780" spans="1:3" x14ac:dyDescent="0.25">
      <c r="A780">
        <v>331</v>
      </c>
      <c r="B780">
        <f t="shared" si="12"/>
        <v>112</v>
      </c>
      <c r="C780" t="str">
        <v>Tauromenion is freed by Carthage</v>
      </c>
    </row>
    <row r="781" spans="1:3" x14ac:dyDescent="0.25">
      <c r="A781">
        <v>331</v>
      </c>
      <c r="B781">
        <f t="shared" si="12"/>
        <v>112</v>
      </c>
      <c r="C781" t="str">
        <v>Battle of the Uxian Defile (East of Susa, Iran)</v>
      </c>
    </row>
    <row r="782" spans="1:3" x14ac:dyDescent="0.25">
      <c r="A782">
        <v>330</v>
      </c>
      <c r="B782">
        <f t="shared" si="12"/>
        <v>112</v>
      </c>
      <c r="C782" t="str">
        <v>Sparta joins the League of Corinth</v>
      </c>
    </row>
    <row r="783" spans="1:3" x14ac:dyDescent="0.25">
      <c r="A783">
        <v>330</v>
      </c>
      <c r="B783">
        <f t="shared" si="12"/>
        <v>112</v>
      </c>
      <c r="C783" t="str">
        <v>Battle of the Persian Gate, destruction of Persepolis (modern Iran)</v>
      </c>
    </row>
    <row r="784" spans="1:3" x14ac:dyDescent="0.25">
      <c r="A784">
        <v>330</v>
      </c>
      <c r="B784">
        <f t="shared" si="12"/>
        <v>112</v>
      </c>
      <c r="C784" t="str">
        <v>Pytheas makes the earliest Greek voyage to Great Britain and the Arctic Circle for which there is a record. --&gt;</v>
      </c>
    </row>
    <row r="785" spans="1:3" x14ac:dyDescent="0.25">
      <c r="A785">
        <v>329</v>
      </c>
      <c r="B785">
        <f t="shared" si="12"/>
        <v>112</v>
      </c>
      <c r="C785" t="str">
        <v>Siege of Cyropolis</v>
      </c>
    </row>
    <row r="786" spans="1:3" x14ac:dyDescent="0.25">
      <c r="A786">
        <v>329</v>
      </c>
      <c r="B786">
        <f t="shared" si="12"/>
        <v>112</v>
      </c>
      <c r="C786" t="str">
        <v>Battle of Jaxartes</v>
      </c>
    </row>
    <row r="787" spans="1:3" x14ac:dyDescent="0.25">
      <c r="A787">
        <v>329</v>
      </c>
      <c r="B787">
        <f t="shared" si="12"/>
        <v>112</v>
      </c>
      <c r="C787" t="str">
        <v>Alexander conquers Samarkand, Uzbekistan</v>
      </c>
    </row>
    <row r="788" spans="1:3" x14ac:dyDescent="0.25">
      <c r="A788">
        <v>329</v>
      </c>
      <c r="B788">
        <f t="shared" si="12"/>
        <v>112</v>
      </c>
      <c r="C788" t="str">
        <v>Alexander the Great founds Alexandria Eschate in modern Tajikistan</v>
      </c>
    </row>
    <row r="789" spans="1:3" x14ac:dyDescent="0.25">
      <c r="A789">
        <v>329</v>
      </c>
      <c r="B789">
        <f t="shared" si="12"/>
        <v>112</v>
      </c>
      <c r="C789" t="str">
        <v>Dayuan Kingdom.[13] --&gt;</v>
      </c>
    </row>
    <row r="790" spans="1:3" x14ac:dyDescent="0.25">
      <c r="A790">
        <v>328</v>
      </c>
      <c r="B790">
        <f t="shared" si="12"/>
        <v>113</v>
      </c>
      <c r="C790" t="str">
        <v>Sybaris on the Traeis is annexed by Bruttian League</v>
      </c>
    </row>
    <row r="791" spans="1:3" x14ac:dyDescent="0.25">
      <c r="A791">
        <v>327</v>
      </c>
      <c r="B791">
        <f t="shared" si="12"/>
        <v>113</v>
      </c>
      <c r="C791" t="str">
        <v>Oenidae is impressed into the Aetolian League</v>
      </c>
    </row>
    <row r="792" spans="1:3" x14ac:dyDescent="0.25">
      <c r="A792">
        <v>327</v>
      </c>
      <c r="B792">
        <f t="shared" si="12"/>
        <v>113</v>
      </c>
      <c r="C792" t="str">
        <v>Under the command of Alexander the Great the forces of the Hellenic League captures the fortress of the Sogdian Rock. Sogdiana and the Kabul region came under Hellenic control</v>
      </c>
    </row>
    <row r="793" spans="1:3" x14ac:dyDescent="0.25">
      <c r="A793">
        <v>327</v>
      </c>
      <c r="B793">
        <f t="shared" si="12"/>
        <v>113</v>
      </c>
      <c r="C793" t="str">
        <v>Alexander invades northern India, but his army is despondent and refuses to march further eastwards.</v>
      </c>
    </row>
    <row r="794" spans="1:3" x14ac:dyDescent="0.25">
      <c r="A794">
        <v>326</v>
      </c>
      <c r="B794">
        <f t="shared" si="12"/>
        <v>113</v>
      </c>
      <c r="C794" t="str">
        <v>Battle of the Hydaspes</v>
      </c>
    </row>
    <row r="795" spans="1:3" x14ac:dyDescent="0.25">
      <c r="A795">
        <v>326</v>
      </c>
      <c r="B795">
        <f t="shared" si="12"/>
        <v>113</v>
      </c>
      <c r="C795" t="str">
        <v>Samos joins the Delian League</v>
      </c>
    </row>
    <row r="796" spans="1:3" x14ac:dyDescent="0.25">
      <c r="A796">
        <v>326</v>
      </c>
      <c r="B796">
        <f t="shared" si="12"/>
        <v>113</v>
      </c>
      <c r="C796" t="str">
        <v>Alexandria Bucephalous (located on the Hydaspes river, Pakistan) is founded by Alexander the Great in memory of his beloved horse Bucephalus</v>
      </c>
    </row>
    <row r="797" spans="1:3" x14ac:dyDescent="0.25">
      <c r="A797">
        <v>325</v>
      </c>
      <c r="B797">
        <f t="shared" si="12"/>
        <v>113</v>
      </c>
      <c r="C797" t="str">
        <v>Nearchus serving under Alexander the Great discovers Tylos (the name used by the Greeks to refer to Bahrain).[14]</v>
      </c>
    </row>
    <row r="798" spans="1:3" x14ac:dyDescent="0.25">
      <c r="A798">
        <v>325</v>
      </c>
      <c r="B798">
        <f t="shared" si="12"/>
        <v>113</v>
      </c>
      <c r="C798" t="str">
        <v>--&gt; Pytheas makes the earliest Greek voyage to Great Britain and the Arctic Circle for which there is a record.</v>
      </c>
    </row>
    <row r="799" spans="1:3" x14ac:dyDescent="0.25">
      <c r="A799">
        <v>324</v>
      </c>
      <c r="B799">
        <f t="shared" si="12"/>
        <v>114</v>
      </c>
      <c r="C799" t="str">
        <v>Kroton is overthrown by Menedemus</v>
      </c>
    </row>
    <row r="800" spans="1:3" x14ac:dyDescent="0.25">
      <c r="A800">
        <v>324</v>
      </c>
      <c r="B800">
        <f t="shared" si="12"/>
        <v>114</v>
      </c>
      <c r="C800" t="str">
        <v>Charax Spasinu, one of Alexander's last cities before his death, is established at the head of the Persian Gulf (modern Iran) replacing a small Persian settlement, Durine.[15]</v>
      </c>
    </row>
    <row r="801" spans="1:3" x14ac:dyDescent="0.25">
      <c r="A801">
        <v>323</v>
      </c>
      <c r="B801">
        <f t="shared" si="12"/>
        <v>114</v>
      </c>
      <c r="C801" t="str">
        <v>King Alexander dies, his generals vie for power in Wars of the Diadochi</v>
      </c>
    </row>
    <row r="802" spans="1:3" x14ac:dyDescent="0.25">
      <c r="A802">
        <v>322</v>
      </c>
      <c r="B802">
        <f t="shared" si="12"/>
        <v>114</v>
      </c>
      <c r="C802" t="str">
        <v>First War of the Diadochi. --&gt;</v>
      </c>
    </row>
    <row r="803" spans="1:3" x14ac:dyDescent="0.25">
      <c r="A803">
        <v>320</v>
      </c>
      <c r="B803">
        <f t="shared" si="12"/>
        <v>115</v>
      </c>
      <c r="C803" t="str">
        <v>Partition of Triparadisus</v>
      </c>
    </row>
    <row r="804" spans="1:3" x14ac:dyDescent="0.25">
      <c r="A804">
        <v>320</v>
      </c>
      <c r="B804">
        <f t="shared" si="12"/>
        <v>115</v>
      </c>
      <c r="C804" t="str">
        <v>Second War of the Diadochi --&gt;</v>
      </c>
    </row>
    <row r="805" spans="1:3" x14ac:dyDescent="0.25">
      <c r="A805">
        <v>320</v>
      </c>
      <c r="B805">
        <f t="shared" si="12"/>
        <v>115</v>
      </c>
      <c r="C805" t="str">
        <v>--&gt; First War of the Diadochi.</v>
      </c>
    </row>
    <row r="806" spans="1:3" x14ac:dyDescent="0.25">
      <c r="A806">
        <v>316</v>
      </c>
      <c r="B806">
        <f t="shared" si="12"/>
        <v>116</v>
      </c>
      <c r="C806" t="str">
        <v>Menander, Greek playwright, wins Athenian prize.</v>
      </c>
    </row>
    <row r="807" spans="1:3" x14ac:dyDescent="0.25">
      <c r="A807">
        <v>312</v>
      </c>
      <c r="B807">
        <f t="shared" si="12"/>
        <v>117</v>
      </c>
      <c r="C807" t="str">
        <v>Seleucid Empire --&gt;</v>
      </c>
    </row>
    <row r="808" spans="1:3" x14ac:dyDescent="0.25">
      <c r="A808">
        <v>311</v>
      </c>
      <c r="B808">
        <f t="shared" si="12"/>
        <v>117</v>
      </c>
      <c r="C808" t="str">
        <v>--&gt; Second War of the Diadochi</v>
      </c>
    </row>
    <row r="809" spans="1:3" x14ac:dyDescent="0.25">
      <c r="A809">
        <v>310</v>
      </c>
      <c r="B809">
        <f t="shared" si="12"/>
        <v>117</v>
      </c>
      <c r="C809" t="str">
        <v>Zeno of Citium founds his stoic school in Athens.</v>
      </c>
    </row>
    <row r="810" spans="1:3" x14ac:dyDescent="0.25">
      <c r="A810">
        <v>310</v>
      </c>
      <c r="B810">
        <f t="shared" si="12"/>
        <v>117</v>
      </c>
      <c r="C810" t="str">
        <v>Battle of White Tunis (near modern Tunis, Tunisia)</v>
      </c>
    </row>
    <row r="811" spans="1:3" x14ac:dyDescent="0.25">
      <c r="A811">
        <v>307</v>
      </c>
      <c r="B811">
        <f t="shared" si="12"/>
        <v>118</v>
      </c>
      <c r="C811" t="str">
        <v>Epicurus founds his philosophic school in Athens.</v>
      </c>
    </row>
    <row r="812" spans="1:3" x14ac:dyDescent="0.25">
      <c r="A812">
        <v>305</v>
      </c>
      <c r="B812">
        <f t="shared" si="12"/>
        <v>118</v>
      </c>
      <c r="C812" t="str">
        <v>Ptolemaic Kingdom --&gt;</v>
      </c>
    </row>
    <row r="813" spans="1:3" x14ac:dyDescent="0.25">
      <c r="A813">
        <v>305</v>
      </c>
      <c r="B813">
        <f t="shared" si="12"/>
        <v>118</v>
      </c>
      <c r="C813" t="str">
        <v>Seleucia, also known as Seleucia-on-Tigris or Seleucia on the Tigris (modern Iraq) is founded by Seleucus I Nicator</v>
      </c>
    </row>
    <row r="814" spans="1:3" x14ac:dyDescent="0.25">
      <c r="A814">
        <v>301</v>
      </c>
      <c r="B814">
        <f t="shared" si="12"/>
        <v>119</v>
      </c>
      <c r="C814" t="str">
        <v>Battle of Ipsus</v>
      </c>
    </row>
    <row r="815" spans="1:3" x14ac:dyDescent="0.25">
      <c r="A815">
        <v>300</v>
      </c>
      <c r="B815">
        <f t="shared" si="12"/>
        <v>120</v>
      </c>
      <c r="C815" t="str">
        <v>Antioch, is founded by Seleucus I Nicator in honor of his father Antiochus</v>
      </c>
    </row>
    <row r="816" spans="1:3" x14ac:dyDescent="0.25">
      <c r="A816">
        <v>300</v>
      </c>
      <c r="B816">
        <f t="shared" si="12"/>
        <v>120</v>
      </c>
      <c r="C816" t="str">
        <v>Euclid, Greek mathematician, publishes Elements, treating both geometry and number theory (see also Euclidean algorithm).</v>
      </c>
    </row>
    <row r="817" spans="1:3" x14ac:dyDescent="0.25">
      <c r="A817">
        <v>30</v>
      </c>
      <c r="B817">
        <f t="shared" si="12"/>
        <v>187</v>
      </c>
      <c r="C817" t="str">
        <v>Death of Ptolemaic Queen Cleopatra</v>
      </c>
    </row>
    <row r="818" spans="1:3" x14ac:dyDescent="0.25">
      <c r="A818">
        <v>30</v>
      </c>
      <c r="B818">
        <f t="shared" si="12"/>
        <v>187</v>
      </c>
      <c r="C818" t="str">
        <v>--&gt; Ptolemaic Kingdom</v>
      </c>
    </row>
    <row r="819" spans="1:3" x14ac:dyDescent="0.25">
      <c r="A819">
        <v>295</v>
      </c>
      <c r="B819">
        <f t="shared" si="12"/>
        <v>121</v>
      </c>
      <c r="C819" t="str">
        <v>Athens falls to Demetrius, Lachares killed.</v>
      </c>
    </row>
    <row r="820" spans="1:3" x14ac:dyDescent="0.25">
      <c r="A820">
        <v>282</v>
      </c>
      <c r="B820">
        <f t="shared" si="12"/>
        <v>124</v>
      </c>
      <c r="C820" t="str">
        <v>Kingdom of Pergamon --&gt;</v>
      </c>
    </row>
    <row r="821" spans="1:3" x14ac:dyDescent="0.25">
      <c r="A821">
        <v>281</v>
      </c>
      <c r="B821">
        <f t="shared" si="12"/>
        <v>124</v>
      </c>
      <c r="C821" t="str">
        <v>Creation of the Achaean League</v>
      </c>
    </row>
    <row r="822" spans="1:3" x14ac:dyDescent="0.25">
      <c r="A822">
        <v>280</v>
      </c>
      <c r="B822">
        <f t="shared" si="12"/>
        <v>125</v>
      </c>
      <c r="C822" t="str">
        <v>The Greek colony of Aspálathos (Aσπάλαθος) is founded (modern day Split).</v>
      </c>
    </row>
    <row r="823" spans="1:3" x14ac:dyDescent="0.25">
      <c r="A823">
        <v>280</v>
      </c>
      <c r="B823">
        <f t="shared" si="12"/>
        <v>125</v>
      </c>
      <c r="C823" t="str">
        <v>Pyrrhic War --&gt;</v>
      </c>
    </row>
    <row r="824" spans="1:3" x14ac:dyDescent="0.25">
      <c r="A824">
        <v>279</v>
      </c>
      <c r="B824">
        <f t="shared" si="12"/>
        <v>125</v>
      </c>
      <c r="C824" t="str">
        <v>Gallic invasion of the Balkans</v>
      </c>
    </row>
    <row r="825" spans="1:3" x14ac:dyDescent="0.25">
      <c r="A825">
        <v>276</v>
      </c>
      <c r="B825">
        <f t="shared" si="12"/>
        <v>126</v>
      </c>
      <c r="C825" t="str">
        <v>Eratosthenes is born.</v>
      </c>
    </row>
    <row r="826" spans="1:3" x14ac:dyDescent="0.25">
      <c r="A826">
        <v>275</v>
      </c>
      <c r="B826">
        <f t="shared" si="12"/>
        <v>126</v>
      </c>
      <c r="C826" t="str">
        <v>--&gt; Pyrrhic War</v>
      </c>
    </row>
    <row r="827" spans="1:3" x14ac:dyDescent="0.25">
      <c r="A827">
        <v>274</v>
      </c>
      <c r="B827">
        <f t="shared" si="12"/>
        <v>126</v>
      </c>
      <c r="C827" t="str">
        <v>First Syrian War --&gt;</v>
      </c>
    </row>
    <row r="828" spans="1:3" x14ac:dyDescent="0.25">
      <c r="A828">
        <v>271</v>
      </c>
      <c r="B828">
        <f t="shared" si="12"/>
        <v>127</v>
      </c>
      <c r="C828" t="str">
        <v>--&gt; First Syrian War</v>
      </c>
    </row>
    <row r="829" spans="1:3" x14ac:dyDescent="0.25">
      <c r="A829">
        <v>267</v>
      </c>
      <c r="B829">
        <f t="shared" si="12"/>
        <v>128</v>
      </c>
      <c r="C829" t="str">
        <v>Chremonidean War --&gt;</v>
      </c>
    </row>
    <row r="830" spans="1:3" x14ac:dyDescent="0.25">
      <c r="A830">
        <v>265</v>
      </c>
      <c r="B830">
        <f t="shared" si="12"/>
        <v>128</v>
      </c>
      <c r="C830" t="str">
        <v>Archimedes, Greek mathematician, develops Archimedes' screw, specific gravity, center of gravity; anticipates discoveries of integral calculus.</v>
      </c>
    </row>
    <row r="831" spans="1:3" x14ac:dyDescent="0.25">
      <c r="A831">
        <v>262</v>
      </c>
      <c r="B831">
        <f t="shared" si="12"/>
        <v>129</v>
      </c>
      <c r="C831" t="str">
        <v>--&gt; Chremonidean War</v>
      </c>
    </row>
    <row r="832" spans="1:3" x14ac:dyDescent="0.25">
      <c r="A832">
        <v>260</v>
      </c>
      <c r="B832">
        <f t="shared" si="12"/>
        <v>130</v>
      </c>
      <c r="C832" t="str">
        <v>Second Syrian War --&gt;</v>
      </c>
    </row>
    <row r="833" spans="1:3" x14ac:dyDescent="0.25">
      <c r="A833">
        <v>256</v>
      </c>
      <c r="B833">
        <f t="shared" si="12"/>
        <v>131</v>
      </c>
      <c r="C833" t="str">
        <v>Greco-Bactrian Kingdom --&gt;</v>
      </c>
    </row>
    <row r="834" spans="1:3" x14ac:dyDescent="0.25">
      <c r="A834">
        <v>253</v>
      </c>
      <c r="B834">
        <f t="shared" si="12"/>
        <v>131</v>
      </c>
      <c r="C834" t="str">
        <v>--&gt; Second Syrian War</v>
      </c>
    </row>
    <row r="835" spans="1:3" x14ac:dyDescent="0.25">
      <c r="A835">
        <v>246</v>
      </c>
      <c r="B835">
        <f t="shared" ref="B835:B862" si="13">ROUNDDOWN((-A835+780)/4,0)</f>
        <v>133</v>
      </c>
      <c r="C835" t="str">
        <v>Third Syrian War --&gt;</v>
      </c>
    </row>
    <row r="836" spans="1:3" x14ac:dyDescent="0.25">
      <c r="A836">
        <v>241</v>
      </c>
      <c r="B836">
        <f t="shared" si="13"/>
        <v>134</v>
      </c>
      <c r="C836" t="str">
        <v>--&gt; Third Syrian War</v>
      </c>
    </row>
    <row r="837" spans="1:3" x14ac:dyDescent="0.25">
      <c r="A837">
        <v>240</v>
      </c>
      <c r="B837">
        <f t="shared" si="13"/>
        <v>135</v>
      </c>
      <c r="C837" t="str">
        <v>Eratosthenes calculates the circumference of the Earth</v>
      </c>
    </row>
    <row r="838" spans="1:3" x14ac:dyDescent="0.25">
      <c r="A838">
        <v>235</v>
      </c>
      <c r="B838">
        <f t="shared" si="13"/>
        <v>136</v>
      </c>
      <c r="C838" t="str">
        <v>Tanais (Rostov-on-Don, Russia) is founded by merchant adventurers from Miletus</v>
      </c>
    </row>
    <row r="839" spans="1:3" x14ac:dyDescent="0.25">
      <c r="A839">
        <v>220</v>
      </c>
      <c r="B839">
        <f t="shared" si="13"/>
        <v>140</v>
      </c>
      <c r="C839" t="str">
        <v>Euthydemus I of the Greco-Bactrians led expeditions as far as Kashgar and Ürümqi in Xinjiang, leading to the first known contacts between China and the West.[16]</v>
      </c>
    </row>
    <row r="840" spans="1:3" x14ac:dyDescent="0.25">
      <c r="A840">
        <v>219</v>
      </c>
      <c r="B840">
        <f t="shared" si="13"/>
        <v>140</v>
      </c>
      <c r="C840" t="str">
        <v>Fourth Syrian War --&gt;</v>
      </c>
    </row>
    <row r="841" spans="1:3" x14ac:dyDescent="0.25">
      <c r="A841">
        <v>217</v>
      </c>
      <c r="B841">
        <f t="shared" si="13"/>
        <v>140</v>
      </c>
      <c r="C841" t="str">
        <v>--&gt; Fourth Syrian War</v>
      </c>
    </row>
    <row r="842" spans="1:3" x14ac:dyDescent="0.25">
      <c r="A842">
        <v>214</v>
      </c>
      <c r="B842">
        <f t="shared" si="13"/>
        <v>141</v>
      </c>
      <c r="C842" t="str">
        <v>First Macedonian War --&gt;</v>
      </c>
    </row>
    <row r="843" spans="1:3" x14ac:dyDescent="0.25">
      <c r="A843">
        <v>205</v>
      </c>
      <c r="B843">
        <f t="shared" si="13"/>
        <v>143</v>
      </c>
      <c r="C843" t="str">
        <v>--&gt; First Macedonian War</v>
      </c>
    </row>
    <row r="844" spans="1:3" x14ac:dyDescent="0.25">
      <c r="A844">
        <v>203</v>
      </c>
      <c r="B844">
        <f t="shared" si="13"/>
        <v>144</v>
      </c>
      <c r="C844" t="str">
        <v>Fifth Syrian War --&gt;</v>
      </c>
    </row>
    <row r="845" spans="1:3" x14ac:dyDescent="0.25">
      <c r="A845">
        <v>200</v>
      </c>
      <c r="B845">
        <f t="shared" si="13"/>
        <v>145</v>
      </c>
      <c r="C845" t="str">
        <v>Second Macedonian War --&gt;</v>
      </c>
    </row>
    <row r="846" spans="1:3" x14ac:dyDescent="0.25">
      <c r="A846">
        <v>200</v>
      </c>
      <c r="B846">
        <f t="shared" si="13"/>
        <v>145</v>
      </c>
      <c r="C846" t="str">
        <v>--&gt; Fifth Syrian War</v>
      </c>
    </row>
    <row r="847" spans="1:3" x14ac:dyDescent="0.25">
      <c r="A847">
        <v>196</v>
      </c>
      <c r="B847">
        <f t="shared" si="13"/>
        <v>146</v>
      </c>
      <c r="C847" t="str">
        <v>--&gt; Second Macedonian War</v>
      </c>
    </row>
    <row r="848" spans="1:3" x14ac:dyDescent="0.25">
      <c r="A848">
        <v>194</v>
      </c>
      <c r="B848">
        <f t="shared" si="13"/>
        <v>146</v>
      </c>
      <c r="C848" t="str">
        <v>Eratosthenes dies in Alexandria</v>
      </c>
    </row>
    <row r="849" spans="1:3" x14ac:dyDescent="0.25">
      <c r="A849">
        <v>192</v>
      </c>
      <c r="B849">
        <f t="shared" si="13"/>
        <v>147</v>
      </c>
      <c r="C849" t="str">
        <v>Roman-Syrian War --&gt;</v>
      </c>
    </row>
    <row r="850" spans="1:3" x14ac:dyDescent="0.25">
      <c r="A850">
        <v>188</v>
      </c>
      <c r="B850">
        <f t="shared" si="13"/>
        <v>148</v>
      </c>
      <c r="C850" t="str">
        <v>--&gt; Roman-Syrian War</v>
      </c>
    </row>
    <row r="851" spans="1:3" x14ac:dyDescent="0.25">
      <c r="A851">
        <v>172</v>
      </c>
      <c r="B851">
        <f t="shared" si="13"/>
        <v>152</v>
      </c>
      <c r="C851" t="str">
        <v>Third Macedonian War --&gt;</v>
      </c>
    </row>
    <row r="852" spans="1:3" x14ac:dyDescent="0.25">
      <c r="A852">
        <v>170</v>
      </c>
      <c r="B852">
        <f t="shared" si="13"/>
        <v>152</v>
      </c>
      <c r="C852" t="str">
        <v>Sixth Syrian War --&gt;</v>
      </c>
    </row>
    <row r="853" spans="1:3" x14ac:dyDescent="0.25">
      <c r="A853">
        <v>168</v>
      </c>
      <c r="B853">
        <f t="shared" si="13"/>
        <v>153</v>
      </c>
      <c r="C853" t="str">
        <v>--&gt; Sixth Syrian War</v>
      </c>
    </row>
    <row r="854" spans="1:3" x14ac:dyDescent="0.25">
      <c r="A854">
        <v>167</v>
      </c>
      <c r="B854">
        <f t="shared" si="13"/>
        <v>153</v>
      </c>
      <c r="C854" t="str">
        <v>--&gt; Third Macedonian War</v>
      </c>
    </row>
    <row r="855" spans="1:3" x14ac:dyDescent="0.25">
      <c r="A855">
        <v>160</v>
      </c>
      <c r="B855">
        <f t="shared" si="13"/>
        <v>155</v>
      </c>
      <c r="C855" t="str">
        <v>--&gt; Dayuan Kingdom.[13]</v>
      </c>
    </row>
    <row r="856" spans="1:3" x14ac:dyDescent="0.25">
      <c r="A856">
        <v>155</v>
      </c>
      <c r="B856">
        <f t="shared" si="13"/>
        <v>156</v>
      </c>
      <c r="C856" t="str">
        <v>Attack of the Indo-Greeks on Pataliputra,[17] a magnificent fortified city with 570 towers and 64 gates according to Megasthenes,[18] who describes the ultimate destruction of the city's walls.[19]</v>
      </c>
    </row>
    <row r="857" spans="1:3" x14ac:dyDescent="0.25">
      <c r="A857">
        <v>150</v>
      </c>
      <c r="B857">
        <f t="shared" si="13"/>
        <v>157</v>
      </c>
      <c r="C857" t="str">
        <v>King Attalus II of Pergamon founds the city of Attaleia or Antalya in his honour.</v>
      </c>
    </row>
    <row r="858" spans="1:3" x14ac:dyDescent="0.25">
      <c r="A858">
        <v>150</v>
      </c>
      <c r="B858">
        <f t="shared" si="13"/>
        <v>157</v>
      </c>
      <c r="C858" t="str">
        <v>Fourth Macedonian War --&gt;</v>
      </c>
    </row>
    <row r="859" spans="1:3" x14ac:dyDescent="0.25">
      <c r="A859">
        <v>148</v>
      </c>
      <c r="B859">
        <f t="shared" si="13"/>
        <v>158</v>
      </c>
      <c r="C859" t="str">
        <v>--&gt; Fourth Macedonian War</v>
      </c>
    </row>
    <row r="860" spans="1:3" x14ac:dyDescent="0.25">
      <c r="A860">
        <v>146</v>
      </c>
      <c r="B860">
        <f t="shared" si="13"/>
        <v>158</v>
      </c>
      <c r="C860" t="str">
        <v>Battle of Corinth</v>
      </c>
    </row>
    <row r="861" spans="1:3" x14ac:dyDescent="0.25">
      <c r="A861">
        <v>133</v>
      </c>
      <c r="B861">
        <f t="shared" si="13"/>
        <v>161</v>
      </c>
      <c r="C861" t="str">
        <v>--&gt; Kingdom of Pergamon</v>
      </c>
    </row>
    <row r="862" spans="1:3" x14ac:dyDescent="0.25">
      <c r="A862">
        <v>125</v>
      </c>
      <c r="B862">
        <f t="shared" si="13"/>
        <v>163</v>
      </c>
      <c r="C862" t="str">
        <v>--&gt; Greco-Bactrian Kingdom</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37FE3-ED75-4207-AB11-6B468479AA52}">
  <sheetPr codeName="Munka3"/>
  <dimension ref="A1:I19"/>
  <sheetViews>
    <sheetView workbookViewId="0">
      <selection activeCell="G20" sqref="G20"/>
    </sheetView>
  </sheetViews>
  <sheetFormatPr defaultRowHeight="15" x14ac:dyDescent="0.25"/>
  <cols>
    <col min="1" max="1" width="52.28515625" customWidth="1"/>
    <col min="2" max="2" width="12.85546875" customWidth="1"/>
    <col min="3" max="3" width="14" customWidth="1"/>
    <col min="4" max="4" width="10.140625" bestFit="1" customWidth="1"/>
  </cols>
  <sheetData>
    <row r="1" spans="1:9" ht="24.75" customHeight="1" x14ac:dyDescent="0.25">
      <c r="A1" s="15" t="s">
        <v>843</v>
      </c>
      <c r="B1" s="15"/>
    </row>
    <row r="2" spans="1:9" x14ac:dyDescent="0.25">
      <c r="A2" s="9" t="s">
        <v>840</v>
      </c>
      <c r="B2" s="11" t="s">
        <v>844</v>
      </c>
    </row>
    <row r="3" spans="1:9" x14ac:dyDescent="0.25">
      <c r="A3" s="9" t="s">
        <v>841</v>
      </c>
      <c r="B3" s="14" cm="1">
        <f t="array" ref="B3">INDEX(_xlfn.ANCHORARRAY(GörögIdővonal!A2), _xlfn.XMATCH(TRUE, ISNUMBER(SEARCH(Történelem!B2,_xlfn.ANCHORARRAY( GörögIdővonal!C2)))))</f>
        <v>785</v>
      </c>
    </row>
    <row r="4" spans="1:9" x14ac:dyDescent="0.25">
      <c r="A4" s="9" t="s">
        <v>842</v>
      </c>
      <c r="B4" s="10" cm="1">
        <f t="array" ref="B4">SUM(--ISNUMBER(SEARCH(Történelem!B2,_xlfn.ANCHORARRAY( GörögIdővonal!C2))))</f>
        <v>53</v>
      </c>
    </row>
    <row r="5" spans="1:9" ht="24.75" customHeight="1" x14ac:dyDescent="0.25">
      <c r="A5" s="16" t="s">
        <v>855</v>
      </c>
      <c r="B5" s="16"/>
    </row>
    <row r="6" spans="1:9" x14ac:dyDescent="0.25">
      <c r="A6" s="9" t="s">
        <v>859</v>
      </c>
      <c r="B6" s="17" cm="1">
        <f t="array" ref="B6">INDEX(_xlfn.ANCHORARRAY(GörögIdővonal!A2), MATCH(MAX(COUNTIF(_xlfn.ANCHORARRAY(GörögIdővonal!A2),_xlfn.ANCHORARRAY(GörögIdővonal!A2))), COUNTIF(_xlfn.ANCHORARRAY(GörögIdővonal!A2),_xlfn.ANCHORARRAY(GörögIdővonal!A2)), 0))</f>
        <v>411</v>
      </c>
    </row>
    <row r="7" spans="1:9" x14ac:dyDescent="0.25">
      <c r="A7" s="9" t="s">
        <v>858</v>
      </c>
      <c r="B7" s="18" cm="1">
        <f t="array" ref="B7">MAX(COUNTIF(_xlfn.ANCHORARRAY(GörögIdővonal!A2),_xlfn.ANCHORARRAY(GörögIdővonal!A2)))</f>
        <v>11</v>
      </c>
    </row>
    <row r="8" spans="1:9" x14ac:dyDescent="0.25">
      <c r="A8" s="9" t="s">
        <v>857</v>
      </c>
      <c r="B8" s="19" cm="1">
        <f t="array" ref="B8">MAX(_xlfn.BYROW(
  _xlfn._xlws.FILTER(ForrásBontás!C2:D832, ForrásBontás!D2:D832&lt;&gt;""),
  _xlfn.LAMBDA(_xlpm.a, INDEX(_xlpm.a, 0, 1) - INDEX(_xlpm.a, 0, 2))
))</f>
        <v>275</v>
      </c>
    </row>
    <row r="10" spans="1:9" ht="24.75" customHeight="1" x14ac:dyDescent="0.25">
      <c r="A10" s="15" t="s">
        <v>856</v>
      </c>
      <c r="B10" s="15"/>
      <c r="C10" s="15"/>
    </row>
    <row r="11" spans="1:9" x14ac:dyDescent="0.25">
      <c r="A11" s="7" t="s">
        <v>845</v>
      </c>
      <c r="B11" s="7" t="s">
        <v>846</v>
      </c>
      <c r="C11" s="7" t="s">
        <v>838</v>
      </c>
    </row>
    <row r="12" spans="1:9" ht="30" x14ac:dyDescent="0.25">
      <c r="A12" s="8" t="s">
        <v>847</v>
      </c>
      <c r="B12" s="12">
        <v>585</v>
      </c>
      <c r="C12" s="13">
        <v>48</v>
      </c>
      <c r="G12" t="str" cm="1">
        <f t="array" ref="G12:I19">_xlfn.LET(
  _xlpm.is_included,
  ISNUMBER(SEARCH("Thales",_xlfn.ANCHORARRAY(GörögIdővonal!C2)))+ISNUMBER(SEARCH("Pythagoras",_xlfn.ANCHORARRAY(GörögIdővonal!C2)))+ISNUMBER(SEARCH("Euclid",_xlfn.ANCHORARRAY(GörögIdővonal!C2)))+ISNUMBER(SEARCH("Eratosthenes",_xlfn.ANCHORARRAY(GörögIdővonal!C2))),
  _xlpm.data,
  _xlfn.HSTACK(_xlfn.ANCHORARRAY(GörögIdővonal!C2),GörögIdővonal!A2:B862),
  _xlfn._xlws.FILTER(_xlpm.data, _xlpm.is_included)
)</f>
        <v>The philosopher Thales of Miletus predicts a solar eclipse that occurs during the Battle of Halys.</v>
      </c>
      <c r="H12">
        <v>585</v>
      </c>
      <c r="I12">
        <v>48</v>
      </c>
    </row>
    <row r="13" spans="1:9" x14ac:dyDescent="0.25">
      <c r="A13" s="8" t="s">
        <v>848</v>
      </c>
      <c r="B13" s="12">
        <v>569</v>
      </c>
      <c r="C13" s="13">
        <v>52</v>
      </c>
      <c r="G13" t="str">
        <v>Pythagoras is born.</v>
      </c>
      <c r="H13">
        <v>569</v>
      </c>
      <c r="I13">
        <v>52</v>
      </c>
    </row>
    <row r="14" spans="1:9" x14ac:dyDescent="0.25">
      <c r="A14" s="8" t="s">
        <v>849</v>
      </c>
      <c r="B14" s="12">
        <v>510</v>
      </c>
      <c r="C14" s="13">
        <v>67</v>
      </c>
      <c r="G14" t="str">
        <v>Pythagoras establishes his own school.</v>
      </c>
      <c r="H14">
        <v>510</v>
      </c>
      <c r="I14">
        <v>67</v>
      </c>
    </row>
    <row r="15" spans="1:9" x14ac:dyDescent="0.25">
      <c r="A15" s="8" t="s">
        <v>850</v>
      </c>
      <c r="B15" s="12">
        <v>500</v>
      </c>
      <c r="C15" s="13">
        <v>70</v>
      </c>
      <c r="G15" t="str">
        <v>Pythagoras dies in Croton, Italy</v>
      </c>
      <c r="H15">
        <v>500</v>
      </c>
      <c r="I15">
        <v>70</v>
      </c>
    </row>
    <row r="16" spans="1:9" ht="45" x14ac:dyDescent="0.25">
      <c r="A16" s="8" t="s">
        <v>851</v>
      </c>
      <c r="B16" s="12">
        <v>300</v>
      </c>
      <c r="C16" s="13">
        <v>120</v>
      </c>
      <c r="G16" t="str">
        <v>Euclid, Greek mathematician, publishes Elements, treating both geometry and number theory (see also Euclidean algorithm).</v>
      </c>
      <c r="H16">
        <v>300</v>
      </c>
      <c r="I16">
        <v>120</v>
      </c>
    </row>
    <row r="17" spans="1:9" x14ac:dyDescent="0.25">
      <c r="A17" s="8" t="s">
        <v>852</v>
      </c>
      <c r="B17" s="12">
        <v>276</v>
      </c>
      <c r="C17" s="13">
        <v>126</v>
      </c>
      <c r="G17" t="str">
        <v>Eratosthenes is born.</v>
      </c>
      <c r="H17">
        <v>276</v>
      </c>
      <c r="I17">
        <v>126</v>
      </c>
    </row>
    <row r="18" spans="1:9" x14ac:dyDescent="0.25">
      <c r="A18" s="8" t="s">
        <v>853</v>
      </c>
      <c r="B18" s="12">
        <v>240</v>
      </c>
      <c r="C18" s="13">
        <v>135</v>
      </c>
      <c r="G18" t="str">
        <v>Eratosthenes calculates the circumference of the Earth</v>
      </c>
      <c r="H18">
        <v>240</v>
      </c>
      <c r="I18">
        <v>135</v>
      </c>
    </row>
    <row r="19" spans="1:9" x14ac:dyDescent="0.25">
      <c r="A19" s="8" t="s">
        <v>854</v>
      </c>
      <c r="B19" s="12">
        <v>194</v>
      </c>
      <c r="C19" s="13">
        <v>146</v>
      </c>
      <c r="G19" t="str">
        <v>Eratosthenes dies in Alexandria</v>
      </c>
      <c r="H19">
        <v>194</v>
      </c>
      <c r="I19">
        <v>146</v>
      </c>
    </row>
  </sheetData>
  <mergeCells count="3">
    <mergeCell ref="A1:B1"/>
    <mergeCell ref="A10:C10"/>
    <mergeCell ref="A5:B5"/>
  </mergeCells>
  <pageMargins left="0.7" right="0.7" top="0.75" bottom="0.75" header="0.3" footer="0.3"/>
  <pageSetup paperSize="9"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ED476-9423-4059-BAE2-32D07325F7FA}">
  <dimension ref="A1:G34"/>
  <sheetViews>
    <sheetView workbookViewId="0">
      <selection activeCell="F3" sqref="F3"/>
    </sheetView>
  </sheetViews>
  <sheetFormatPr defaultRowHeight="15" x14ac:dyDescent="0.25"/>
  <cols>
    <col min="1" max="3" width="15.85546875" style="25" customWidth="1"/>
    <col min="4" max="5" width="15.85546875" customWidth="1"/>
    <col min="6" max="6" width="26.140625" customWidth="1"/>
  </cols>
  <sheetData>
    <row r="1" spans="1:7" s="21" customFormat="1" ht="24" x14ac:dyDescent="0.4">
      <c r="A1" s="22" t="s">
        <v>860</v>
      </c>
      <c r="B1" s="23">
        <f ca="1">RANDBETWEEN(10, 100000)</f>
        <v>28582</v>
      </c>
      <c r="D1" s="23">
        <f ca="1">RANDBETWEEN(10, 100000)</f>
        <v>64538</v>
      </c>
      <c r="F1" s="21" t="s">
        <v>864</v>
      </c>
      <c r="G1" s="21">
        <f ca="1">GCD(B1,D1)</f>
        <v>2</v>
      </c>
    </row>
    <row r="2" spans="1:7" ht="24" x14ac:dyDescent="0.4">
      <c r="A2"/>
      <c r="B2"/>
      <c r="C2"/>
      <c r="F2" s="21" t="str">
        <f ca="1">"(" &amp; MAX(B1,D1) &amp; "; " &amp; MIN(B1,D1) &amp; ")="</f>
        <v>(64538; 28582)=</v>
      </c>
      <c r="G2" s="21">
        <f ca="1">_xlfn.MINIFS(A4:A34,A4:A34,"&lt;&gt;0")</f>
        <v>2</v>
      </c>
    </row>
    <row r="3" spans="1:7" x14ac:dyDescent="0.25">
      <c r="A3" s="7" t="s">
        <v>861</v>
      </c>
      <c r="B3" s="7" t="s">
        <v>862</v>
      </c>
      <c r="C3" s="7" t="s">
        <v>863</v>
      </c>
    </row>
    <row r="4" spans="1:7" x14ac:dyDescent="0.25">
      <c r="A4" s="25">
        <f ca="1">MAX(B1,D1)</f>
        <v>64538</v>
      </c>
      <c r="B4" s="25">
        <f ca="1">MIN(B1,D1)</f>
        <v>28582</v>
      </c>
      <c r="C4" s="25">
        <f ca="1">IFERROR(MOD(A4,B4), 0)</f>
        <v>7374</v>
      </c>
    </row>
    <row r="5" spans="1:7" x14ac:dyDescent="0.25">
      <c r="A5" s="25">
        <f ca="1">B4</f>
        <v>28582</v>
      </c>
      <c r="B5" s="25">
        <f ca="1">C4</f>
        <v>7374</v>
      </c>
      <c r="C5" s="25">
        <f t="shared" ref="C5:C34" ca="1" si="0">IFERROR(MOD(A5,B5), 0)</f>
        <v>6460</v>
      </c>
    </row>
    <row r="6" spans="1:7" x14ac:dyDescent="0.25">
      <c r="A6" s="25">
        <f t="shared" ref="A6:B34" ca="1" si="1">B5</f>
        <v>7374</v>
      </c>
      <c r="B6" s="25">
        <f t="shared" ca="1" si="1"/>
        <v>6460</v>
      </c>
      <c r="C6" s="25">
        <f t="shared" ca="1" si="0"/>
        <v>914</v>
      </c>
    </row>
    <row r="7" spans="1:7" x14ac:dyDescent="0.25">
      <c r="A7" s="25">
        <f t="shared" ca="1" si="1"/>
        <v>6460</v>
      </c>
      <c r="B7" s="25">
        <f t="shared" ca="1" si="1"/>
        <v>914</v>
      </c>
      <c r="C7" s="25">
        <f t="shared" ca="1" si="0"/>
        <v>62</v>
      </c>
    </row>
    <row r="8" spans="1:7" x14ac:dyDescent="0.25">
      <c r="A8" s="25">
        <f t="shared" ca="1" si="1"/>
        <v>914</v>
      </c>
      <c r="B8" s="25">
        <f t="shared" ca="1" si="1"/>
        <v>62</v>
      </c>
      <c r="C8" s="25">
        <f t="shared" ca="1" si="0"/>
        <v>46</v>
      </c>
    </row>
    <row r="9" spans="1:7" x14ac:dyDescent="0.25">
      <c r="A9" s="25">
        <f t="shared" ca="1" si="1"/>
        <v>62</v>
      </c>
      <c r="B9" s="25">
        <f t="shared" ca="1" si="1"/>
        <v>46</v>
      </c>
      <c r="C9" s="25">
        <f t="shared" ca="1" si="0"/>
        <v>16</v>
      </c>
    </row>
    <row r="10" spans="1:7" x14ac:dyDescent="0.25">
      <c r="A10" s="25">
        <f t="shared" ca="1" si="1"/>
        <v>46</v>
      </c>
      <c r="B10" s="25">
        <f t="shared" ca="1" si="1"/>
        <v>16</v>
      </c>
      <c r="C10" s="25">
        <f t="shared" ca="1" si="0"/>
        <v>14</v>
      </c>
    </row>
    <row r="11" spans="1:7" x14ac:dyDescent="0.25">
      <c r="A11" s="25">
        <f t="shared" ca="1" si="1"/>
        <v>16</v>
      </c>
      <c r="B11" s="25">
        <f t="shared" ca="1" si="1"/>
        <v>14</v>
      </c>
      <c r="C11" s="25">
        <f t="shared" ca="1" si="0"/>
        <v>2</v>
      </c>
    </row>
    <row r="12" spans="1:7" x14ac:dyDescent="0.25">
      <c r="A12" s="25">
        <f t="shared" ca="1" si="1"/>
        <v>14</v>
      </c>
      <c r="B12" s="25">
        <f t="shared" ca="1" si="1"/>
        <v>2</v>
      </c>
      <c r="C12" s="25">
        <f t="shared" ca="1" si="0"/>
        <v>0</v>
      </c>
    </row>
    <row r="13" spans="1:7" x14ac:dyDescent="0.25">
      <c r="A13" s="25">
        <f t="shared" ca="1" si="1"/>
        <v>2</v>
      </c>
      <c r="B13" s="25">
        <f t="shared" ca="1" si="1"/>
        <v>0</v>
      </c>
      <c r="C13" s="25">
        <f t="shared" ca="1" si="0"/>
        <v>0</v>
      </c>
    </row>
    <row r="14" spans="1:7" x14ac:dyDescent="0.25">
      <c r="A14" s="25">
        <f t="shared" ca="1" si="1"/>
        <v>0</v>
      </c>
      <c r="B14" s="25">
        <f t="shared" ca="1" si="1"/>
        <v>0</v>
      </c>
      <c r="C14" s="25">
        <f t="shared" ca="1" si="0"/>
        <v>0</v>
      </c>
    </row>
    <row r="15" spans="1:7" x14ac:dyDescent="0.25">
      <c r="A15" s="25">
        <f t="shared" ca="1" si="1"/>
        <v>0</v>
      </c>
      <c r="B15" s="25">
        <f t="shared" ca="1" si="1"/>
        <v>0</v>
      </c>
      <c r="C15" s="25">
        <f t="shared" ca="1" si="0"/>
        <v>0</v>
      </c>
    </row>
    <row r="16" spans="1:7" x14ac:dyDescent="0.25">
      <c r="A16" s="25">
        <f t="shared" ca="1" si="1"/>
        <v>0</v>
      </c>
      <c r="B16" s="25">
        <f t="shared" ca="1" si="1"/>
        <v>0</v>
      </c>
      <c r="C16" s="25">
        <f t="shared" ca="1" si="0"/>
        <v>0</v>
      </c>
    </row>
    <row r="17" spans="1:3" x14ac:dyDescent="0.25">
      <c r="A17" s="25">
        <f t="shared" ca="1" si="1"/>
        <v>0</v>
      </c>
      <c r="B17" s="25">
        <f t="shared" ca="1" si="1"/>
        <v>0</v>
      </c>
      <c r="C17" s="25">
        <f t="shared" ca="1" si="0"/>
        <v>0</v>
      </c>
    </row>
    <row r="18" spans="1:3" x14ac:dyDescent="0.25">
      <c r="A18" s="25">
        <f t="shared" ca="1" si="1"/>
        <v>0</v>
      </c>
      <c r="B18" s="25">
        <f t="shared" ca="1" si="1"/>
        <v>0</v>
      </c>
      <c r="C18" s="25">
        <f t="shared" ca="1" si="0"/>
        <v>0</v>
      </c>
    </row>
    <row r="19" spans="1:3" x14ac:dyDescent="0.25">
      <c r="A19" s="25">
        <f t="shared" ca="1" si="1"/>
        <v>0</v>
      </c>
      <c r="B19" s="25">
        <f t="shared" ca="1" si="1"/>
        <v>0</v>
      </c>
      <c r="C19" s="25">
        <f t="shared" ca="1" si="0"/>
        <v>0</v>
      </c>
    </row>
    <row r="20" spans="1:3" x14ac:dyDescent="0.25">
      <c r="A20" s="25">
        <f t="shared" ca="1" si="1"/>
        <v>0</v>
      </c>
      <c r="B20" s="25">
        <f t="shared" ca="1" si="1"/>
        <v>0</v>
      </c>
      <c r="C20" s="25">
        <f t="shared" ca="1" si="0"/>
        <v>0</v>
      </c>
    </row>
    <row r="21" spans="1:3" x14ac:dyDescent="0.25">
      <c r="A21" s="25">
        <f t="shared" ca="1" si="1"/>
        <v>0</v>
      </c>
      <c r="B21" s="25">
        <f t="shared" ca="1" si="1"/>
        <v>0</v>
      </c>
      <c r="C21" s="25">
        <f t="shared" ca="1" si="0"/>
        <v>0</v>
      </c>
    </row>
    <row r="22" spans="1:3" x14ac:dyDescent="0.25">
      <c r="A22" s="25">
        <f t="shared" ca="1" si="1"/>
        <v>0</v>
      </c>
      <c r="B22" s="25">
        <f t="shared" ca="1" si="1"/>
        <v>0</v>
      </c>
      <c r="C22" s="25">
        <f t="shared" ca="1" si="0"/>
        <v>0</v>
      </c>
    </row>
    <row r="23" spans="1:3" x14ac:dyDescent="0.25">
      <c r="A23" s="25">
        <f t="shared" ca="1" si="1"/>
        <v>0</v>
      </c>
      <c r="B23" s="25">
        <f t="shared" ca="1" si="1"/>
        <v>0</v>
      </c>
      <c r="C23" s="25">
        <f t="shared" ca="1" si="0"/>
        <v>0</v>
      </c>
    </row>
    <row r="24" spans="1:3" x14ac:dyDescent="0.25">
      <c r="A24" s="25">
        <f t="shared" ca="1" si="1"/>
        <v>0</v>
      </c>
      <c r="B24" s="25">
        <f t="shared" ca="1" si="1"/>
        <v>0</v>
      </c>
      <c r="C24" s="25">
        <f t="shared" ca="1" si="0"/>
        <v>0</v>
      </c>
    </row>
    <row r="25" spans="1:3" x14ac:dyDescent="0.25">
      <c r="A25" s="25">
        <f t="shared" ca="1" si="1"/>
        <v>0</v>
      </c>
      <c r="B25" s="25">
        <f t="shared" ca="1" si="1"/>
        <v>0</v>
      </c>
      <c r="C25" s="25">
        <f t="shared" ca="1" si="0"/>
        <v>0</v>
      </c>
    </row>
    <row r="26" spans="1:3" x14ac:dyDescent="0.25">
      <c r="A26" s="25">
        <f t="shared" ca="1" si="1"/>
        <v>0</v>
      </c>
      <c r="B26" s="25">
        <f t="shared" ca="1" si="1"/>
        <v>0</v>
      </c>
      <c r="C26" s="25">
        <f t="shared" ca="1" si="0"/>
        <v>0</v>
      </c>
    </row>
    <row r="27" spans="1:3" x14ac:dyDescent="0.25">
      <c r="A27" s="25">
        <f t="shared" ca="1" si="1"/>
        <v>0</v>
      </c>
      <c r="B27" s="25">
        <f t="shared" ca="1" si="1"/>
        <v>0</v>
      </c>
      <c r="C27" s="25">
        <f t="shared" ca="1" si="0"/>
        <v>0</v>
      </c>
    </row>
    <row r="28" spans="1:3" x14ac:dyDescent="0.25">
      <c r="A28" s="25">
        <f t="shared" ca="1" si="1"/>
        <v>0</v>
      </c>
      <c r="B28" s="25">
        <f t="shared" ca="1" si="1"/>
        <v>0</v>
      </c>
      <c r="C28" s="25">
        <f t="shared" ca="1" si="0"/>
        <v>0</v>
      </c>
    </row>
    <row r="29" spans="1:3" x14ac:dyDescent="0.25">
      <c r="A29" s="25">
        <f t="shared" ca="1" si="1"/>
        <v>0</v>
      </c>
      <c r="B29" s="25">
        <f t="shared" ca="1" si="1"/>
        <v>0</v>
      </c>
      <c r="C29" s="25">
        <f t="shared" ca="1" si="0"/>
        <v>0</v>
      </c>
    </row>
    <row r="30" spans="1:3" x14ac:dyDescent="0.25">
      <c r="A30" s="25">
        <f t="shared" ca="1" si="1"/>
        <v>0</v>
      </c>
      <c r="B30" s="25">
        <f t="shared" ca="1" si="1"/>
        <v>0</v>
      </c>
      <c r="C30" s="25">
        <f t="shared" ca="1" si="0"/>
        <v>0</v>
      </c>
    </row>
    <row r="31" spans="1:3" x14ac:dyDescent="0.25">
      <c r="A31" s="25">
        <f t="shared" ca="1" si="1"/>
        <v>0</v>
      </c>
      <c r="B31" s="25">
        <f t="shared" ca="1" si="1"/>
        <v>0</v>
      </c>
      <c r="C31" s="25">
        <f t="shared" ca="1" si="0"/>
        <v>0</v>
      </c>
    </row>
    <row r="32" spans="1:3" x14ac:dyDescent="0.25">
      <c r="A32" s="25">
        <f t="shared" ca="1" si="1"/>
        <v>0</v>
      </c>
      <c r="B32" s="25">
        <f t="shared" ca="1" si="1"/>
        <v>0</v>
      </c>
      <c r="C32" s="25">
        <f t="shared" ca="1" si="0"/>
        <v>0</v>
      </c>
    </row>
    <row r="33" spans="1:3" x14ac:dyDescent="0.25">
      <c r="A33" s="25">
        <f t="shared" ca="1" si="1"/>
        <v>0</v>
      </c>
      <c r="B33" s="25">
        <f t="shared" ca="1" si="1"/>
        <v>0</v>
      </c>
      <c r="C33" s="25">
        <f t="shared" ca="1" si="0"/>
        <v>0</v>
      </c>
    </row>
    <row r="34" spans="1:3" x14ac:dyDescent="0.25">
      <c r="A34" s="25">
        <f t="shared" ca="1" si="1"/>
        <v>0</v>
      </c>
      <c r="B34" s="25">
        <f t="shared" ca="1" si="1"/>
        <v>0</v>
      </c>
      <c r="C34" s="25">
        <f t="shared" ca="1" si="0"/>
        <v>0</v>
      </c>
    </row>
  </sheetData>
  <conditionalFormatting sqref="A4:C34">
    <cfRule type="expression" dxfId="12" priority="1">
      <formula>AND(A4&lt;&gt;0, A5=0)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38401-1B53-4C50-87A0-AB425A847BE7}">
  <dimension ref="A1:M386"/>
  <sheetViews>
    <sheetView zoomScaleNormal="100" workbookViewId="0">
      <selection activeCell="C2" activeCellId="1" sqref="B1:B3 C2:C3"/>
    </sheetView>
  </sheetViews>
  <sheetFormatPr defaultRowHeight="15" x14ac:dyDescent="0.25"/>
  <cols>
    <col min="1" max="3" width="17.140625" customWidth="1"/>
    <col min="4" max="7" width="7.28515625" customWidth="1"/>
    <col min="10" max="10" width="9.5703125" customWidth="1"/>
    <col min="11" max="11" width="12.7109375" customWidth="1"/>
    <col min="12" max="12" width="12.85546875" customWidth="1"/>
  </cols>
  <sheetData>
    <row r="1" spans="1:13" ht="24" x14ac:dyDescent="0.4">
      <c r="A1" s="27" t="s">
        <v>873</v>
      </c>
      <c r="B1" s="39">
        <f ca="1">RANDBETWEEN(2, 10)</f>
        <v>7</v>
      </c>
      <c r="C1" s="20"/>
    </row>
    <row r="2" spans="1:13" ht="24" x14ac:dyDescent="0.4">
      <c r="A2" s="27" t="s">
        <v>869</v>
      </c>
      <c r="B2" s="40">
        <f ca="1">RAND()*kör_r*2-kör_r</f>
        <v>3.2014872910992</v>
      </c>
      <c r="C2" s="41">
        <f ca="1">(RANDBETWEEN(0,1)*2-1) * SQRT(kör_r^2 - B2^2)</f>
        <v>-6.2249882831159056</v>
      </c>
    </row>
    <row r="3" spans="1:13" ht="24" x14ac:dyDescent="0.4">
      <c r="A3" s="27" t="s">
        <v>870</v>
      </c>
      <c r="B3" s="40">
        <f ca="1">RAND()*kör_r*2-kör_r</f>
        <v>-2.6810472542013795</v>
      </c>
      <c r="C3" s="41">
        <f ca="1">(RANDBETWEEN(0,1)*2-1) * SQRT(kör_r^2 - $B$3^2)</f>
        <v>-6.4662188039641251</v>
      </c>
      <c r="K3" s="36" t="s">
        <v>882</v>
      </c>
      <c r="L3" s="37">
        <f ca="1">L17^2 + M17^2</f>
        <v>34.662404840843401</v>
      </c>
    </row>
    <row r="4" spans="1:13" ht="24" x14ac:dyDescent="0.4">
      <c r="A4" s="27" t="s">
        <v>871</v>
      </c>
      <c r="B4" s="32">
        <f ca="1">-B3</f>
        <v>2.6810472542013795</v>
      </c>
      <c r="C4" s="26">
        <f ca="1">-C3</f>
        <v>6.4662188039641251</v>
      </c>
      <c r="K4" s="36" t="s">
        <v>883</v>
      </c>
      <c r="L4" s="37">
        <f ca="1">L18^2 + M18^2</f>
        <v>161.33759515915662</v>
      </c>
    </row>
    <row r="5" spans="1:13" ht="24" x14ac:dyDescent="0.4">
      <c r="A5" s="29" t="s">
        <v>872</v>
      </c>
      <c r="B5" s="33">
        <f ca="1">B2</f>
        <v>3.2014872910992</v>
      </c>
      <c r="C5" s="28">
        <f ca="1">C2</f>
        <v>-6.2249882831159056</v>
      </c>
      <c r="K5" s="36" t="s">
        <v>886</v>
      </c>
      <c r="L5" s="38">
        <f ca="1">SUM(L3:L4)</f>
        <v>196.00000000000003</v>
      </c>
    </row>
    <row r="6" spans="1:13" ht="24" customHeight="1" x14ac:dyDescent="0.4">
      <c r="K6" s="36" t="s">
        <v>884</v>
      </c>
      <c r="L6" s="38">
        <f ca="1">L19^2 + M19^2</f>
        <v>196</v>
      </c>
    </row>
    <row r="7" spans="1:13" ht="24" customHeight="1" x14ac:dyDescent="0.4">
      <c r="K7" s="36" t="s">
        <v>885</v>
      </c>
      <c r="L7" s="38">
        <f ca="1">(2*kör_r)^2</f>
        <v>196</v>
      </c>
    </row>
    <row r="8" spans="1:13" ht="24" customHeight="1" x14ac:dyDescent="0.25"/>
    <row r="9" spans="1:13" ht="24" customHeight="1" x14ac:dyDescent="0.25"/>
    <row r="10" spans="1:13" ht="24" customHeight="1" x14ac:dyDescent="0.4">
      <c r="J10" s="21" t="str">
        <f ca="1">IF(L6=L7, "|AB|=2*r; AB átmérő.", "AB nem átmérő")</f>
        <v>|AB|=2*r; AB átmérő.</v>
      </c>
    </row>
    <row r="11" spans="1:13" ht="24" customHeight="1" x14ac:dyDescent="0.4">
      <c r="J11" s="21" t="str">
        <f ca="1">"Pitagorasz-tétele " &amp; TEXT(L6=L7, "Normál")</f>
        <v>Pitagorasz-tétele IGAZ</v>
      </c>
    </row>
    <row r="12" spans="1:13" ht="24" customHeight="1" x14ac:dyDescent="0.25"/>
    <row r="13" spans="1:13" ht="24" customHeight="1" x14ac:dyDescent="0.25"/>
    <row r="14" spans="1:13" ht="24" customHeight="1" x14ac:dyDescent="0.25"/>
    <row r="15" spans="1:13" ht="24" customHeight="1" x14ac:dyDescent="0.25"/>
    <row r="16" spans="1:13" ht="24" customHeight="1" x14ac:dyDescent="0.25">
      <c r="L16" s="30" t="s">
        <v>880</v>
      </c>
      <c r="M16" s="31" t="s">
        <v>881</v>
      </c>
    </row>
    <row r="17" spans="1:13" ht="24" customHeight="1" x14ac:dyDescent="0.25">
      <c r="I17" t="s">
        <v>874</v>
      </c>
      <c r="K17" s="24" t="s">
        <v>877</v>
      </c>
      <c r="L17" s="34">
        <f ca="1">B3-B2</f>
        <v>-5.8825345453005795</v>
      </c>
      <c r="M17" s="35">
        <f ca="1">C3-C2</f>
        <v>-0.2412305208482195</v>
      </c>
    </row>
    <row r="18" spans="1:13" ht="24" customHeight="1" x14ac:dyDescent="0.25">
      <c r="I18" t="s">
        <v>875</v>
      </c>
      <c r="K18" s="24" t="s">
        <v>878</v>
      </c>
      <c r="L18" s="34">
        <f ca="1">B4-B2</f>
        <v>-0.52044003689782059</v>
      </c>
      <c r="M18" s="35">
        <f ca="1">C4-C2</f>
        <v>12.691207087080031</v>
      </c>
    </row>
    <row r="19" spans="1:13" ht="24" customHeight="1" x14ac:dyDescent="0.25">
      <c r="I19" t="s">
        <v>876</v>
      </c>
      <c r="K19" s="24" t="s">
        <v>879</v>
      </c>
      <c r="L19" s="34">
        <f ca="1">B4-B3</f>
        <v>5.3620945084027589</v>
      </c>
      <c r="M19" s="35">
        <f ca="1">C4-C3</f>
        <v>12.93243760792825</v>
      </c>
    </row>
    <row r="20" spans="1:13" ht="24" customHeight="1" x14ac:dyDescent="0.25"/>
    <row r="21" spans="1:13" ht="24" customHeight="1" x14ac:dyDescent="0.25"/>
    <row r="22" spans="1:13" ht="24" customHeight="1" x14ac:dyDescent="0.25"/>
    <row r="25" spans="1:13" x14ac:dyDescent="0.25">
      <c r="A25" t="s">
        <v>865</v>
      </c>
      <c r="B25" t="s">
        <v>866</v>
      </c>
      <c r="C25" t="s">
        <v>867</v>
      </c>
      <c r="D25" t="s">
        <v>868</v>
      </c>
    </row>
    <row r="26" spans="1:13" x14ac:dyDescent="0.25">
      <c r="A26">
        <v>0</v>
      </c>
      <c r="B26">
        <f>RADIANS(Táblázat14[[#This Row],[fok]])</f>
        <v>0</v>
      </c>
      <c r="C26">
        <f ca="1">$B$1*COS(Táblázat14[[#This Row],[rad]])</f>
        <v>7</v>
      </c>
      <c r="D26">
        <f ca="1">$B$1*SIN(Táblázat14[[#This Row],[rad]])</f>
        <v>0</v>
      </c>
    </row>
    <row r="27" spans="1:13" x14ac:dyDescent="0.25">
      <c r="A27">
        <v>1</v>
      </c>
      <c r="B27">
        <f>RADIANS(Táblázat14[[#This Row],[fok]])</f>
        <v>1.7453292519943295E-2</v>
      </c>
      <c r="C27">
        <f ca="1">$B$1*COS(Táblázat14[[#This Row],[rad]])</f>
        <v>6.9989338660947391</v>
      </c>
      <c r="D27">
        <f ca="1">$B$1*SIN(Táblázat14[[#This Row],[rad]])</f>
        <v>0.12216684506098457</v>
      </c>
    </row>
    <row r="28" spans="1:13" x14ac:dyDescent="0.25">
      <c r="A28">
        <v>2</v>
      </c>
      <c r="B28">
        <f>RADIANS(Táblázat14[[#This Row],[fok]])</f>
        <v>3.4906585039886591E-2</v>
      </c>
      <c r="C28">
        <f ca="1">$B$1*COS(Táblázat14[[#This Row],[rad]])</f>
        <v>6.9957357891336702</v>
      </c>
      <c r="D28">
        <f ca="1">$B$1*SIN(Táblázat14[[#This Row],[rad]])</f>
        <v>0.24429647691750678</v>
      </c>
    </row>
    <row r="29" spans="1:13" x14ac:dyDescent="0.25">
      <c r="A29">
        <v>3</v>
      </c>
      <c r="B29">
        <f>RADIANS(Táblázat14[[#This Row],[fok]])</f>
        <v>5.235987755982989E-2</v>
      </c>
      <c r="C29">
        <f ca="1">$B$1*COS(Táblázat14[[#This Row],[rad]])</f>
        <v>6.9904067432820165</v>
      </c>
      <c r="D29">
        <f ca="1">$B$1*SIN(Táblázat14[[#This Row],[rad]])</f>
        <v>0.36635169370060683</v>
      </c>
    </row>
    <row r="30" spans="1:13" x14ac:dyDescent="0.25">
      <c r="A30">
        <v>4</v>
      </c>
      <c r="B30">
        <f>RADIANS(Táblázat14[[#This Row],[fok]])</f>
        <v>6.9813170079773182E-2</v>
      </c>
      <c r="C30">
        <f ca="1">$B$1*COS(Táblázat14[[#This Row],[rad]])</f>
        <v>6.9829483518187692</v>
      </c>
      <c r="D30">
        <f ca="1">$B$1*SIN(Táblázat14[[#This Row],[rad]])</f>
        <v>0.48829531620887712</v>
      </c>
    </row>
    <row r="31" spans="1:13" x14ac:dyDescent="0.25">
      <c r="A31">
        <v>5</v>
      </c>
      <c r="B31">
        <f>RADIANS(Táblázat14[[#This Row],[fok]])</f>
        <v>8.7266462599716474E-2</v>
      </c>
      <c r="C31">
        <f ca="1">$B$1*COS(Táblázat14[[#This Row],[rad]])</f>
        <v>6.973362886642219</v>
      </c>
      <c r="D31">
        <f ca="1">$B$1*SIN(Táblázat14[[#This Row],[rad]])</f>
        <v>0.61009019923360719</v>
      </c>
    </row>
    <row r="32" spans="1:13" x14ac:dyDescent="0.25">
      <c r="A32">
        <v>6</v>
      </c>
      <c r="B32">
        <f>RADIANS(Táblázat14[[#This Row],[fok]])</f>
        <v>0.10471975511965978</v>
      </c>
      <c r="C32">
        <f ca="1">$B$1*COS(Táblázat14[[#This Row],[rad]])</f>
        <v>6.9616532675779128</v>
      </c>
      <c r="D32">
        <f ca="1">$B$1*SIN(Táblázat14[[#This Row],[rad]])</f>
        <v>0.73169924287357424</v>
      </c>
    </row>
    <row r="33" spans="1:4" x14ac:dyDescent="0.25">
      <c r="A33">
        <v>7</v>
      </c>
      <c r="B33">
        <f>RADIANS(Táblázat14[[#This Row],[fok]])</f>
        <v>0.12217304763960307</v>
      </c>
      <c r="C33">
        <f ca="1">$B$1*COS(Táblázat14[[#This Row],[rad]])</f>
        <v>6.9478230614892542</v>
      </c>
      <c r="D33">
        <f ca="1">$B$1*SIN(Táblázat14[[#This Row],[rad]])</f>
        <v>0.85308540383603237</v>
      </c>
    </row>
    <row r="34" spans="1:4" x14ac:dyDescent="0.25">
      <c r="A34">
        <v>8</v>
      </c>
      <c r="B34">
        <f>RADIANS(Táblázat14[[#This Row],[fok]])</f>
        <v>0.13962634015954636</v>
      </c>
      <c r="C34">
        <f ca="1">$B$1*COS(Táblázat14[[#This Row],[rad]])</f>
        <v>6.9318764811909928</v>
      </c>
      <c r="D34">
        <f ca="1">$B$1*SIN(Táblázat14[[#This Row],[rad]])</f>
        <v>0.97421170672045809</v>
      </c>
    </row>
    <row r="35" spans="1:4" x14ac:dyDescent="0.25">
      <c r="A35">
        <v>9</v>
      </c>
      <c r="B35">
        <f>RADIANS(Táblázat14[[#This Row],[fok]])</f>
        <v>0.15707963267948966</v>
      </c>
      <c r="C35">
        <f ca="1">$B$1*COS(Táblázat14[[#This Row],[rad]])</f>
        <v>6.9138183841659639</v>
      </c>
      <c r="D35">
        <f ca="1">$B$1*SIN(Táblázat14[[#This Row],[rad]])</f>
        <v>1.095041255281616</v>
      </c>
    </row>
    <row r="36" spans="1:4" x14ac:dyDescent="0.25">
      <c r="A36">
        <v>10</v>
      </c>
      <c r="B36">
        <f>RADIANS(Táblázat14[[#This Row],[fok]])</f>
        <v>0.17453292519943295</v>
      </c>
      <c r="C36">
        <f ca="1">$B$1*COS(Táblázat14[[#This Row],[rad]])</f>
        <v>6.893654271085456</v>
      </c>
      <c r="D36">
        <f ca="1">$B$1*SIN(Táblázat14[[#This Row],[rad]])</f>
        <v>1.2155372436685123</v>
      </c>
    </row>
    <row r="37" spans="1:4" x14ac:dyDescent="0.25">
      <c r="A37">
        <v>11</v>
      </c>
      <c r="B37">
        <f>RADIANS(Táblázat14[[#This Row],[fok]])</f>
        <v>0.19198621771937624</v>
      </c>
      <c r="C37">
        <f ca="1">$B$1*COS(Táblázat14[[#This Row],[rad]])</f>
        <v>6.8713902841336481</v>
      </c>
      <c r="D37">
        <f ca="1">$B$1*SIN(Táblázat14[[#This Row],[rad]])</f>
        <v>1.3356629676358136</v>
      </c>
    </row>
    <row r="38" spans="1:4" x14ac:dyDescent="0.25">
      <c r="A38">
        <v>12</v>
      </c>
      <c r="B38">
        <f>RADIANS(Táblázat14[[#This Row],[fok]])</f>
        <v>0.20943951023931956</v>
      </c>
      <c r="C38">
        <f ca="1">$B$1*COS(Táblázat14[[#This Row],[rad]])</f>
        <v>6.8470332051366398</v>
      </c>
      <c r="D38">
        <f ca="1">$B$1*SIN(Táblázat14[[#This Row],[rad]])</f>
        <v>1.4553818357243153</v>
      </c>
    </row>
    <row r="39" spans="1:4" x14ac:dyDescent="0.25">
      <c r="A39">
        <v>13</v>
      </c>
      <c r="B39">
        <f>RADIANS(Táblázat14[[#This Row],[fok]])</f>
        <v>0.22689280275926285</v>
      </c>
      <c r="C39">
        <f ca="1">$B$1*COS(Táblázat14[[#This Row],[rad]])</f>
        <v>6.8205904534966466</v>
      </c>
      <c r="D39">
        <f ca="1">$B$1*SIN(Táblázat14[[#This Row],[rad]])</f>
        <v>1.5746573804070549</v>
      </c>
    </row>
    <row r="40" spans="1:4" x14ac:dyDescent="0.25">
      <c r="A40">
        <v>14</v>
      </c>
      <c r="B40">
        <f>RADIANS(Táblázat14[[#This Row],[fok]])</f>
        <v>0.24434609527920614</v>
      </c>
      <c r="C40">
        <f ca="1">$B$1*COS(Táblázat14[[#This Row],[rad]])</f>
        <v>6.792070083931975</v>
      </c>
      <c r="D40">
        <f ca="1">$B$1*SIN(Táblázat14[[#This Row],[rad]])</f>
        <v>1.693453269197674</v>
      </c>
    </row>
    <row r="41" spans="1:4" x14ac:dyDescent="0.25">
      <c r="A41">
        <v>15</v>
      </c>
      <c r="B41">
        <f>RADIANS(Táblázat14[[#This Row],[fok]])</f>
        <v>0.26179938779914941</v>
      </c>
      <c r="C41">
        <f ca="1">$B$1*COS(Táblázat14[[#This Row],[rad]])</f>
        <v>6.7614807840234779</v>
      </c>
      <c r="D41">
        <f ca="1">$B$1*SIN(Táblázat14[[#This Row],[rad]])</f>
        <v>1.8117333157176452</v>
      </c>
    </row>
    <row r="42" spans="1:4" x14ac:dyDescent="0.25">
      <c r="A42">
        <v>16</v>
      </c>
      <c r="B42">
        <f>RADIANS(Táblázat14[[#This Row],[fok]])</f>
        <v>0.27925268031909273</v>
      </c>
      <c r="C42">
        <f ca="1">$B$1*COS(Táblázat14[[#This Row],[rad]])</f>
        <v>6.7288318715682323</v>
      </c>
      <c r="D42">
        <f ca="1">$B$1*SIN(Táblázat14[[#This Row],[rad]])</f>
        <v>1.9294614907189942</v>
      </c>
    </row>
    <row r="43" spans="1:4" x14ac:dyDescent="0.25">
      <c r="A43">
        <v>17</v>
      </c>
      <c r="B43">
        <f>RADIANS(Táblázat14[[#This Row],[fok]])</f>
        <v>0.29670597283903605</v>
      </c>
      <c r="C43">
        <f ca="1">$B$1*COS(Táblázat14[[#This Row],[rad]])</f>
        <v>6.6941332917412479</v>
      </c>
      <c r="D43">
        <f ca="1">$B$1*SIN(Táblázat14[[#This Row],[rad]])</f>
        <v>2.0466019330591574</v>
      </c>
    </row>
    <row r="44" spans="1:4" x14ac:dyDescent="0.25">
      <c r="A44">
        <v>18</v>
      </c>
      <c r="B44">
        <f>RADIANS(Táblázat14[[#This Row],[fok]])</f>
        <v>0.31415926535897931</v>
      </c>
      <c r="C44">
        <f ca="1">$B$1*COS(Táblázat14[[#This Row],[rad]])</f>
        <v>6.6573956140660746</v>
      </c>
      <c r="D44">
        <f ca="1">$B$1*SIN(Táblázat14[[#This Row],[rad]])</f>
        <v>2.1631189606246317</v>
      </c>
    </row>
    <row r="45" spans="1:4" x14ac:dyDescent="0.25">
      <c r="A45">
        <v>19</v>
      </c>
      <c r="B45">
        <f>RADIANS(Táblázat14[[#This Row],[fok]])</f>
        <v>0.33161255787892263</v>
      </c>
      <c r="C45">
        <f ca="1">$B$1*COS(Táblázat14[[#This Row],[rad]])</f>
        <v>6.6186300291952183</v>
      </c>
      <c r="D45">
        <f ca="1">$B$1*SIN(Táblázat14[[#This Row],[rad]])</f>
        <v>2.2789770812000967</v>
      </c>
    </row>
    <row r="46" spans="1:4" x14ac:dyDescent="0.25">
      <c r="A46">
        <v>20</v>
      </c>
      <c r="B46">
        <f>RADIANS(Táblázat14[[#This Row],[fok]])</f>
        <v>0.3490658503988659</v>
      </c>
      <c r="C46">
        <f ca="1">$B$1*COS(Táblázat14[[#This Row],[rad]])</f>
        <v>6.5778483455013586</v>
      </c>
      <c r="D46">
        <f ca="1">$B$1*SIN(Táblázat14[[#This Row],[rad]])</f>
        <v>2.3941410032796808</v>
      </c>
    </row>
    <row r="47" spans="1:4" x14ac:dyDescent="0.25">
      <c r="A47">
        <v>21</v>
      </c>
      <c r="B47">
        <f>RADIANS(Táblázat14[[#This Row],[fok]])</f>
        <v>0.36651914291880922</v>
      </c>
      <c r="C47">
        <f ca="1">$B$1*COS(Táblázat14[[#This Row],[rad]])</f>
        <v>6.5350629854804119</v>
      </c>
      <c r="D47">
        <f ca="1">$B$1*SIN(Táblázat14[[#This Row],[rad]])</f>
        <v>2.5085756468171017</v>
      </c>
    </row>
    <row r="48" spans="1:4" x14ac:dyDescent="0.25">
      <c r="A48">
        <v>22</v>
      </c>
      <c r="B48">
        <f>RADIANS(Táblázat14[[#This Row],[fok]])</f>
        <v>0.38397243543875248</v>
      </c>
      <c r="C48">
        <f ca="1">$B$1*COS(Táblázat14[[#This Row],[rad]])</f>
        <v>6.490286981967512</v>
      </c>
      <c r="D48">
        <f ca="1">$B$1*SIN(Táblázat14[[#This Row],[rad]])</f>
        <v>2.6222461539113842</v>
      </c>
    </row>
    <row r="49" spans="1:4" x14ac:dyDescent="0.25">
      <c r="A49">
        <v>23</v>
      </c>
      <c r="B49">
        <f>RADIANS(Táblázat14[[#This Row],[fok]])</f>
        <v>0.4014257279586958</v>
      </c>
      <c r="C49">
        <f ca="1">$B$1*COS(Táblázat14[[#This Row],[rad]])</f>
        <v>6.4435339741670825</v>
      </c>
      <c r="D49">
        <f ca="1">$B$1*SIN(Táblázat14[[#This Row],[rad]])</f>
        <v>2.7351178994249166</v>
      </c>
    </row>
    <row r="50" spans="1:4" x14ac:dyDescent="0.25">
      <c r="A50">
        <v>24</v>
      </c>
      <c r="B50">
        <f>RADIANS(Táblázat14[[#This Row],[fok]])</f>
        <v>0.41887902047863912</v>
      </c>
      <c r="C50">
        <f ca="1">$B$1*COS(Táblázat14[[#This Row],[rad]])</f>
        <v>6.3948182034982057</v>
      </c>
      <c r="D50">
        <f ca="1">$B$1*SIN(Táblázat14[[#This Row],[rad]])</f>
        <v>2.8471565015306015</v>
      </c>
    </row>
    <row r="51" spans="1:4" x14ac:dyDescent="0.25">
      <c r="A51">
        <v>25</v>
      </c>
      <c r="B51">
        <f>RADIANS(Táblázat14[[#This Row],[fok]])</f>
        <v>0.43633231299858238</v>
      </c>
      <c r="C51">
        <f ca="1">$B$1*COS(Táblázat14[[#This Row],[rad]])</f>
        <v>6.3441545092565494</v>
      </c>
      <c r="D51">
        <f ca="1">$B$1*SIN(Táblázat14[[#This Row],[rad]])</f>
        <v>2.9583278321848963</v>
      </c>
    </row>
    <row r="52" spans="1:4" x14ac:dyDescent="0.25">
      <c r="A52">
        <v>26</v>
      </c>
      <c r="B52">
        <f>RADIANS(Táblázat14[[#This Row],[fok]])</f>
        <v>0.4537856055185257</v>
      </c>
      <c r="C52">
        <f ca="1">$B$1*COS(Táblázat14[[#This Row],[rad]])</f>
        <v>6.2915583240941695</v>
      </c>
      <c r="D52">
        <f ca="1">$B$1*SIN(Táblázat14[[#This Row],[rad]])</f>
        <v>3.0685980275235418</v>
      </c>
    </row>
    <row r="53" spans="1:4" x14ac:dyDescent="0.25">
      <c r="A53">
        <v>27</v>
      </c>
      <c r="B53">
        <f>RADIANS(Táblázat14[[#This Row],[fok]])</f>
        <v>0.47123889803846897</v>
      </c>
      <c r="C53">
        <f ca="1">$B$1*COS(Táblázat14[[#This Row],[rad]])</f>
        <v>6.237045669318575</v>
      </c>
      <c r="D53">
        <f ca="1">$B$1*SIN(Táblázat14[[#This Row],[rad]])</f>
        <v>3.1779334981768272</v>
      </c>
    </row>
    <row r="54" spans="1:4" x14ac:dyDescent="0.25">
      <c r="A54">
        <v>28</v>
      </c>
      <c r="B54">
        <f>RADIANS(Táblázat14[[#This Row],[fok]])</f>
        <v>0.48869219055841229</v>
      </c>
      <c r="C54">
        <f ca="1">$B$1*COS(Táblázat14[[#This Row],[rad]])</f>
        <v>6.1806331500124889</v>
      </c>
      <c r="D54">
        <f ca="1">$B$1*SIN(Táblázat14[[#This Row],[rad]])</f>
        <v>3.2863009395012357</v>
      </c>
    </row>
    <row r="55" spans="1:4" x14ac:dyDescent="0.25">
      <c r="A55">
        <v>29</v>
      </c>
      <c r="B55">
        <f>RADIANS(Táblázat14[[#This Row],[fok]])</f>
        <v>0.50614548307835561</v>
      </c>
      <c r="C55">
        <f ca="1">$B$1*COS(Táblázat14[[#This Row],[rad]])</f>
        <v>6.12233794997577</v>
      </c>
      <c r="D55">
        <f ca="1">$B$1*SIN(Táblázat14[[#This Row],[rad]])</f>
        <v>3.3936673417243592</v>
      </c>
    </row>
    <row r="56" spans="1:4" x14ac:dyDescent="0.25">
      <c r="A56">
        <v>30</v>
      </c>
      <c r="B56">
        <f>RADIANS(Táblázat14[[#This Row],[fok]])</f>
        <v>0.52359877559829882</v>
      </c>
      <c r="C56">
        <f ca="1">$B$1*COS(Táblázat14[[#This Row],[rad]])</f>
        <v>6.0621778264910713</v>
      </c>
      <c r="D56">
        <f ca="1">$B$1*SIN(Táblázat14[[#This Row],[rad]])</f>
        <v>3.4999999999999996</v>
      </c>
    </row>
    <row r="57" spans="1:4" x14ac:dyDescent="0.25">
      <c r="A57">
        <v>31</v>
      </c>
      <c r="B57">
        <f>RADIANS(Táblázat14[[#This Row],[fok]])</f>
        <v>0.54105206811824214</v>
      </c>
      <c r="C57">
        <f ca="1">$B$1*COS(Táblázat14[[#This Row],[rad]])</f>
        <v>6.0001711049147861</v>
      </c>
      <c r="D57">
        <f ca="1">$B$1*SIN(Táblázat14[[#This Row],[rad]])</f>
        <v>3.605266524370379</v>
      </c>
    </row>
    <row r="58" spans="1:4" x14ac:dyDescent="0.25">
      <c r="A58">
        <v>32</v>
      </c>
      <c r="B58">
        <f>RADIANS(Táblázat14[[#This Row],[fok]])</f>
        <v>0.55850536063818546</v>
      </c>
      <c r="C58">
        <f ca="1">$B$1*COS(Táblázat14[[#This Row],[rad]])</f>
        <v>5.9363366730949814</v>
      </c>
      <c r="D58">
        <f ca="1">$B$1*SIN(Táblázat14[[#This Row],[rad]])</f>
        <v>3.7094348496324345</v>
      </c>
    </row>
    <row r="59" spans="1:4" x14ac:dyDescent="0.25">
      <c r="A59">
        <v>33</v>
      </c>
      <c r="B59">
        <f>RADIANS(Táblázat14[[#This Row],[fok]])</f>
        <v>0.57595865315812877</v>
      </c>
      <c r="C59">
        <f ca="1">$B$1*COS(Táblázat14[[#This Row],[rad]])</f>
        <v>5.8706939756179679</v>
      </c>
      <c r="D59">
        <f ca="1">$B$1*SIN(Táblázat14[[#This Row],[rad]])</f>
        <v>3.8124732451051897</v>
      </c>
    </row>
    <row r="60" spans="1:4" x14ac:dyDescent="0.25">
      <c r="A60">
        <v>34</v>
      </c>
      <c r="B60">
        <f>RADIANS(Táblázat14[[#This Row],[fok]])</f>
        <v>0.59341194567807209</v>
      </c>
      <c r="C60">
        <f ca="1">$B$1*COS(Táblázat14[[#This Row],[rad]])</f>
        <v>5.8032630078852918</v>
      </c>
      <c r="D60">
        <f ca="1">$B$1*SIN(Táblázat14[[#This Row],[rad]])</f>
        <v>3.9143503242952282</v>
      </c>
    </row>
    <row r="61" spans="1:4" x14ac:dyDescent="0.25">
      <c r="A61">
        <v>35</v>
      </c>
      <c r="B61">
        <f>RADIANS(Táblázat14[[#This Row],[fok]])</f>
        <v>0.6108652381980153</v>
      </c>
      <c r="C61">
        <f ca="1">$B$1*COS(Táblázat14[[#This Row],[rad]])</f>
        <v>5.7340643100229425</v>
      </c>
      <c r="D61">
        <f ca="1">$B$1*SIN(Táblázat14[[#This Row],[rad]])</f>
        <v>4.0150350544573223</v>
      </c>
    </row>
    <row r="62" spans="1:4" x14ac:dyDescent="0.25">
      <c r="A62">
        <v>36</v>
      </c>
      <c r="B62">
        <f>RADIANS(Táblázat14[[#This Row],[fok]])</f>
        <v>0.62831853071795862</v>
      </c>
      <c r="C62">
        <f ca="1">$B$1*COS(Táblázat14[[#This Row],[rad]])</f>
        <v>5.6631189606246322</v>
      </c>
      <c r="D62">
        <f ca="1">$B$1*SIN(Táblázat14[[#This Row],[rad]])</f>
        <v>4.1144967660473117</v>
      </c>
    </row>
    <row r="63" spans="1:4" x14ac:dyDescent="0.25">
      <c r="A63">
        <v>37</v>
      </c>
      <c r="B63">
        <f>RADIANS(Táblázat14[[#This Row],[fok]])</f>
        <v>0.64577182323790194</v>
      </c>
      <c r="C63">
        <f ca="1">$B$1*COS(Táblázat14[[#This Row],[rad]])</f>
        <v>5.5904485703310502</v>
      </c>
      <c r="D63">
        <f ca="1">$B$1*SIN(Táblázat14[[#This Row],[rad]])</f>
        <v>4.2127051620643376</v>
      </c>
    </row>
    <row r="64" spans="1:4" x14ac:dyDescent="0.25">
      <c r="A64">
        <v>38</v>
      </c>
      <c r="B64">
        <f>RADIANS(Táblázat14[[#This Row],[fok]])</f>
        <v>0.66322511575784526</v>
      </c>
      <c r="C64">
        <f ca="1">$B$1*COS(Táblázat14[[#This Row],[rad]])</f>
        <v>5.5160752752470534</v>
      </c>
      <c r="D64">
        <f ca="1">$B$1*SIN(Táblázat14[[#This Row],[rad]])</f>
        <v>4.3096303272796082</v>
      </c>
    </row>
    <row r="65" spans="1:4" x14ac:dyDescent="0.25">
      <c r="A65">
        <v>39</v>
      </c>
      <c r="B65">
        <f>RADIANS(Táblázat14[[#This Row],[fok]])</f>
        <v>0.68067840827778847</v>
      </c>
      <c r="C65">
        <f ca="1">$B$1*COS(Táblázat14[[#This Row],[rad]])</f>
        <v>5.4400217301987963</v>
      </c>
      <c r="D65">
        <f ca="1">$B$1*SIN(Táblázat14[[#This Row],[rad]])</f>
        <v>4.4052427373488614</v>
      </c>
    </row>
    <row r="66" spans="1:4" x14ac:dyDescent="0.25">
      <c r="A66">
        <v>40</v>
      </c>
      <c r="B66">
        <f>RADIANS(Táblázat14[[#This Row],[fok]])</f>
        <v>0.69813170079773179</v>
      </c>
      <c r="C66">
        <f ca="1">$B$1*COS(Táblázat14[[#This Row],[rad]])</f>
        <v>5.3623111018328462</v>
      </c>
      <c r="D66">
        <f ca="1">$B$1*SIN(Táblázat14[[#This Row],[rad]])</f>
        <v>4.4995132678057743</v>
      </c>
    </row>
    <row r="67" spans="1:4" x14ac:dyDescent="0.25">
      <c r="A67">
        <v>41</v>
      </c>
      <c r="B67">
        <f>RADIANS(Táblázat14[[#This Row],[fok]])</f>
        <v>0.71558499331767511</v>
      </c>
      <c r="C67">
        <f ca="1">$B$1*COS(Táblázat14[[#This Row],[rad]])</f>
        <v>5.282967061559404</v>
      </c>
      <c r="D67">
        <f ca="1">$B$1*SIN(Táblázat14[[#This Row],[rad]])</f>
        <v>4.5924132029335514</v>
      </c>
    </row>
    <row r="68" spans="1:4" x14ac:dyDescent="0.25">
      <c r="A68">
        <v>42</v>
      </c>
      <c r="B68">
        <f>RADIANS(Táblázat14[[#This Row],[fok]])</f>
        <v>0.73303828583761843</v>
      </c>
      <c r="C68">
        <f ca="1">$B$1*COS(Táblázat14[[#This Row],[rad]])</f>
        <v>5.2020137783417599</v>
      </c>
      <c r="D68">
        <f ca="1">$B$1*SIN(Táblázat14[[#This Row],[rad]])</f>
        <v>4.6839142445120077</v>
      </c>
    </row>
    <row r="69" spans="1:4" x14ac:dyDescent="0.25">
      <c r="A69">
        <v>43</v>
      </c>
      <c r="B69">
        <f>RADIANS(Táblázat14[[#This Row],[fok]])</f>
        <v>0.75049157835756175</v>
      </c>
      <c r="C69">
        <f ca="1">$B$1*COS(Táblázat14[[#This Row],[rad]])</f>
        <v>5.1194759113341934</v>
      </c>
      <c r="D69">
        <f ca="1">$B$1*SIN(Táblázat14[[#This Row],[rad]])</f>
        <v>4.7739885204374897</v>
      </c>
    </row>
    <row r="70" spans="1:4" x14ac:dyDescent="0.25">
      <c r="A70">
        <v>44</v>
      </c>
      <c r="B70">
        <f>RADIANS(Táblázat14[[#This Row],[fok]])</f>
        <v>0.76794487087750496</v>
      </c>
      <c r="C70">
        <f ca="1">$B$1*COS(Táblázat14[[#This Row],[rad]])</f>
        <v>5.0353786023705585</v>
      </c>
      <c r="D70">
        <f ca="1">$B$1*SIN(Táblázat14[[#This Row],[rad]])</f>
        <v>4.8626085932129808</v>
      </c>
    </row>
    <row r="71" spans="1:4" x14ac:dyDescent="0.25">
      <c r="A71">
        <v>45</v>
      </c>
      <c r="B71">
        <f>RADIANS(Táblázat14[[#This Row],[fok]])</f>
        <v>0.78539816339744828</v>
      </c>
      <c r="C71">
        <f ca="1">$B$1*COS(Táblázat14[[#This Row],[rad]])</f>
        <v>4.9497474683058327</v>
      </c>
      <c r="D71">
        <f ca="1">$B$1*SIN(Táblázat14[[#This Row],[rad]])</f>
        <v>4.9497474683058318</v>
      </c>
    </row>
    <row r="72" spans="1:4" x14ac:dyDescent="0.25">
      <c r="A72">
        <v>46</v>
      </c>
      <c r="B72">
        <f>RADIANS(Táblázat14[[#This Row],[fok]])</f>
        <v>0.8028514559173916</v>
      </c>
      <c r="C72">
        <f ca="1">$B$1*COS(Táblázat14[[#This Row],[rad]])</f>
        <v>4.8626085932129808</v>
      </c>
      <c r="D72">
        <f ca="1">$B$1*SIN(Táblázat14[[#This Row],[rad]])</f>
        <v>5.0353786023705576</v>
      </c>
    </row>
    <row r="73" spans="1:4" x14ac:dyDescent="0.25">
      <c r="A73">
        <v>47</v>
      </c>
      <c r="B73">
        <f>RADIANS(Táblázat14[[#This Row],[fok]])</f>
        <v>0.82030474843733492</v>
      </c>
      <c r="C73">
        <f ca="1">$B$1*COS(Táblázat14[[#This Row],[rad]])</f>
        <v>4.7739885204374897</v>
      </c>
      <c r="D73">
        <f ca="1">$B$1*SIN(Táblázat14[[#This Row],[rad]])</f>
        <v>5.1194759113341934</v>
      </c>
    </row>
    <row r="74" spans="1:4" x14ac:dyDescent="0.25">
      <c r="A74">
        <v>48</v>
      </c>
      <c r="B74">
        <f>RADIANS(Táblázat14[[#This Row],[fok]])</f>
        <v>0.83775804095727824</v>
      </c>
      <c r="C74">
        <f ca="1">$B$1*COS(Táblázat14[[#This Row],[rad]])</f>
        <v>4.6839142445120077</v>
      </c>
      <c r="D74">
        <f ca="1">$B$1*SIN(Táblázat14[[#This Row],[rad]])</f>
        <v>5.2020137783417599</v>
      </c>
    </row>
    <row r="75" spans="1:4" x14ac:dyDescent="0.25">
      <c r="A75">
        <v>49</v>
      </c>
      <c r="B75">
        <f>RADIANS(Táblázat14[[#This Row],[fok]])</f>
        <v>0.85521133347722145</v>
      </c>
      <c r="C75">
        <f ca="1">$B$1*COS(Táblázat14[[#This Row],[rad]])</f>
        <v>4.5924132029335514</v>
      </c>
      <c r="D75">
        <f ca="1">$B$1*SIN(Táblázat14[[#This Row],[rad]])</f>
        <v>5.282967061559404</v>
      </c>
    </row>
    <row r="76" spans="1:4" x14ac:dyDescent="0.25">
      <c r="A76">
        <v>50</v>
      </c>
      <c r="B76">
        <f>RADIANS(Táblázat14[[#This Row],[fok]])</f>
        <v>0.87266462599716477</v>
      </c>
      <c r="C76">
        <f ca="1">$B$1*COS(Táblázat14[[#This Row],[rad]])</f>
        <v>4.4995132678057752</v>
      </c>
      <c r="D76">
        <f ca="1">$B$1*SIN(Táblázat14[[#This Row],[rad]])</f>
        <v>5.3623111018328462</v>
      </c>
    </row>
    <row r="77" spans="1:4" x14ac:dyDescent="0.25">
      <c r="A77">
        <v>51</v>
      </c>
      <c r="B77">
        <f>RADIANS(Táblázat14[[#This Row],[fok]])</f>
        <v>0.89011791851710809</v>
      </c>
      <c r="C77">
        <f ca="1">$B$1*COS(Táblázat14[[#This Row],[rad]])</f>
        <v>4.4052427373488623</v>
      </c>
      <c r="D77">
        <f ca="1">$B$1*SIN(Táblázat14[[#This Row],[rad]])</f>
        <v>5.4400217301987963</v>
      </c>
    </row>
    <row r="78" spans="1:4" x14ac:dyDescent="0.25">
      <c r="A78">
        <v>52</v>
      </c>
      <c r="B78">
        <f>RADIANS(Táblázat14[[#This Row],[fok]])</f>
        <v>0.90757121103705141</v>
      </c>
      <c r="C78">
        <f ca="1">$B$1*COS(Táblázat14[[#This Row],[rad]])</f>
        <v>4.3096303272796082</v>
      </c>
      <c r="D78">
        <f ca="1">$B$1*SIN(Táblázat14[[#This Row],[rad]])</f>
        <v>5.5160752752470543</v>
      </c>
    </row>
    <row r="79" spans="1:4" x14ac:dyDescent="0.25">
      <c r="A79">
        <v>53</v>
      </c>
      <c r="B79">
        <f>RADIANS(Táblázat14[[#This Row],[fok]])</f>
        <v>0.92502450355699462</v>
      </c>
      <c r="C79">
        <f ca="1">$B$1*COS(Táblázat14[[#This Row],[rad]])</f>
        <v>4.2127051620643385</v>
      </c>
      <c r="D79">
        <f ca="1">$B$1*SIN(Táblázat14[[#This Row],[rad]])</f>
        <v>5.5904485703310502</v>
      </c>
    </row>
    <row r="80" spans="1:4" x14ac:dyDescent="0.25">
      <c r="A80">
        <v>54</v>
      </c>
      <c r="B80">
        <f>RADIANS(Táblázat14[[#This Row],[fok]])</f>
        <v>0.94247779607693793</v>
      </c>
      <c r="C80">
        <f ca="1">$B$1*COS(Táblázat14[[#This Row],[rad]])</f>
        <v>4.1144967660473117</v>
      </c>
      <c r="D80">
        <f ca="1">$B$1*SIN(Táblázat14[[#This Row],[rad]])</f>
        <v>5.6631189606246322</v>
      </c>
    </row>
    <row r="81" spans="1:4" x14ac:dyDescent="0.25">
      <c r="A81">
        <v>55</v>
      </c>
      <c r="B81">
        <f>RADIANS(Táblázat14[[#This Row],[fok]])</f>
        <v>0.95993108859688125</v>
      </c>
      <c r="C81">
        <f ca="1">$B$1*COS(Táblázat14[[#This Row],[rad]])</f>
        <v>4.0150350544573232</v>
      </c>
      <c r="D81">
        <f ca="1">$B$1*SIN(Táblázat14[[#This Row],[rad]])</f>
        <v>5.7340643100229425</v>
      </c>
    </row>
    <row r="82" spans="1:4" x14ac:dyDescent="0.25">
      <c r="A82">
        <v>56</v>
      </c>
      <c r="B82">
        <f>RADIANS(Táblázat14[[#This Row],[fok]])</f>
        <v>0.97738438111682457</v>
      </c>
      <c r="C82">
        <f ca="1">$B$1*COS(Táblázat14[[#This Row],[rad]])</f>
        <v>3.9143503242952278</v>
      </c>
      <c r="D82">
        <f ca="1">$B$1*SIN(Táblázat14[[#This Row],[rad]])</f>
        <v>5.8032630078852918</v>
      </c>
    </row>
    <row r="83" spans="1:4" x14ac:dyDescent="0.25">
      <c r="A83">
        <v>57</v>
      </c>
      <c r="B83">
        <f>RADIANS(Táblázat14[[#This Row],[fok]])</f>
        <v>0.99483767363676789</v>
      </c>
      <c r="C83">
        <f ca="1">$B$1*COS(Táblázat14[[#This Row],[rad]])</f>
        <v>3.8124732451051897</v>
      </c>
      <c r="D83">
        <f ca="1">$B$1*SIN(Táblázat14[[#This Row],[rad]])</f>
        <v>5.8706939756179679</v>
      </c>
    </row>
    <row r="84" spans="1:4" x14ac:dyDescent="0.25">
      <c r="A84">
        <v>58</v>
      </c>
      <c r="B84">
        <f>RADIANS(Táblázat14[[#This Row],[fok]])</f>
        <v>1.0122909661567112</v>
      </c>
      <c r="C84">
        <f ca="1">$B$1*COS(Táblázat14[[#This Row],[rad]])</f>
        <v>3.7094348496324345</v>
      </c>
      <c r="D84">
        <f ca="1">$B$1*SIN(Táblázat14[[#This Row],[rad]])</f>
        <v>5.9363366730949814</v>
      </c>
    </row>
    <row r="85" spans="1:4" x14ac:dyDescent="0.25">
      <c r="A85">
        <v>59</v>
      </c>
      <c r="B85">
        <f>RADIANS(Táblázat14[[#This Row],[fok]])</f>
        <v>1.0297442586766545</v>
      </c>
      <c r="C85">
        <f ca="1">$B$1*COS(Táblázat14[[#This Row],[rad]])</f>
        <v>3.605266524370379</v>
      </c>
      <c r="D85">
        <f ca="1">$B$1*SIN(Táblázat14[[#This Row],[rad]])</f>
        <v>6.0001711049147861</v>
      </c>
    </row>
    <row r="86" spans="1:4" x14ac:dyDescent="0.25">
      <c r="A86">
        <v>60</v>
      </c>
      <c r="B86">
        <f>RADIANS(Táblázat14[[#This Row],[fok]])</f>
        <v>1.0471975511965976</v>
      </c>
      <c r="C86">
        <f ca="1">$B$1*COS(Táblázat14[[#This Row],[rad]])</f>
        <v>3.5000000000000009</v>
      </c>
      <c r="D86">
        <f ca="1">$B$1*SIN(Táblázat14[[#This Row],[rad]])</f>
        <v>6.0621778264910704</v>
      </c>
    </row>
    <row r="87" spans="1:4" x14ac:dyDescent="0.25">
      <c r="A87">
        <v>61</v>
      </c>
      <c r="B87">
        <f>RADIANS(Táblázat14[[#This Row],[fok]])</f>
        <v>1.064650843716541</v>
      </c>
      <c r="C87">
        <f ca="1">$B$1*COS(Táblázat14[[#This Row],[rad]])</f>
        <v>3.3936673417243597</v>
      </c>
      <c r="D87">
        <f ca="1">$B$1*SIN(Táblázat14[[#This Row],[rad]])</f>
        <v>6.12233794997577</v>
      </c>
    </row>
    <row r="88" spans="1:4" x14ac:dyDescent="0.25">
      <c r="A88">
        <v>62</v>
      </c>
      <c r="B88">
        <f>RADIANS(Táblázat14[[#This Row],[fok]])</f>
        <v>1.0821041362364843</v>
      </c>
      <c r="C88">
        <f ca="1">$B$1*COS(Táblázat14[[#This Row],[rad]])</f>
        <v>3.2863009395012361</v>
      </c>
      <c r="D88">
        <f ca="1">$B$1*SIN(Táblázat14[[#This Row],[rad]])</f>
        <v>6.180633150012488</v>
      </c>
    </row>
    <row r="89" spans="1:4" x14ac:dyDescent="0.25">
      <c r="A89">
        <v>63</v>
      </c>
      <c r="B89">
        <f>RADIANS(Táblázat14[[#This Row],[fok]])</f>
        <v>1.0995574287564276</v>
      </c>
      <c r="C89">
        <f ca="1">$B$1*COS(Táblázat14[[#This Row],[rad]])</f>
        <v>3.1779334981768277</v>
      </c>
      <c r="D89">
        <f ca="1">$B$1*SIN(Táblázat14[[#This Row],[rad]])</f>
        <v>6.2370456693185741</v>
      </c>
    </row>
    <row r="90" spans="1:4" x14ac:dyDescent="0.25">
      <c r="A90">
        <v>64</v>
      </c>
      <c r="B90">
        <f>RADIANS(Táblázat14[[#This Row],[fok]])</f>
        <v>1.1170107212763709</v>
      </c>
      <c r="C90">
        <f ca="1">$B$1*COS(Táblázat14[[#This Row],[rad]])</f>
        <v>3.0685980275235423</v>
      </c>
      <c r="D90">
        <f ca="1">$B$1*SIN(Táblázat14[[#This Row],[rad]])</f>
        <v>6.2915583240941695</v>
      </c>
    </row>
    <row r="91" spans="1:4" x14ac:dyDescent="0.25">
      <c r="A91">
        <v>65</v>
      </c>
      <c r="B91">
        <f>RADIANS(Táblázat14[[#This Row],[fok]])</f>
        <v>1.1344640137963142</v>
      </c>
      <c r="C91">
        <f ca="1">$B$1*COS(Táblázat14[[#This Row],[rad]])</f>
        <v>2.9583278321848963</v>
      </c>
      <c r="D91">
        <f ca="1">$B$1*SIN(Táblázat14[[#This Row],[rad]])</f>
        <v>6.3441545092565494</v>
      </c>
    </row>
    <row r="92" spans="1:4" x14ac:dyDescent="0.25">
      <c r="A92">
        <v>66</v>
      </c>
      <c r="B92">
        <f>RADIANS(Táblázat14[[#This Row],[fok]])</f>
        <v>1.1519173063162575</v>
      </c>
      <c r="C92">
        <f ca="1">$B$1*COS(Táblázat14[[#This Row],[rad]])</f>
        <v>2.8471565015306015</v>
      </c>
      <c r="D92">
        <f ca="1">$B$1*SIN(Táblázat14[[#This Row],[rad]])</f>
        <v>6.3948182034982057</v>
      </c>
    </row>
    <row r="93" spans="1:4" x14ac:dyDescent="0.25">
      <c r="A93">
        <v>67</v>
      </c>
      <c r="B93">
        <f>RADIANS(Táblázat14[[#This Row],[fok]])</f>
        <v>1.1693705988362009</v>
      </c>
      <c r="C93">
        <f ca="1">$B$1*COS(Táblázat14[[#This Row],[rad]])</f>
        <v>2.7351178994249161</v>
      </c>
      <c r="D93">
        <f ca="1">$B$1*SIN(Táblázat14[[#This Row],[rad]])</f>
        <v>6.4435339741670825</v>
      </c>
    </row>
    <row r="94" spans="1:4" x14ac:dyDescent="0.25">
      <c r="A94">
        <v>68</v>
      </c>
      <c r="B94">
        <f>RADIANS(Táblázat14[[#This Row],[fok]])</f>
        <v>1.1868238913561442</v>
      </c>
      <c r="C94">
        <f ca="1">$B$1*COS(Táblázat14[[#This Row],[rad]])</f>
        <v>2.6222461539113837</v>
      </c>
      <c r="D94">
        <f ca="1">$B$1*SIN(Táblázat14[[#This Row],[rad]])</f>
        <v>6.490286981967512</v>
      </c>
    </row>
    <row r="95" spans="1:4" x14ac:dyDescent="0.25">
      <c r="A95">
        <v>69</v>
      </c>
      <c r="B95">
        <f>RADIANS(Táblázat14[[#This Row],[fok]])</f>
        <v>1.2042771838760873</v>
      </c>
      <c r="C95">
        <f ca="1">$B$1*COS(Táblázat14[[#This Row],[rad]])</f>
        <v>2.5085756468171025</v>
      </c>
      <c r="D95">
        <f ca="1">$B$1*SIN(Táblázat14[[#This Row],[rad]])</f>
        <v>6.5350629854804119</v>
      </c>
    </row>
    <row r="96" spans="1:4" x14ac:dyDescent="0.25">
      <c r="A96">
        <v>70</v>
      </c>
      <c r="B96">
        <f>RADIANS(Táblázat14[[#This Row],[fok]])</f>
        <v>1.2217304763960306</v>
      </c>
      <c r="C96">
        <f ca="1">$B$1*COS(Táblázat14[[#This Row],[rad]])</f>
        <v>2.3941410032796817</v>
      </c>
      <c r="D96">
        <f ca="1">$B$1*SIN(Táblázat14[[#This Row],[rad]])</f>
        <v>6.5778483455013586</v>
      </c>
    </row>
    <row r="97" spans="1:4" x14ac:dyDescent="0.25">
      <c r="A97">
        <v>71</v>
      </c>
      <c r="B97">
        <f>RADIANS(Táblázat14[[#This Row],[fok]])</f>
        <v>1.2391837689159739</v>
      </c>
      <c r="C97">
        <f ca="1">$B$1*COS(Táblázat14[[#This Row],[rad]])</f>
        <v>2.2789770812000971</v>
      </c>
      <c r="D97">
        <f ca="1">$B$1*SIN(Táblázat14[[#This Row],[rad]])</f>
        <v>6.6186300291952174</v>
      </c>
    </row>
    <row r="98" spans="1:4" x14ac:dyDescent="0.25">
      <c r="A98">
        <v>72</v>
      </c>
      <c r="B98">
        <f>RADIANS(Táblázat14[[#This Row],[fok]])</f>
        <v>1.2566370614359172</v>
      </c>
      <c r="C98">
        <f ca="1">$B$1*COS(Táblázat14[[#This Row],[rad]])</f>
        <v>2.1631189606246322</v>
      </c>
      <c r="D98">
        <f ca="1">$B$1*SIN(Táblázat14[[#This Row],[rad]])</f>
        <v>6.6573956140660746</v>
      </c>
    </row>
    <row r="99" spans="1:4" x14ac:dyDescent="0.25">
      <c r="A99">
        <v>73</v>
      </c>
      <c r="B99">
        <f>RADIANS(Táblázat14[[#This Row],[fok]])</f>
        <v>1.2740903539558606</v>
      </c>
      <c r="C99">
        <f ca="1">$B$1*COS(Táblázat14[[#This Row],[rad]])</f>
        <v>2.0466019330591574</v>
      </c>
      <c r="D99">
        <f ca="1">$B$1*SIN(Táblázat14[[#This Row],[rad]])</f>
        <v>6.6941332917412479</v>
      </c>
    </row>
    <row r="100" spans="1:4" x14ac:dyDescent="0.25">
      <c r="A100">
        <v>74</v>
      </c>
      <c r="B100">
        <f>RADIANS(Táblázat14[[#This Row],[fok]])</f>
        <v>1.2915436464758039</v>
      </c>
      <c r="C100">
        <f ca="1">$B$1*COS(Táblázat14[[#This Row],[rad]])</f>
        <v>1.9294614907189942</v>
      </c>
      <c r="D100">
        <f ca="1">$B$1*SIN(Táblázat14[[#This Row],[rad]])</f>
        <v>6.7288318715682323</v>
      </c>
    </row>
    <row r="101" spans="1:4" x14ac:dyDescent="0.25">
      <c r="A101">
        <v>75</v>
      </c>
      <c r="B101">
        <f>RADIANS(Táblázat14[[#This Row],[fok]])</f>
        <v>1.3089969389957472</v>
      </c>
      <c r="C101">
        <f ca="1">$B$1*COS(Táblázat14[[#This Row],[rad]])</f>
        <v>1.8117333157176452</v>
      </c>
      <c r="D101">
        <f ca="1">$B$1*SIN(Táblázat14[[#This Row],[rad]])</f>
        <v>6.7614807840234779</v>
      </c>
    </row>
    <row r="102" spans="1:4" x14ac:dyDescent="0.25">
      <c r="A102">
        <v>76</v>
      </c>
      <c r="B102">
        <f>RADIANS(Táblázat14[[#This Row],[fok]])</f>
        <v>1.3264502315156905</v>
      </c>
      <c r="C102">
        <f ca="1">$B$1*COS(Táblázat14[[#This Row],[rad]])</f>
        <v>1.6934532691976738</v>
      </c>
      <c r="D102">
        <f ca="1">$B$1*SIN(Táblázat14[[#This Row],[rad]])</f>
        <v>6.792070083931975</v>
      </c>
    </row>
    <row r="103" spans="1:4" x14ac:dyDescent="0.25">
      <c r="A103">
        <v>77</v>
      </c>
      <c r="B103">
        <f>RADIANS(Táblázat14[[#This Row],[fok]])</f>
        <v>1.3439035240356338</v>
      </c>
      <c r="C103">
        <f ca="1">$B$1*COS(Táblázat14[[#This Row],[rad]])</f>
        <v>1.5746573804070545</v>
      </c>
      <c r="D103">
        <f ca="1">$B$1*SIN(Táblázat14[[#This Row],[rad]])</f>
        <v>6.8205904534966466</v>
      </c>
    </row>
    <row r="104" spans="1:4" x14ac:dyDescent="0.25">
      <c r="A104">
        <v>78</v>
      </c>
      <c r="B104">
        <f>RADIANS(Táblázat14[[#This Row],[fok]])</f>
        <v>1.3613568165555769</v>
      </c>
      <c r="C104">
        <f ca="1">$B$1*COS(Táblázat14[[#This Row],[rad]])</f>
        <v>1.4553818357243162</v>
      </c>
      <c r="D104">
        <f ca="1">$B$1*SIN(Táblázat14[[#This Row],[rad]])</f>
        <v>6.8470332051366389</v>
      </c>
    </row>
    <row r="105" spans="1:4" x14ac:dyDescent="0.25">
      <c r="A105">
        <v>79</v>
      </c>
      <c r="B105">
        <f>RADIANS(Táblázat14[[#This Row],[fok]])</f>
        <v>1.3788101090755203</v>
      </c>
      <c r="C105">
        <f ca="1">$B$1*COS(Táblázat14[[#This Row],[rad]])</f>
        <v>1.3356629676358145</v>
      </c>
      <c r="D105">
        <f ca="1">$B$1*SIN(Táblázat14[[#This Row],[rad]])</f>
        <v>6.8713902841336481</v>
      </c>
    </row>
    <row r="106" spans="1:4" x14ac:dyDescent="0.25">
      <c r="A106">
        <v>80</v>
      </c>
      <c r="B106">
        <f>RADIANS(Táblázat14[[#This Row],[fok]])</f>
        <v>1.3962634015954636</v>
      </c>
      <c r="C106">
        <f ca="1">$B$1*COS(Táblázat14[[#This Row],[rad]])</f>
        <v>1.2155372436685128</v>
      </c>
      <c r="D106">
        <f ca="1">$B$1*SIN(Táblázat14[[#This Row],[rad]])</f>
        <v>6.893654271085456</v>
      </c>
    </row>
    <row r="107" spans="1:4" x14ac:dyDescent="0.25">
      <c r="A107">
        <v>81</v>
      </c>
      <c r="B107">
        <f>RADIANS(Táblázat14[[#This Row],[fok]])</f>
        <v>1.4137166941154069</v>
      </c>
      <c r="C107">
        <f ca="1">$B$1*COS(Táblázat14[[#This Row],[rad]])</f>
        <v>1.0950412552816164</v>
      </c>
      <c r="D107">
        <f ca="1">$B$1*SIN(Táblázat14[[#This Row],[rad]])</f>
        <v>6.9138183841659639</v>
      </c>
    </row>
    <row r="108" spans="1:4" x14ac:dyDescent="0.25">
      <c r="A108">
        <v>82</v>
      </c>
      <c r="B108">
        <f>RADIANS(Táblázat14[[#This Row],[fok]])</f>
        <v>1.4311699866353502</v>
      </c>
      <c r="C108">
        <f ca="1">$B$1*COS(Táblázat14[[#This Row],[rad]])</f>
        <v>0.97421170672045831</v>
      </c>
      <c r="D108">
        <f ca="1">$B$1*SIN(Táblázat14[[#This Row],[rad]])</f>
        <v>6.9318764811909928</v>
      </c>
    </row>
    <row r="109" spans="1:4" x14ac:dyDescent="0.25">
      <c r="A109">
        <v>83</v>
      </c>
      <c r="B109">
        <f>RADIANS(Táblázat14[[#This Row],[fok]])</f>
        <v>1.4486232791552935</v>
      </c>
      <c r="C109">
        <f ca="1">$B$1*COS(Táblázat14[[#This Row],[rad]])</f>
        <v>0.85308540383603249</v>
      </c>
      <c r="D109">
        <f ca="1">$B$1*SIN(Táblázat14[[#This Row],[rad]])</f>
        <v>6.9478230614892542</v>
      </c>
    </row>
    <row r="110" spans="1:4" x14ac:dyDescent="0.25">
      <c r="A110">
        <v>84</v>
      </c>
      <c r="B110">
        <f>RADIANS(Táblázat14[[#This Row],[fok]])</f>
        <v>1.4660765716752369</v>
      </c>
      <c r="C110">
        <f ca="1">$B$1*COS(Táblázat14[[#This Row],[rad]])</f>
        <v>0.73169924287357424</v>
      </c>
      <c r="D110">
        <f ca="1">$B$1*SIN(Táblázat14[[#This Row],[rad]])</f>
        <v>6.9616532675779128</v>
      </c>
    </row>
    <row r="111" spans="1:4" x14ac:dyDescent="0.25">
      <c r="A111">
        <v>85</v>
      </c>
      <c r="B111">
        <f>RADIANS(Táblázat14[[#This Row],[fok]])</f>
        <v>1.4835298641951802</v>
      </c>
      <c r="C111">
        <f ca="1">$B$1*COS(Táblázat14[[#This Row],[rad]])</f>
        <v>0.61009019923360697</v>
      </c>
      <c r="D111">
        <f ca="1">$B$1*SIN(Táblázat14[[#This Row],[rad]])</f>
        <v>6.973362886642219</v>
      </c>
    </row>
    <row r="112" spans="1:4" x14ac:dyDescent="0.25">
      <c r="A112">
        <v>86</v>
      </c>
      <c r="B112">
        <f>RADIANS(Táblázat14[[#This Row],[fok]])</f>
        <v>1.5009831567151235</v>
      </c>
      <c r="C112">
        <f ca="1">$B$1*COS(Táblázat14[[#This Row],[rad]])</f>
        <v>0.48829531620887662</v>
      </c>
      <c r="D112">
        <f ca="1">$B$1*SIN(Táblázat14[[#This Row],[rad]])</f>
        <v>6.9829483518187692</v>
      </c>
    </row>
    <row r="113" spans="1:4" x14ac:dyDescent="0.25">
      <c r="A113">
        <v>87</v>
      </c>
      <c r="B113">
        <f>RADIANS(Táblázat14[[#This Row],[fok]])</f>
        <v>1.5184364492350666</v>
      </c>
      <c r="C113">
        <f ca="1">$B$1*COS(Táblázat14[[#This Row],[rad]])</f>
        <v>0.36635169370060777</v>
      </c>
      <c r="D113">
        <f ca="1">$B$1*SIN(Táblázat14[[#This Row],[rad]])</f>
        <v>6.9904067432820165</v>
      </c>
    </row>
    <row r="114" spans="1:4" x14ac:dyDescent="0.25">
      <c r="A114">
        <v>88</v>
      </c>
      <c r="B114">
        <f>RADIANS(Táblázat14[[#This Row],[fok]])</f>
        <v>1.5358897417550099</v>
      </c>
      <c r="C114">
        <f ca="1">$B$1*COS(Táblázat14[[#This Row],[rad]])</f>
        <v>0.24429647691750755</v>
      </c>
      <c r="D114">
        <f ca="1">$B$1*SIN(Táblázat14[[#This Row],[rad]])</f>
        <v>6.9957357891336702</v>
      </c>
    </row>
    <row r="115" spans="1:4" x14ac:dyDescent="0.25">
      <c r="A115">
        <v>89</v>
      </c>
      <c r="B115">
        <f>RADIANS(Táblázat14[[#This Row],[fok]])</f>
        <v>1.5533430342749532</v>
      </c>
      <c r="C115">
        <f ca="1">$B$1*COS(Táblázat14[[#This Row],[rad]])</f>
        <v>0.12216684506098519</v>
      </c>
      <c r="D115">
        <f ca="1">$B$1*SIN(Táblázat14[[#This Row],[rad]])</f>
        <v>6.9989338660947391</v>
      </c>
    </row>
    <row r="116" spans="1:4" x14ac:dyDescent="0.25">
      <c r="A116">
        <v>90</v>
      </c>
      <c r="B116">
        <f>RADIANS(Táblázat14[[#This Row],[fok]])</f>
        <v>1.5707963267948966</v>
      </c>
      <c r="C116">
        <f ca="1">$B$1*COS(Táblázat14[[#This Row],[rad]])</f>
        <v>4.28801959218017E-16</v>
      </c>
      <c r="D116">
        <f ca="1">$B$1*SIN(Táblázat14[[#This Row],[rad]])</f>
        <v>7</v>
      </c>
    </row>
    <row r="117" spans="1:4" x14ac:dyDescent="0.25">
      <c r="A117">
        <v>91</v>
      </c>
      <c r="B117">
        <f>RADIANS(Táblázat14[[#This Row],[fok]])</f>
        <v>1.5882496193148399</v>
      </c>
      <c r="C117">
        <f ca="1">$B$1*COS(Táblázat14[[#This Row],[rad]])</f>
        <v>-0.12216684506098434</v>
      </c>
      <c r="D117">
        <f ca="1">$B$1*SIN(Táblázat14[[#This Row],[rad]])</f>
        <v>6.9989338660947391</v>
      </c>
    </row>
    <row r="118" spans="1:4" x14ac:dyDescent="0.25">
      <c r="A118">
        <v>92</v>
      </c>
      <c r="B118">
        <f>RADIANS(Táblázat14[[#This Row],[fok]])</f>
        <v>1.6057029118347832</v>
      </c>
      <c r="C118">
        <f ca="1">$B$1*COS(Táblázat14[[#This Row],[rad]])</f>
        <v>-0.24429647691750669</v>
      </c>
      <c r="D118">
        <f ca="1">$B$1*SIN(Táblázat14[[#This Row],[rad]])</f>
        <v>6.9957357891336702</v>
      </c>
    </row>
    <row r="119" spans="1:4" x14ac:dyDescent="0.25">
      <c r="A119">
        <v>93</v>
      </c>
      <c r="B119">
        <f>RADIANS(Táblázat14[[#This Row],[fok]])</f>
        <v>1.6231562043547265</v>
      </c>
      <c r="C119">
        <f ca="1">$B$1*COS(Táblázat14[[#This Row],[rad]])</f>
        <v>-0.36635169370060688</v>
      </c>
      <c r="D119">
        <f ca="1">$B$1*SIN(Táblázat14[[#This Row],[rad]])</f>
        <v>6.9904067432820165</v>
      </c>
    </row>
    <row r="120" spans="1:4" x14ac:dyDescent="0.25">
      <c r="A120">
        <v>94</v>
      </c>
      <c r="B120">
        <f>RADIANS(Táblázat14[[#This Row],[fok]])</f>
        <v>1.6406094968746698</v>
      </c>
      <c r="C120">
        <f ca="1">$B$1*COS(Táblázat14[[#This Row],[rad]])</f>
        <v>-0.48829531620887734</v>
      </c>
      <c r="D120">
        <f ca="1">$B$1*SIN(Táblázat14[[#This Row],[rad]])</f>
        <v>6.9829483518187692</v>
      </c>
    </row>
    <row r="121" spans="1:4" x14ac:dyDescent="0.25">
      <c r="A121">
        <v>95</v>
      </c>
      <c r="B121">
        <f>RADIANS(Táblázat14[[#This Row],[fok]])</f>
        <v>1.6580627893946132</v>
      </c>
      <c r="C121">
        <f ca="1">$B$1*COS(Táblázat14[[#This Row],[rad]])</f>
        <v>-0.61009019923360763</v>
      </c>
      <c r="D121">
        <f ca="1">$B$1*SIN(Táblázat14[[#This Row],[rad]])</f>
        <v>6.973362886642219</v>
      </c>
    </row>
    <row r="122" spans="1:4" x14ac:dyDescent="0.25">
      <c r="A122">
        <v>96</v>
      </c>
      <c r="B122">
        <f>RADIANS(Táblázat14[[#This Row],[fok]])</f>
        <v>1.6755160819145565</v>
      </c>
      <c r="C122">
        <f ca="1">$B$1*COS(Táblázat14[[#This Row],[rad]])</f>
        <v>-0.73169924287357491</v>
      </c>
      <c r="D122">
        <f ca="1">$B$1*SIN(Táblázat14[[#This Row],[rad]])</f>
        <v>6.9616532675779128</v>
      </c>
    </row>
    <row r="123" spans="1:4" x14ac:dyDescent="0.25">
      <c r="A123">
        <v>97</v>
      </c>
      <c r="B123">
        <f>RADIANS(Táblázat14[[#This Row],[fok]])</f>
        <v>1.6929693744344996</v>
      </c>
      <c r="C123">
        <f ca="1">$B$1*COS(Táblázat14[[#This Row],[rad]])</f>
        <v>-0.8530854038360316</v>
      </c>
      <c r="D123">
        <f ca="1">$B$1*SIN(Táblázat14[[#This Row],[rad]])</f>
        <v>6.9478230614892542</v>
      </c>
    </row>
    <row r="124" spans="1:4" x14ac:dyDescent="0.25">
      <c r="A124">
        <v>98</v>
      </c>
      <c r="B124">
        <f>RADIANS(Táblázat14[[#This Row],[fok]])</f>
        <v>1.7104226669544429</v>
      </c>
      <c r="C124">
        <f ca="1">$B$1*COS(Táblázat14[[#This Row],[rad]])</f>
        <v>-0.97421170672045743</v>
      </c>
      <c r="D124">
        <f ca="1">$B$1*SIN(Táblázat14[[#This Row],[rad]])</f>
        <v>6.9318764811909928</v>
      </c>
    </row>
    <row r="125" spans="1:4" x14ac:dyDescent="0.25">
      <c r="A125">
        <v>99</v>
      </c>
      <c r="B125">
        <f>RADIANS(Táblázat14[[#This Row],[fok]])</f>
        <v>1.7278759594743862</v>
      </c>
      <c r="C125">
        <f ca="1">$B$1*COS(Táblázat14[[#This Row],[rad]])</f>
        <v>-1.0950412552816158</v>
      </c>
      <c r="D125">
        <f ca="1">$B$1*SIN(Táblázat14[[#This Row],[rad]])</f>
        <v>6.9138183841659639</v>
      </c>
    </row>
    <row r="126" spans="1:4" x14ac:dyDescent="0.25">
      <c r="A126">
        <v>100</v>
      </c>
      <c r="B126">
        <f>RADIANS(Táblázat14[[#This Row],[fok]])</f>
        <v>1.7453292519943295</v>
      </c>
      <c r="C126">
        <f ca="1">$B$1*COS(Táblázat14[[#This Row],[rad]])</f>
        <v>-1.2155372436685121</v>
      </c>
      <c r="D126">
        <f ca="1">$B$1*SIN(Táblázat14[[#This Row],[rad]])</f>
        <v>6.893654271085456</v>
      </c>
    </row>
    <row r="127" spans="1:4" x14ac:dyDescent="0.25">
      <c r="A127">
        <v>101</v>
      </c>
      <c r="B127">
        <f>RADIANS(Táblázat14[[#This Row],[fok]])</f>
        <v>1.7627825445142729</v>
      </c>
      <c r="C127">
        <f ca="1">$B$1*COS(Táblázat14[[#This Row],[rad]])</f>
        <v>-1.3356629676358136</v>
      </c>
      <c r="D127">
        <f ca="1">$B$1*SIN(Táblázat14[[#This Row],[rad]])</f>
        <v>6.8713902841336481</v>
      </c>
    </row>
    <row r="128" spans="1:4" x14ac:dyDescent="0.25">
      <c r="A128">
        <v>102</v>
      </c>
      <c r="B128">
        <f>RADIANS(Táblázat14[[#This Row],[fok]])</f>
        <v>1.7802358370342162</v>
      </c>
      <c r="C128">
        <f ca="1">$B$1*COS(Táblázat14[[#This Row],[rad]])</f>
        <v>-1.4553818357243153</v>
      </c>
      <c r="D128">
        <f ca="1">$B$1*SIN(Táblázat14[[#This Row],[rad]])</f>
        <v>6.8470332051366398</v>
      </c>
    </row>
    <row r="129" spans="1:4" x14ac:dyDescent="0.25">
      <c r="A129">
        <v>103</v>
      </c>
      <c r="B129">
        <f>RADIANS(Táblázat14[[#This Row],[fok]])</f>
        <v>1.7976891295541595</v>
      </c>
      <c r="C129">
        <f ca="1">$B$1*COS(Táblázat14[[#This Row],[rad]])</f>
        <v>-1.5746573804070552</v>
      </c>
      <c r="D129">
        <f ca="1">$B$1*SIN(Táblázat14[[#This Row],[rad]])</f>
        <v>6.8205904534966466</v>
      </c>
    </row>
    <row r="130" spans="1:4" x14ac:dyDescent="0.25">
      <c r="A130">
        <v>104</v>
      </c>
      <c r="B130">
        <f>RADIANS(Táblázat14[[#This Row],[fok]])</f>
        <v>1.8151424220741028</v>
      </c>
      <c r="C130">
        <f ca="1">$B$1*COS(Táblázat14[[#This Row],[rad]])</f>
        <v>-1.6934532691976745</v>
      </c>
      <c r="D130">
        <f ca="1">$B$1*SIN(Táblázat14[[#This Row],[rad]])</f>
        <v>6.792070083931975</v>
      </c>
    </row>
    <row r="131" spans="1:4" x14ac:dyDescent="0.25">
      <c r="A131">
        <v>105</v>
      </c>
      <c r="B131">
        <f>RADIANS(Táblázat14[[#This Row],[fok]])</f>
        <v>1.8325957145940461</v>
      </c>
      <c r="C131">
        <f ca="1">$B$1*COS(Táblázat14[[#This Row],[rad]])</f>
        <v>-1.8117333157176461</v>
      </c>
      <c r="D131">
        <f ca="1">$B$1*SIN(Táblázat14[[#This Row],[rad]])</f>
        <v>6.7614807840234779</v>
      </c>
    </row>
    <row r="132" spans="1:4" x14ac:dyDescent="0.25">
      <c r="A132">
        <v>106</v>
      </c>
      <c r="B132">
        <f>RADIANS(Táblázat14[[#This Row],[fok]])</f>
        <v>1.8500490071139892</v>
      </c>
      <c r="C132">
        <f ca="1">$B$1*COS(Táblázat14[[#This Row],[rad]])</f>
        <v>-1.9294614907189933</v>
      </c>
      <c r="D132">
        <f ca="1">$B$1*SIN(Táblázat14[[#This Row],[rad]])</f>
        <v>6.7288318715682323</v>
      </c>
    </row>
    <row r="133" spans="1:4" x14ac:dyDescent="0.25">
      <c r="A133">
        <v>107</v>
      </c>
      <c r="B133">
        <f>RADIANS(Táblázat14[[#This Row],[fok]])</f>
        <v>1.8675022996339325</v>
      </c>
      <c r="C133">
        <f ca="1">$B$1*COS(Táblázat14[[#This Row],[rad]])</f>
        <v>-2.0466019330591565</v>
      </c>
      <c r="D133">
        <f ca="1">$B$1*SIN(Táblázat14[[#This Row],[rad]])</f>
        <v>6.6941332917412488</v>
      </c>
    </row>
    <row r="134" spans="1:4" x14ac:dyDescent="0.25">
      <c r="A134">
        <v>108</v>
      </c>
      <c r="B134">
        <f>RADIANS(Táblázat14[[#This Row],[fok]])</f>
        <v>1.8849555921538759</v>
      </c>
      <c r="C134">
        <f ca="1">$B$1*COS(Táblázat14[[#This Row],[rad]])</f>
        <v>-2.1631189606246313</v>
      </c>
      <c r="D134">
        <f ca="1">$B$1*SIN(Táblázat14[[#This Row],[rad]])</f>
        <v>6.6573956140660755</v>
      </c>
    </row>
    <row r="135" spans="1:4" x14ac:dyDescent="0.25">
      <c r="A135">
        <v>109</v>
      </c>
      <c r="B135">
        <f>RADIANS(Táblázat14[[#This Row],[fok]])</f>
        <v>1.9024088846738192</v>
      </c>
      <c r="C135">
        <f ca="1">$B$1*COS(Táblázat14[[#This Row],[rad]])</f>
        <v>-2.2789770812000967</v>
      </c>
      <c r="D135">
        <f ca="1">$B$1*SIN(Táblázat14[[#This Row],[rad]])</f>
        <v>6.6186300291952183</v>
      </c>
    </row>
    <row r="136" spans="1:4" x14ac:dyDescent="0.25">
      <c r="A136">
        <v>110</v>
      </c>
      <c r="B136">
        <f>RADIANS(Táblázat14[[#This Row],[fok]])</f>
        <v>1.9198621771937625</v>
      </c>
      <c r="C136">
        <f ca="1">$B$1*COS(Táblázat14[[#This Row],[rad]])</f>
        <v>-2.3941410032796808</v>
      </c>
      <c r="D136">
        <f ca="1">$B$1*SIN(Táblázat14[[#This Row],[rad]])</f>
        <v>6.5778483455013586</v>
      </c>
    </row>
    <row r="137" spans="1:4" x14ac:dyDescent="0.25">
      <c r="A137">
        <v>111</v>
      </c>
      <c r="B137">
        <f>RADIANS(Táblázat14[[#This Row],[fok]])</f>
        <v>1.9373154697137058</v>
      </c>
      <c r="C137">
        <f ca="1">$B$1*COS(Táblázat14[[#This Row],[rad]])</f>
        <v>-2.5085756468171017</v>
      </c>
      <c r="D137">
        <f ca="1">$B$1*SIN(Táblázat14[[#This Row],[rad]])</f>
        <v>6.5350629854804119</v>
      </c>
    </row>
    <row r="138" spans="1:4" x14ac:dyDescent="0.25">
      <c r="A138">
        <v>112</v>
      </c>
      <c r="B138">
        <f>RADIANS(Táblázat14[[#This Row],[fok]])</f>
        <v>1.9547687622336491</v>
      </c>
      <c r="C138">
        <f ca="1">$B$1*COS(Táblázat14[[#This Row],[rad]])</f>
        <v>-2.6222461539113846</v>
      </c>
      <c r="D138">
        <f ca="1">$B$1*SIN(Táblázat14[[#This Row],[rad]])</f>
        <v>6.490286981967512</v>
      </c>
    </row>
    <row r="139" spans="1:4" x14ac:dyDescent="0.25">
      <c r="A139">
        <v>113</v>
      </c>
      <c r="B139">
        <f>RADIANS(Táblázat14[[#This Row],[fok]])</f>
        <v>1.9722220547535925</v>
      </c>
      <c r="C139">
        <f ca="1">$B$1*COS(Táblázat14[[#This Row],[rad]])</f>
        <v>-2.7351178994249166</v>
      </c>
      <c r="D139">
        <f ca="1">$B$1*SIN(Táblázat14[[#This Row],[rad]])</f>
        <v>6.4435339741670816</v>
      </c>
    </row>
    <row r="140" spans="1:4" x14ac:dyDescent="0.25">
      <c r="A140">
        <v>114</v>
      </c>
      <c r="B140">
        <f>RADIANS(Táblázat14[[#This Row],[fok]])</f>
        <v>1.9896753472735358</v>
      </c>
      <c r="C140">
        <f ca="1">$B$1*COS(Táblázat14[[#This Row],[rad]])</f>
        <v>-2.847156501530602</v>
      </c>
      <c r="D140">
        <f ca="1">$B$1*SIN(Táblázat14[[#This Row],[rad]])</f>
        <v>6.3948182034982057</v>
      </c>
    </row>
    <row r="141" spans="1:4" x14ac:dyDescent="0.25">
      <c r="A141">
        <v>115</v>
      </c>
      <c r="B141">
        <f>RADIANS(Táblázat14[[#This Row],[fok]])</f>
        <v>2.0071286397934789</v>
      </c>
      <c r="C141">
        <f ca="1">$B$1*COS(Táblázat14[[#This Row],[rad]])</f>
        <v>-2.9583278321848954</v>
      </c>
      <c r="D141">
        <f ca="1">$B$1*SIN(Táblázat14[[#This Row],[rad]])</f>
        <v>6.3441545092565503</v>
      </c>
    </row>
    <row r="142" spans="1:4" x14ac:dyDescent="0.25">
      <c r="A142">
        <v>116</v>
      </c>
      <c r="B142">
        <f>RADIANS(Táblázat14[[#This Row],[fok]])</f>
        <v>2.0245819323134224</v>
      </c>
      <c r="C142">
        <f ca="1">$B$1*COS(Táblázat14[[#This Row],[rad]])</f>
        <v>-3.0685980275235427</v>
      </c>
      <c r="D142">
        <f ca="1">$B$1*SIN(Táblázat14[[#This Row],[rad]])</f>
        <v>6.2915583240941686</v>
      </c>
    </row>
    <row r="143" spans="1:4" x14ac:dyDescent="0.25">
      <c r="A143">
        <v>117</v>
      </c>
      <c r="B143">
        <f>RADIANS(Táblázat14[[#This Row],[fok]])</f>
        <v>2.0420352248333655</v>
      </c>
      <c r="C143">
        <f ca="1">$B$1*COS(Táblázat14[[#This Row],[rad]])</f>
        <v>-3.1779334981768268</v>
      </c>
      <c r="D143">
        <f ca="1">$B$1*SIN(Táblázat14[[#This Row],[rad]])</f>
        <v>6.237045669318575</v>
      </c>
    </row>
    <row r="144" spans="1:4" x14ac:dyDescent="0.25">
      <c r="A144">
        <v>118</v>
      </c>
      <c r="B144">
        <f>RADIANS(Táblázat14[[#This Row],[fok]])</f>
        <v>2.0594885173533091</v>
      </c>
      <c r="C144">
        <f ca="1">$B$1*COS(Táblázat14[[#This Row],[rad]])</f>
        <v>-3.2863009395012366</v>
      </c>
      <c r="D144">
        <f ca="1">$B$1*SIN(Táblázat14[[#This Row],[rad]])</f>
        <v>6.180633150012488</v>
      </c>
    </row>
    <row r="145" spans="1:4" x14ac:dyDescent="0.25">
      <c r="A145">
        <v>119</v>
      </c>
      <c r="B145">
        <f>RADIANS(Táblázat14[[#This Row],[fok]])</f>
        <v>2.0769418098732522</v>
      </c>
      <c r="C145">
        <f ca="1">$B$1*COS(Táblázat14[[#This Row],[rad]])</f>
        <v>-3.3936673417243588</v>
      </c>
      <c r="D145">
        <f ca="1">$B$1*SIN(Táblázat14[[#This Row],[rad]])</f>
        <v>6.1223379499757709</v>
      </c>
    </row>
    <row r="146" spans="1:4" x14ac:dyDescent="0.25">
      <c r="A146">
        <v>120</v>
      </c>
      <c r="B146">
        <f>RADIANS(Táblázat14[[#This Row],[fok]])</f>
        <v>2.0943951023931953</v>
      </c>
      <c r="C146">
        <f ca="1">$B$1*COS(Táblázat14[[#This Row],[rad]])</f>
        <v>-3.4999999999999982</v>
      </c>
      <c r="D146">
        <f ca="1">$B$1*SIN(Táblázat14[[#This Row],[rad]])</f>
        <v>6.0621778264910713</v>
      </c>
    </row>
    <row r="147" spans="1:4" x14ac:dyDescent="0.25">
      <c r="A147">
        <v>121</v>
      </c>
      <c r="B147">
        <f>RADIANS(Táblázat14[[#This Row],[fok]])</f>
        <v>2.1118483949131388</v>
      </c>
      <c r="C147">
        <f ca="1">$B$1*COS(Táblázat14[[#This Row],[rad]])</f>
        <v>-3.6052665243703799</v>
      </c>
      <c r="D147">
        <f ca="1">$B$1*SIN(Táblázat14[[#This Row],[rad]])</f>
        <v>6.0001711049147861</v>
      </c>
    </row>
    <row r="148" spans="1:4" x14ac:dyDescent="0.25">
      <c r="A148">
        <v>122</v>
      </c>
      <c r="B148">
        <f>RADIANS(Táblázat14[[#This Row],[fok]])</f>
        <v>2.1293016874330819</v>
      </c>
      <c r="C148">
        <f ca="1">$B$1*COS(Táblázat14[[#This Row],[rad]])</f>
        <v>-3.7094348496324336</v>
      </c>
      <c r="D148">
        <f ca="1">$B$1*SIN(Táblázat14[[#This Row],[rad]])</f>
        <v>5.9363366730949823</v>
      </c>
    </row>
    <row r="149" spans="1:4" x14ac:dyDescent="0.25">
      <c r="A149">
        <v>123</v>
      </c>
      <c r="B149">
        <f>RADIANS(Táblázat14[[#This Row],[fok]])</f>
        <v>2.1467549799530254</v>
      </c>
      <c r="C149">
        <f ca="1">$B$1*COS(Táblázat14[[#This Row],[rad]])</f>
        <v>-3.8124732451051897</v>
      </c>
      <c r="D149">
        <f ca="1">$B$1*SIN(Táblázat14[[#This Row],[rad]])</f>
        <v>5.8706939756179679</v>
      </c>
    </row>
    <row r="150" spans="1:4" x14ac:dyDescent="0.25">
      <c r="A150">
        <v>124</v>
      </c>
      <c r="B150">
        <f>RADIANS(Táblázat14[[#This Row],[fok]])</f>
        <v>2.1642082724729685</v>
      </c>
      <c r="C150">
        <f ca="1">$B$1*COS(Táblázat14[[#This Row],[rad]])</f>
        <v>-3.9143503242952269</v>
      </c>
      <c r="D150">
        <f ca="1">$B$1*SIN(Táblázat14[[#This Row],[rad]])</f>
        <v>5.8032630078852918</v>
      </c>
    </row>
    <row r="151" spans="1:4" x14ac:dyDescent="0.25">
      <c r="A151">
        <v>125</v>
      </c>
      <c r="B151">
        <f>RADIANS(Táblázat14[[#This Row],[fok]])</f>
        <v>2.1816615649929121</v>
      </c>
      <c r="C151">
        <f ca="1">$B$1*COS(Táblázat14[[#This Row],[rad]])</f>
        <v>-4.0150350544573232</v>
      </c>
      <c r="D151">
        <f ca="1">$B$1*SIN(Táblázat14[[#This Row],[rad]])</f>
        <v>5.7340643100229416</v>
      </c>
    </row>
    <row r="152" spans="1:4" x14ac:dyDescent="0.25">
      <c r="A152">
        <v>126</v>
      </c>
      <c r="B152">
        <f>RADIANS(Táblázat14[[#This Row],[fok]])</f>
        <v>2.1991148575128552</v>
      </c>
      <c r="C152">
        <f ca="1">$B$1*COS(Táblázat14[[#This Row],[rad]])</f>
        <v>-4.1144967660473108</v>
      </c>
      <c r="D152">
        <f ca="1">$B$1*SIN(Táblázat14[[#This Row],[rad]])</f>
        <v>5.6631189606246322</v>
      </c>
    </row>
    <row r="153" spans="1:4" x14ac:dyDescent="0.25">
      <c r="A153">
        <v>127</v>
      </c>
      <c r="B153">
        <f>RADIANS(Táblázat14[[#This Row],[fok]])</f>
        <v>2.2165681500327987</v>
      </c>
      <c r="C153">
        <f ca="1">$B$1*COS(Táblázat14[[#This Row],[rad]])</f>
        <v>-4.2127051620643385</v>
      </c>
      <c r="D153">
        <f ca="1">$B$1*SIN(Táblázat14[[#This Row],[rad]])</f>
        <v>5.5904485703310494</v>
      </c>
    </row>
    <row r="154" spans="1:4" x14ac:dyDescent="0.25">
      <c r="A154">
        <v>128</v>
      </c>
      <c r="B154">
        <f>RADIANS(Táblázat14[[#This Row],[fok]])</f>
        <v>2.2340214425527418</v>
      </c>
      <c r="C154">
        <f ca="1">$B$1*COS(Táblázat14[[#This Row],[rad]])</f>
        <v>-4.3096303272796082</v>
      </c>
      <c r="D154">
        <f ca="1">$B$1*SIN(Táblázat14[[#This Row],[rad]])</f>
        <v>5.5160752752470543</v>
      </c>
    </row>
    <row r="155" spans="1:4" x14ac:dyDescent="0.25">
      <c r="A155">
        <v>129</v>
      </c>
      <c r="B155">
        <f>RADIANS(Táblázat14[[#This Row],[fok]])</f>
        <v>2.2514747350726849</v>
      </c>
      <c r="C155">
        <f ca="1">$B$1*COS(Táblázat14[[#This Row],[rad]])</f>
        <v>-4.4052427373488605</v>
      </c>
      <c r="D155">
        <f ca="1">$B$1*SIN(Táblázat14[[#This Row],[rad]])</f>
        <v>5.4400217301987972</v>
      </c>
    </row>
    <row r="156" spans="1:4" x14ac:dyDescent="0.25">
      <c r="A156">
        <v>130</v>
      </c>
      <c r="B156">
        <f>RADIANS(Táblázat14[[#This Row],[fok]])</f>
        <v>2.2689280275926285</v>
      </c>
      <c r="C156">
        <f ca="1">$B$1*COS(Táblázat14[[#This Row],[rad]])</f>
        <v>-4.4995132678057752</v>
      </c>
      <c r="D156">
        <f ca="1">$B$1*SIN(Táblázat14[[#This Row],[rad]])</f>
        <v>5.3623111018328462</v>
      </c>
    </row>
    <row r="157" spans="1:4" x14ac:dyDescent="0.25">
      <c r="A157">
        <v>131</v>
      </c>
      <c r="B157">
        <f>RADIANS(Táblázat14[[#This Row],[fok]])</f>
        <v>2.2863813201125716</v>
      </c>
      <c r="C157">
        <f ca="1">$B$1*COS(Táblázat14[[#This Row],[rad]])</f>
        <v>-4.5924132029335505</v>
      </c>
      <c r="D157">
        <f ca="1">$B$1*SIN(Táblázat14[[#This Row],[rad]])</f>
        <v>5.2829670615594049</v>
      </c>
    </row>
    <row r="158" spans="1:4" x14ac:dyDescent="0.25">
      <c r="A158">
        <v>132</v>
      </c>
      <c r="B158">
        <f>RADIANS(Táblázat14[[#This Row],[fok]])</f>
        <v>2.3038346126325151</v>
      </c>
      <c r="C158">
        <f ca="1">$B$1*COS(Táblázat14[[#This Row],[rad]])</f>
        <v>-4.6839142445120077</v>
      </c>
      <c r="D158">
        <f ca="1">$B$1*SIN(Táblázat14[[#This Row],[rad]])</f>
        <v>5.2020137783417599</v>
      </c>
    </row>
    <row r="159" spans="1:4" x14ac:dyDescent="0.25">
      <c r="A159">
        <v>133</v>
      </c>
      <c r="B159">
        <f>RADIANS(Táblázat14[[#This Row],[fok]])</f>
        <v>2.3212879051524582</v>
      </c>
      <c r="C159">
        <f ca="1">$B$1*COS(Táblázat14[[#This Row],[rad]])</f>
        <v>-4.7739885204374888</v>
      </c>
      <c r="D159">
        <f ca="1">$B$1*SIN(Táblázat14[[#This Row],[rad]])</f>
        <v>5.1194759113341943</v>
      </c>
    </row>
    <row r="160" spans="1:4" x14ac:dyDescent="0.25">
      <c r="A160">
        <v>134</v>
      </c>
      <c r="B160">
        <f>RADIANS(Táblázat14[[#This Row],[fok]])</f>
        <v>2.3387411976724017</v>
      </c>
      <c r="C160">
        <f ca="1">$B$1*COS(Táblázat14[[#This Row],[rad]])</f>
        <v>-4.8626085932129817</v>
      </c>
      <c r="D160">
        <f ca="1">$B$1*SIN(Táblázat14[[#This Row],[rad]])</f>
        <v>5.0353786023705576</v>
      </c>
    </row>
    <row r="161" spans="1:4" x14ac:dyDescent="0.25">
      <c r="A161">
        <v>135</v>
      </c>
      <c r="B161">
        <f>RADIANS(Táblázat14[[#This Row],[fok]])</f>
        <v>2.3561944901923448</v>
      </c>
      <c r="C161">
        <f ca="1">$B$1*COS(Táblázat14[[#This Row],[rad]])</f>
        <v>-4.9497474683058318</v>
      </c>
      <c r="D161">
        <f ca="1">$B$1*SIN(Táblázat14[[#This Row],[rad]])</f>
        <v>4.9497474683058327</v>
      </c>
    </row>
    <row r="162" spans="1:4" x14ac:dyDescent="0.25">
      <c r="A162">
        <v>136</v>
      </c>
      <c r="B162">
        <f>RADIANS(Táblázat14[[#This Row],[fok]])</f>
        <v>2.3736477827122884</v>
      </c>
      <c r="C162">
        <f ca="1">$B$1*COS(Táblázat14[[#This Row],[rad]])</f>
        <v>-5.0353786023705585</v>
      </c>
      <c r="D162">
        <f ca="1">$B$1*SIN(Táblázat14[[#This Row],[rad]])</f>
        <v>4.8626085932129799</v>
      </c>
    </row>
    <row r="163" spans="1:4" x14ac:dyDescent="0.25">
      <c r="A163">
        <v>137</v>
      </c>
      <c r="B163">
        <f>RADIANS(Táblázat14[[#This Row],[fok]])</f>
        <v>2.3911010752322315</v>
      </c>
      <c r="C163">
        <f ca="1">$B$1*COS(Táblázat14[[#This Row],[rad]])</f>
        <v>-5.1194759113341934</v>
      </c>
      <c r="D163">
        <f ca="1">$B$1*SIN(Táblázat14[[#This Row],[rad]])</f>
        <v>4.7739885204374897</v>
      </c>
    </row>
    <row r="164" spans="1:4" x14ac:dyDescent="0.25">
      <c r="A164">
        <v>138</v>
      </c>
      <c r="B164">
        <f>RADIANS(Táblázat14[[#This Row],[fok]])</f>
        <v>2.4085543677521746</v>
      </c>
      <c r="C164">
        <f ca="1">$B$1*COS(Táblázat14[[#This Row],[rad]])</f>
        <v>-5.2020137783417582</v>
      </c>
      <c r="D164">
        <f ca="1">$B$1*SIN(Táblázat14[[#This Row],[rad]])</f>
        <v>4.6839142445120086</v>
      </c>
    </row>
    <row r="165" spans="1:4" x14ac:dyDescent="0.25">
      <c r="A165">
        <v>139</v>
      </c>
      <c r="B165">
        <f>RADIANS(Táblázat14[[#This Row],[fok]])</f>
        <v>2.4260076602721181</v>
      </c>
      <c r="C165">
        <f ca="1">$B$1*COS(Táblázat14[[#This Row],[rad]])</f>
        <v>-5.282967061559404</v>
      </c>
      <c r="D165">
        <f ca="1">$B$1*SIN(Táblázat14[[#This Row],[rad]])</f>
        <v>4.5924132029335514</v>
      </c>
    </row>
    <row r="166" spans="1:4" x14ac:dyDescent="0.25">
      <c r="A166">
        <v>140</v>
      </c>
      <c r="B166">
        <f>RADIANS(Táblázat14[[#This Row],[fok]])</f>
        <v>2.4434609527920612</v>
      </c>
      <c r="C166">
        <f ca="1">$B$1*COS(Táblázat14[[#This Row],[rad]])</f>
        <v>-5.3623111018328453</v>
      </c>
      <c r="D166">
        <f ca="1">$B$1*SIN(Táblázat14[[#This Row],[rad]])</f>
        <v>4.4995132678057761</v>
      </c>
    </row>
    <row r="167" spans="1:4" x14ac:dyDescent="0.25">
      <c r="A167">
        <v>141</v>
      </c>
      <c r="B167">
        <f>RADIANS(Táblázat14[[#This Row],[fok]])</f>
        <v>2.4609142453120048</v>
      </c>
      <c r="C167">
        <f ca="1">$B$1*COS(Táblázat14[[#This Row],[rad]])</f>
        <v>-5.4400217301987963</v>
      </c>
      <c r="D167">
        <f ca="1">$B$1*SIN(Táblázat14[[#This Row],[rad]])</f>
        <v>4.4052427373488614</v>
      </c>
    </row>
    <row r="168" spans="1:4" x14ac:dyDescent="0.25">
      <c r="A168">
        <v>142</v>
      </c>
      <c r="B168">
        <f>RADIANS(Táblázat14[[#This Row],[fok]])</f>
        <v>2.4783675378319479</v>
      </c>
      <c r="C168">
        <f ca="1">$B$1*COS(Táblázat14[[#This Row],[rad]])</f>
        <v>-5.5160752752470534</v>
      </c>
      <c r="D168">
        <f ca="1">$B$1*SIN(Táblázat14[[#This Row],[rad]])</f>
        <v>4.309630327279609</v>
      </c>
    </row>
    <row r="169" spans="1:4" x14ac:dyDescent="0.25">
      <c r="A169">
        <v>143</v>
      </c>
      <c r="B169">
        <f>RADIANS(Táblázat14[[#This Row],[fok]])</f>
        <v>2.4958208303518914</v>
      </c>
      <c r="C169">
        <f ca="1">$B$1*COS(Táblázat14[[#This Row],[rad]])</f>
        <v>-5.5904485703310502</v>
      </c>
      <c r="D169">
        <f ca="1">$B$1*SIN(Táblázat14[[#This Row],[rad]])</f>
        <v>4.2127051620643368</v>
      </c>
    </row>
    <row r="170" spans="1:4" x14ac:dyDescent="0.25">
      <c r="A170">
        <v>144</v>
      </c>
      <c r="B170">
        <f>RADIANS(Táblázat14[[#This Row],[fok]])</f>
        <v>2.5132741228718345</v>
      </c>
      <c r="C170">
        <f ca="1">$B$1*COS(Táblázat14[[#This Row],[rad]])</f>
        <v>-5.6631189606246313</v>
      </c>
      <c r="D170">
        <f ca="1">$B$1*SIN(Táblázat14[[#This Row],[rad]])</f>
        <v>4.1144967660473126</v>
      </c>
    </row>
    <row r="171" spans="1:4" x14ac:dyDescent="0.25">
      <c r="A171">
        <v>145</v>
      </c>
      <c r="B171">
        <f>RADIANS(Táblázat14[[#This Row],[fok]])</f>
        <v>2.530727415391778</v>
      </c>
      <c r="C171">
        <f ca="1">$B$1*COS(Táblázat14[[#This Row],[rad]])</f>
        <v>-5.7340643100229434</v>
      </c>
      <c r="D171">
        <f ca="1">$B$1*SIN(Táblázat14[[#This Row],[rad]])</f>
        <v>4.0150350544573215</v>
      </c>
    </row>
    <row r="172" spans="1:4" x14ac:dyDescent="0.25">
      <c r="A172">
        <v>146</v>
      </c>
      <c r="B172">
        <f>RADIANS(Táblázat14[[#This Row],[fok]])</f>
        <v>2.5481807079117211</v>
      </c>
      <c r="C172">
        <f ca="1">$B$1*COS(Táblázat14[[#This Row],[rad]])</f>
        <v>-5.8032630078852918</v>
      </c>
      <c r="D172">
        <f ca="1">$B$1*SIN(Táblázat14[[#This Row],[rad]])</f>
        <v>3.9143503242952282</v>
      </c>
    </row>
    <row r="173" spans="1:4" x14ac:dyDescent="0.25">
      <c r="A173">
        <v>147</v>
      </c>
      <c r="B173">
        <f>RADIANS(Táblázat14[[#This Row],[fok]])</f>
        <v>2.5656340004316642</v>
      </c>
      <c r="C173">
        <f ca="1">$B$1*COS(Táblázat14[[#This Row],[rad]])</f>
        <v>-5.8706939756179679</v>
      </c>
      <c r="D173">
        <f ca="1">$B$1*SIN(Táblázat14[[#This Row],[rad]])</f>
        <v>3.812473245105191</v>
      </c>
    </row>
    <row r="174" spans="1:4" x14ac:dyDescent="0.25">
      <c r="A174">
        <v>148</v>
      </c>
      <c r="B174">
        <f>RADIANS(Táblázat14[[#This Row],[fok]])</f>
        <v>2.5830872929516078</v>
      </c>
      <c r="C174">
        <f ca="1">$B$1*COS(Táblázat14[[#This Row],[rad]])</f>
        <v>-5.9363366730949814</v>
      </c>
      <c r="D174">
        <f ca="1">$B$1*SIN(Táblázat14[[#This Row],[rad]])</f>
        <v>3.7094348496324345</v>
      </c>
    </row>
    <row r="175" spans="1:4" x14ac:dyDescent="0.25">
      <c r="A175">
        <v>149</v>
      </c>
      <c r="B175">
        <f>RADIANS(Táblázat14[[#This Row],[fok]])</f>
        <v>2.6005405854715509</v>
      </c>
      <c r="C175">
        <f ca="1">$B$1*COS(Táblázat14[[#This Row],[rad]])</f>
        <v>-6.0001711049147852</v>
      </c>
      <c r="D175">
        <f ca="1">$B$1*SIN(Táblázat14[[#This Row],[rad]])</f>
        <v>3.6052665243703808</v>
      </c>
    </row>
    <row r="176" spans="1:4" x14ac:dyDescent="0.25">
      <c r="A176">
        <v>150</v>
      </c>
      <c r="B176">
        <f>RADIANS(Táblázat14[[#This Row],[fok]])</f>
        <v>2.6179938779914944</v>
      </c>
      <c r="C176">
        <f ca="1">$B$1*COS(Táblázat14[[#This Row],[rad]])</f>
        <v>-6.0621778264910713</v>
      </c>
      <c r="D176">
        <f ca="1">$B$1*SIN(Táblázat14[[#This Row],[rad]])</f>
        <v>3.4999999999999996</v>
      </c>
    </row>
    <row r="177" spans="1:4" x14ac:dyDescent="0.25">
      <c r="A177">
        <v>151</v>
      </c>
      <c r="B177">
        <f>RADIANS(Táblázat14[[#This Row],[fok]])</f>
        <v>2.6354471705114375</v>
      </c>
      <c r="C177">
        <f ca="1">$B$1*COS(Táblázat14[[#This Row],[rad]])</f>
        <v>-6.12233794997577</v>
      </c>
      <c r="D177">
        <f ca="1">$B$1*SIN(Táblázat14[[#This Row],[rad]])</f>
        <v>3.3936673417243601</v>
      </c>
    </row>
    <row r="178" spans="1:4" x14ac:dyDescent="0.25">
      <c r="A178">
        <v>152</v>
      </c>
      <c r="B178">
        <f>RADIANS(Táblázat14[[#This Row],[fok]])</f>
        <v>2.6529004630313811</v>
      </c>
      <c r="C178">
        <f ca="1">$B$1*COS(Táblázat14[[#This Row],[rad]])</f>
        <v>-6.1806331500124889</v>
      </c>
      <c r="D178">
        <f ca="1">$B$1*SIN(Táblázat14[[#This Row],[rad]])</f>
        <v>3.2863009395012348</v>
      </c>
    </row>
    <row r="179" spans="1:4" x14ac:dyDescent="0.25">
      <c r="A179">
        <v>153</v>
      </c>
      <c r="B179">
        <f>RADIANS(Táblázat14[[#This Row],[fok]])</f>
        <v>2.6703537555513241</v>
      </c>
      <c r="C179">
        <f ca="1">$B$1*COS(Táblázat14[[#This Row],[rad]])</f>
        <v>-6.2370456693185741</v>
      </c>
      <c r="D179">
        <f ca="1">$B$1*SIN(Táblázat14[[#This Row],[rad]])</f>
        <v>3.1779334981768281</v>
      </c>
    </row>
    <row r="180" spans="1:4" x14ac:dyDescent="0.25">
      <c r="A180">
        <v>154</v>
      </c>
      <c r="B180">
        <f>RADIANS(Táblázat14[[#This Row],[fok]])</f>
        <v>2.6878070480712677</v>
      </c>
      <c r="C180">
        <f ca="1">$B$1*COS(Táblázat14[[#This Row],[rad]])</f>
        <v>-6.2915583240941695</v>
      </c>
      <c r="D180">
        <f ca="1">$B$1*SIN(Táblázat14[[#This Row],[rad]])</f>
        <v>3.0685980275235409</v>
      </c>
    </row>
    <row r="181" spans="1:4" x14ac:dyDescent="0.25">
      <c r="A181">
        <v>155</v>
      </c>
      <c r="B181">
        <f>RADIANS(Táblázat14[[#This Row],[fok]])</f>
        <v>2.7052603405912108</v>
      </c>
      <c r="C181">
        <f ca="1">$B$1*COS(Táblázat14[[#This Row],[rad]])</f>
        <v>-6.3441545092565494</v>
      </c>
      <c r="D181">
        <f ca="1">$B$1*SIN(Táblázat14[[#This Row],[rad]])</f>
        <v>2.9583278321848967</v>
      </c>
    </row>
    <row r="182" spans="1:4" x14ac:dyDescent="0.25">
      <c r="A182">
        <v>156</v>
      </c>
      <c r="B182">
        <f>RADIANS(Táblázat14[[#This Row],[fok]])</f>
        <v>2.7227136331111539</v>
      </c>
      <c r="C182">
        <f ca="1">$B$1*COS(Táblázat14[[#This Row],[rad]])</f>
        <v>-6.3948182034982057</v>
      </c>
      <c r="D182">
        <f ca="1">$B$1*SIN(Táblázat14[[#This Row],[rad]])</f>
        <v>2.8471565015306028</v>
      </c>
    </row>
    <row r="183" spans="1:4" x14ac:dyDescent="0.25">
      <c r="A183">
        <v>157</v>
      </c>
      <c r="B183">
        <f>RADIANS(Táblázat14[[#This Row],[fok]])</f>
        <v>2.7401669256310974</v>
      </c>
      <c r="C183">
        <f ca="1">$B$1*COS(Táblázat14[[#This Row],[rad]])</f>
        <v>-6.4435339741670825</v>
      </c>
      <c r="D183">
        <f ca="1">$B$1*SIN(Táblázat14[[#This Row],[rad]])</f>
        <v>2.7351178994249166</v>
      </c>
    </row>
    <row r="184" spans="1:4" x14ac:dyDescent="0.25">
      <c r="A184">
        <v>158</v>
      </c>
      <c r="B184">
        <f>RADIANS(Táblázat14[[#This Row],[fok]])</f>
        <v>2.7576202181510405</v>
      </c>
      <c r="C184">
        <f ca="1">$B$1*COS(Táblázat14[[#This Row],[rad]])</f>
        <v>-6.4902869819675111</v>
      </c>
      <c r="D184">
        <f ca="1">$B$1*SIN(Táblázat14[[#This Row],[rad]])</f>
        <v>2.6222461539113855</v>
      </c>
    </row>
    <row r="185" spans="1:4" x14ac:dyDescent="0.25">
      <c r="A185">
        <v>159</v>
      </c>
      <c r="B185">
        <f>RADIANS(Táblázat14[[#This Row],[fok]])</f>
        <v>2.7750735106709841</v>
      </c>
      <c r="C185">
        <f ca="1">$B$1*COS(Táblázat14[[#This Row],[rad]])</f>
        <v>-6.5350629854804119</v>
      </c>
      <c r="D185">
        <f ca="1">$B$1*SIN(Táblázat14[[#This Row],[rad]])</f>
        <v>2.5085756468171017</v>
      </c>
    </row>
    <row r="186" spans="1:4" x14ac:dyDescent="0.25">
      <c r="A186">
        <v>160</v>
      </c>
      <c r="B186">
        <f>RADIANS(Táblázat14[[#This Row],[fok]])</f>
        <v>2.7925268031909272</v>
      </c>
      <c r="C186">
        <f ca="1">$B$1*COS(Táblázat14[[#This Row],[rad]])</f>
        <v>-6.5778483455013586</v>
      </c>
      <c r="D186">
        <f ca="1">$B$1*SIN(Táblázat14[[#This Row],[rad]])</f>
        <v>2.3941410032796822</v>
      </c>
    </row>
    <row r="187" spans="1:4" x14ac:dyDescent="0.25">
      <c r="A187">
        <v>161</v>
      </c>
      <c r="B187">
        <f>RADIANS(Táblázat14[[#This Row],[fok]])</f>
        <v>2.8099800957108707</v>
      </c>
      <c r="C187">
        <f ca="1">$B$1*COS(Táblázat14[[#This Row],[rad]])</f>
        <v>-6.6186300291952183</v>
      </c>
      <c r="D187">
        <f ca="1">$B$1*SIN(Táblázat14[[#This Row],[rad]])</f>
        <v>2.2789770812000962</v>
      </c>
    </row>
    <row r="188" spans="1:4" x14ac:dyDescent="0.25">
      <c r="A188">
        <v>162</v>
      </c>
      <c r="B188">
        <f>RADIANS(Táblázat14[[#This Row],[fok]])</f>
        <v>2.8274333882308138</v>
      </c>
      <c r="C188">
        <f ca="1">$B$1*COS(Táblázat14[[#This Row],[rad]])</f>
        <v>-6.6573956140660746</v>
      </c>
      <c r="D188">
        <f ca="1">$B$1*SIN(Táblázat14[[#This Row],[rad]])</f>
        <v>2.1631189606246326</v>
      </c>
    </row>
    <row r="189" spans="1:4" x14ac:dyDescent="0.25">
      <c r="A189">
        <v>163</v>
      </c>
      <c r="B189">
        <f>RADIANS(Táblázat14[[#This Row],[fok]])</f>
        <v>2.8448866807507573</v>
      </c>
      <c r="C189">
        <f ca="1">$B$1*COS(Táblázat14[[#This Row],[rad]])</f>
        <v>-6.6941332917412488</v>
      </c>
      <c r="D189">
        <f ca="1">$B$1*SIN(Táblázat14[[#This Row],[rad]])</f>
        <v>2.0466019330591561</v>
      </c>
    </row>
    <row r="190" spans="1:4" x14ac:dyDescent="0.25">
      <c r="A190">
        <v>164</v>
      </c>
      <c r="B190">
        <f>RADIANS(Táblázat14[[#This Row],[fok]])</f>
        <v>2.8623399732707004</v>
      </c>
      <c r="C190">
        <f ca="1">$B$1*COS(Táblázat14[[#This Row],[rad]])</f>
        <v>-6.7288318715682323</v>
      </c>
      <c r="D190">
        <f ca="1">$B$1*SIN(Táblázat14[[#This Row],[rad]])</f>
        <v>1.9294614907189946</v>
      </c>
    </row>
    <row r="191" spans="1:4" x14ac:dyDescent="0.25">
      <c r="A191">
        <v>165</v>
      </c>
      <c r="B191">
        <f>RADIANS(Táblázat14[[#This Row],[fok]])</f>
        <v>2.8797932657906435</v>
      </c>
      <c r="C191">
        <f ca="1">$B$1*COS(Táblázat14[[#This Row],[rad]])</f>
        <v>-6.7614807840234779</v>
      </c>
      <c r="D191">
        <f ca="1">$B$1*SIN(Táblázat14[[#This Row],[rad]])</f>
        <v>1.8117333157176472</v>
      </c>
    </row>
    <row r="192" spans="1:4" x14ac:dyDescent="0.25">
      <c r="A192">
        <v>166</v>
      </c>
      <c r="B192">
        <f>RADIANS(Táblázat14[[#This Row],[fok]])</f>
        <v>2.8972465583105871</v>
      </c>
      <c r="C192">
        <f ca="1">$B$1*COS(Táblázat14[[#This Row],[rad]])</f>
        <v>-6.792070083931975</v>
      </c>
      <c r="D192">
        <f ca="1">$B$1*SIN(Táblázat14[[#This Row],[rad]])</f>
        <v>1.693453269197674</v>
      </c>
    </row>
    <row r="193" spans="1:4" x14ac:dyDescent="0.25">
      <c r="A193">
        <v>167</v>
      </c>
      <c r="B193">
        <f>RADIANS(Táblázat14[[#This Row],[fok]])</f>
        <v>2.9146998508305302</v>
      </c>
      <c r="C193">
        <f ca="1">$B$1*COS(Táblázat14[[#This Row],[rad]])</f>
        <v>-6.8205904534966457</v>
      </c>
      <c r="D193">
        <f ca="1">$B$1*SIN(Táblázat14[[#This Row],[rad]])</f>
        <v>1.5746573804070563</v>
      </c>
    </row>
    <row r="194" spans="1:4" x14ac:dyDescent="0.25">
      <c r="A194">
        <v>168</v>
      </c>
      <c r="B194">
        <f>RADIANS(Táblázat14[[#This Row],[fok]])</f>
        <v>2.9321531433504737</v>
      </c>
      <c r="C194">
        <f ca="1">$B$1*COS(Táblázat14[[#This Row],[rad]])</f>
        <v>-6.8470332051366398</v>
      </c>
      <c r="D194">
        <f ca="1">$B$1*SIN(Táblázat14[[#This Row],[rad]])</f>
        <v>1.4553818357243151</v>
      </c>
    </row>
    <row r="195" spans="1:4" x14ac:dyDescent="0.25">
      <c r="A195">
        <v>169</v>
      </c>
      <c r="B195">
        <f>RADIANS(Táblázat14[[#This Row],[fok]])</f>
        <v>2.9496064358704168</v>
      </c>
      <c r="C195">
        <f ca="1">$B$1*COS(Táblázat14[[#This Row],[rad]])</f>
        <v>-6.8713902841336481</v>
      </c>
      <c r="D195">
        <f ca="1">$B$1*SIN(Táblázat14[[#This Row],[rad]])</f>
        <v>1.3356629676358147</v>
      </c>
    </row>
    <row r="196" spans="1:4" x14ac:dyDescent="0.25">
      <c r="A196">
        <v>170</v>
      </c>
      <c r="B196">
        <f>RADIANS(Táblázat14[[#This Row],[fok]])</f>
        <v>2.9670597283903604</v>
      </c>
      <c r="C196">
        <f ca="1">$B$1*COS(Táblázat14[[#This Row],[rad]])</f>
        <v>-6.893654271085456</v>
      </c>
      <c r="D196">
        <f ca="1">$B$1*SIN(Táblázat14[[#This Row],[rad]])</f>
        <v>1.2155372436685119</v>
      </c>
    </row>
    <row r="197" spans="1:4" x14ac:dyDescent="0.25">
      <c r="A197">
        <v>171</v>
      </c>
      <c r="B197">
        <f>RADIANS(Táblázat14[[#This Row],[fok]])</f>
        <v>2.9845130209103035</v>
      </c>
      <c r="C197">
        <f ca="1">$B$1*COS(Táblázat14[[#This Row],[rad]])</f>
        <v>-6.9138183841659639</v>
      </c>
      <c r="D197">
        <f ca="1">$B$1*SIN(Táblázat14[[#This Row],[rad]])</f>
        <v>1.0950412552816169</v>
      </c>
    </row>
    <row r="198" spans="1:4" x14ac:dyDescent="0.25">
      <c r="A198">
        <v>172</v>
      </c>
      <c r="B198">
        <f>RADIANS(Táblázat14[[#This Row],[fok]])</f>
        <v>3.001966313430247</v>
      </c>
      <c r="C198">
        <f ca="1">$B$1*COS(Táblázat14[[#This Row],[rad]])</f>
        <v>-6.9318764811909928</v>
      </c>
      <c r="D198">
        <f ca="1">$B$1*SIN(Táblázat14[[#This Row],[rad]])</f>
        <v>0.97421170672045732</v>
      </c>
    </row>
    <row r="199" spans="1:4" x14ac:dyDescent="0.25">
      <c r="A199">
        <v>173</v>
      </c>
      <c r="B199">
        <f>RADIANS(Táblázat14[[#This Row],[fok]])</f>
        <v>3.0194196059501901</v>
      </c>
      <c r="C199">
        <f ca="1">$B$1*COS(Táblázat14[[#This Row],[rad]])</f>
        <v>-6.9478230614892542</v>
      </c>
      <c r="D199">
        <f ca="1">$B$1*SIN(Táblázat14[[#This Row],[rad]])</f>
        <v>0.85308540383603282</v>
      </c>
    </row>
    <row r="200" spans="1:4" x14ac:dyDescent="0.25">
      <c r="A200">
        <v>174</v>
      </c>
      <c r="B200">
        <f>RADIANS(Táblázat14[[#This Row],[fok]])</f>
        <v>3.0368728984701332</v>
      </c>
      <c r="C200">
        <f ca="1">$B$1*COS(Táblázat14[[#This Row],[rad]])</f>
        <v>-6.9616532675779128</v>
      </c>
      <c r="D200">
        <f ca="1">$B$1*SIN(Táblázat14[[#This Row],[rad]])</f>
        <v>0.73169924287357613</v>
      </c>
    </row>
    <row r="201" spans="1:4" x14ac:dyDescent="0.25">
      <c r="A201">
        <v>175</v>
      </c>
      <c r="B201">
        <f>RADIANS(Táblázat14[[#This Row],[fok]])</f>
        <v>3.0543261909900767</v>
      </c>
      <c r="C201">
        <f ca="1">$B$1*COS(Táblázat14[[#This Row],[rad]])</f>
        <v>-6.973362886642219</v>
      </c>
      <c r="D201">
        <f ca="1">$B$1*SIN(Táblázat14[[#This Row],[rad]])</f>
        <v>0.61009019923360741</v>
      </c>
    </row>
    <row r="202" spans="1:4" x14ac:dyDescent="0.25">
      <c r="A202">
        <v>176</v>
      </c>
      <c r="B202">
        <f>RADIANS(Táblázat14[[#This Row],[fok]])</f>
        <v>3.0717794835100198</v>
      </c>
      <c r="C202">
        <f ca="1">$B$1*COS(Táblázat14[[#This Row],[rad]])</f>
        <v>-6.9829483518187692</v>
      </c>
      <c r="D202">
        <f ca="1">$B$1*SIN(Táblázat14[[#This Row],[rad]])</f>
        <v>0.48829531620887867</v>
      </c>
    </row>
    <row r="203" spans="1:4" x14ac:dyDescent="0.25">
      <c r="A203">
        <v>177</v>
      </c>
      <c r="B203">
        <f>RADIANS(Táblázat14[[#This Row],[fok]])</f>
        <v>3.0892327760299634</v>
      </c>
      <c r="C203">
        <f ca="1">$B$1*COS(Táblázat14[[#This Row],[rad]])</f>
        <v>-6.9904067432820165</v>
      </c>
      <c r="D203">
        <f ca="1">$B$1*SIN(Táblázat14[[#This Row],[rad]])</f>
        <v>0.36635169370060666</v>
      </c>
    </row>
    <row r="204" spans="1:4" x14ac:dyDescent="0.25">
      <c r="A204">
        <v>178</v>
      </c>
      <c r="B204">
        <f>RADIANS(Táblázat14[[#This Row],[fok]])</f>
        <v>3.1066860685499065</v>
      </c>
      <c r="C204">
        <f ca="1">$B$1*COS(Táblázat14[[#This Row],[rad]])</f>
        <v>-6.9957357891336702</v>
      </c>
      <c r="D204">
        <f ca="1">$B$1*SIN(Táblázat14[[#This Row],[rad]])</f>
        <v>0.244296476917508</v>
      </c>
    </row>
    <row r="205" spans="1:4" x14ac:dyDescent="0.25">
      <c r="A205">
        <v>179</v>
      </c>
      <c r="B205">
        <f>RADIANS(Táblázat14[[#This Row],[fok]])</f>
        <v>3.12413936106985</v>
      </c>
      <c r="C205">
        <f ca="1">$B$1*COS(Táblázat14[[#This Row],[rad]])</f>
        <v>-6.9989338660947391</v>
      </c>
      <c r="D205">
        <f ca="1">$B$1*SIN(Táblázat14[[#This Row],[rad]])</f>
        <v>0.12216684506098408</v>
      </c>
    </row>
    <row r="206" spans="1:4" x14ac:dyDescent="0.25">
      <c r="A206">
        <v>180</v>
      </c>
      <c r="B206">
        <f>RADIANS(Táblázat14[[#This Row],[fok]])</f>
        <v>3.1415926535897931</v>
      </c>
      <c r="C206">
        <f ca="1">$B$1*COS(Táblázat14[[#This Row],[rad]])</f>
        <v>-7</v>
      </c>
      <c r="D206">
        <f ca="1">$B$1*SIN(Táblázat14[[#This Row],[rad]])</f>
        <v>8.5760391843603401E-16</v>
      </c>
    </row>
    <row r="207" spans="1:4" x14ac:dyDescent="0.25">
      <c r="A207">
        <v>181</v>
      </c>
      <c r="B207">
        <f>RADIANS(Táblázat14[[#This Row],[fok]])</f>
        <v>3.1590459461097367</v>
      </c>
      <c r="C207">
        <f ca="1">$B$1*COS(Táblázat14[[#This Row],[rad]])</f>
        <v>-6.9989338660947391</v>
      </c>
      <c r="D207">
        <f ca="1">$B$1*SIN(Táblázat14[[#This Row],[rad]])</f>
        <v>-0.12216684506098546</v>
      </c>
    </row>
    <row r="208" spans="1:4" x14ac:dyDescent="0.25">
      <c r="A208">
        <v>182</v>
      </c>
      <c r="B208">
        <f>RADIANS(Táblázat14[[#This Row],[fok]])</f>
        <v>3.1764992386296798</v>
      </c>
      <c r="C208">
        <f ca="1">$B$1*COS(Táblázat14[[#This Row],[rad]])</f>
        <v>-6.9957357891336702</v>
      </c>
      <c r="D208">
        <f ca="1">$B$1*SIN(Táblázat14[[#This Row],[rad]])</f>
        <v>-0.24429647691750631</v>
      </c>
    </row>
    <row r="209" spans="1:4" x14ac:dyDescent="0.25">
      <c r="A209">
        <v>183</v>
      </c>
      <c r="B209">
        <f>RADIANS(Táblázat14[[#This Row],[fok]])</f>
        <v>3.1939525311496229</v>
      </c>
      <c r="C209">
        <f ca="1">$B$1*COS(Táblázat14[[#This Row],[rad]])</f>
        <v>-6.9904067432820165</v>
      </c>
      <c r="D209">
        <f ca="1">$B$1*SIN(Táblázat14[[#This Row],[rad]])</f>
        <v>-0.36635169370060489</v>
      </c>
    </row>
    <row r="210" spans="1:4" x14ac:dyDescent="0.25">
      <c r="A210">
        <v>184</v>
      </c>
      <c r="B210">
        <f>RADIANS(Táblázat14[[#This Row],[fok]])</f>
        <v>3.2114058236695664</v>
      </c>
      <c r="C210">
        <f ca="1">$B$1*COS(Táblázat14[[#This Row],[rad]])</f>
        <v>-6.9829483518187692</v>
      </c>
      <c r="D210">
        <f ca="1">$B$1*SIN(Táblázat14[[#This Row],[rad]])</f>
        <v>-0.4882953162088769</v>
      </c>
    </row>
    <row r="211" spans="1:4" x14ac:dyDescent="0.25">
      <c r="A211">
        <v>185</v>
      </c>
      <c r="B211">
        <f>RADIANS(Táblázat14[[#This Row],[fok]])</f>
        <v>3.2288591161895095</v>
      </c>
      <c r="C211">
        <f ca="1">$B$1*COS(Táblázat14[[#This Row],[rad]])</f>
        <v>-6.973362886642219</v>
      </c>
      <c r="D211">
        <f ca="1">$B$1*SIN(Táblázat14[[#This Row],[rad]])</f>
        <v>-0.61009019923360563</v>
      </c>
    </row>
    <row r="212" spans="1:4" x14ac:dyDescent="0.25">
      <c r="A212">
        <v>186</v>
      </c>
      <c r="B212">
        <f>RADIANS(Táblázat14[[#This Row],[fok]])</f>
        <v>3.246312408709453</v>
      </c>
      <c r="C212">
        <f ca="1">$B$1*COS(Táblázat14[[#This Row],[rad]])</f>
        <v>-6.9616532675779128</v>
      </c>
      <c r="D212">
        <f ca="1">$B$1*SIN(Táblázat14[[#This Row],[rad]])</f>
        <v>-0.73169924287357446</v>
      </c>
    </row>
    <row r="213" spans="1:4" x14ac:dyDescent="0.25">
      <c r="A213">
        <v>187</v>
      </c>
      <c r="B213">
        <f>RADIANS(Táblázat14[[#This Row],[fok]])</f>
        <v>3.2637657012293961</v>
      </c>
      <c r="C213">
        <f ca="1">$B$1*COS(Táblázat14[[#This Row],[rad]])</f>
        <v>-6.9478230614892542</v>
      </c>
      <c r="D213">
        <f ca="1">$B$1*SIN(Táblázat14[[#This Row],[rad]])</f>
        <v>-0.85308540383603115</v>
      </c>
    </row>
    <row r="214" spans="1:4" x14ac:dyDescent="0.25">
      <c r="A214">
        <v>188</v>
      </c>
      <c r="B214">
        <f>RADIANS(Táblázat14[[#This Row],[fok]])</f>
        <v>3.2812189937493397</v>
      </c>
      <c r="C214">
        <f ca="1">$B$1*COS(Táblázat14[[#This Row],[rad]])</f>
        <v>-6.9318764811909919</v>
      </c>
      <c r="D214">
        <f ca="1">$B$1*SIN(Táblázat14[[#This Row],[rad]])</f>
        <v>-0.97421170672045865</v>
      </c>
    </row>
    <row r="215" spans="1:4" x14ac:dyDescent="0.25">
      <c r="A215">
        <v>189</v>
      </c>
      <c r="B215">
        <f>RADIANS(Táblázat14[[#This Row],[fok]])</f>
        <v>3.2986722862692828</v>
      </c>
      <c r="C215">
        <f ca="1">$B$1*COS(Táblázat14[[#This Row],[rad]])</f>
        <v>-6.9138183841659639</v>
      </c>
      <c r="D215">
        <f ca="1">$B$1*SIN(Táblázat14[[#This Row],[rad]])</f>
        <v>-1.0950412552816151</v>
      </c>
    </row>
    <row r="216" spans="1:4" x14ac:dyDescent="0.25">
      <c r="A216">
        <v>190</v>
      </c>
      <c r="B216">
        <f>RADIANS(Táblázat14[[#This Row],[fok]])</f>
        <v>3.3161255787892263</v>
      </c>
      <c r="C216">
        <f ca="1">$B$1*COS(Táblázat14[[#This Row],[rad]])</f>
        <v>-6.893654271085456</v>
      </c>
      <c r="D216">
        <f ca="1">$B$1*SIN(Táblázat14[[#This Row],[rad]])</f>
        <v>-1.2155372436685132</v>
      </c>
    </row>
    <row r="217" spans="1:4" x14ac:dyDescent="0.25">
      <c r="A217">
        <v>191</v>
      </c>
      <c r="B217">
        <f>RADIANS(Táblázat14[[#This Row],[fok]])</f>
        <v>3.3335788713091694</v>
      </c>
      <c r="C217">
        <f ca="1">$B$1*COS(Táblázat14[[#This Row],[rad]])</f>
        <v>-6.8713902841336481</v>
      </c>
      <c r="D217">
        <f ca="1">$B$1*SIN(Táblázat14[[#This Row],[rad]])</f>
        <v>-1.3356629676358129</v>
      </c>
    </row>
    <row r="218" spans="1:4" x14ac:dyDescent="0.25">
      <c r="A218">
        <v>192</v>
      </c>
      <c r="B218">
        <f>RADIANS(Táblázat14[[#This Row],[fok]])</f>
        <v>3.351032163829113</v>
      </c>
      <c r="C218">
        <f ca="1">$B$1*COS(Táblázat14[[#This Row],[rad]])</f>
        <v>-6.8470332051366389</v>
      </c>
      <c r="D218">
        <f ca="1">$B$1*SIN(Táblázat14[[#This Row],[rad]])</f>
        <v>-1.4553818357243165</v>
      </c>
    </row>
    <row r="219" spans="1:4" x14ac:dyDescent="0.25">
      <c r="A219">
        <v>193</v>
      </c>
      <c r="B219">
        <f>RADIANS(Táblázat14[[#This Row],[fok]])</f>
        <v>3.3684854563490561</v>
      </c>
      <c r="C219">
        <f ca="1">$B$1*COS(Táblázat14[[#This Row],[rad]])</f>
        <v>-6.8205904534966466</v>
      </c>
      <c r="D219">
        <f ca="1">$B$1*SIN(Táblázat14[[#This Row],[rad]])</f>
        <v>-1.5746573804070549</v>
      </c>
    </row>
    <row r="220" spans="1:4" x14ac:dyDescent="0.25">
      <c r="A220">
        <v>194</v>
      </c>
      <c r="B220">
        <f>RADIANS(Táblázat14[[#This Row],[fok]])</f>
        <v>3.3859387488689991</v>
      </c>
      <c r="C220">
        <f ca="1">$B$1*COS(Táblázat14[[#This Row],[rad]])</f>
        <v>-6.792070083931975</v>
      </c>
      <c r="D220">
        <f ca="1">$B$1*SIN(Táblázat14[[#This Row],[rad]])</f>
        <v>-1.6934532691976725</v>
      </c>
    </row>
    <row r="221" spans="1:4" x14ac:dyDescent="0.25">
      <c r="A221">
        <v>195</v>
      </c>
      <c r="B221">
        <f>RADIANS(Táblázat14[[#This Row],[fok]])</f>
        <v>3.4033920413889427</v>
      </c>
      <c r="C221">
        <f ca="1">$B$1*COS(Táblázat14[[#This Row],[rad]])</f>
        <v>-6.7614807840234779</v>
      </c>
      <c r="D221">
        <f ca="1">$B$1*SIN(Táblázat14[[#This Row],[rad]])</f>
        <v>-1.8117333157176456</v>
      </c>
    </row>
    <row r="222" spans="1:4" x14ac:dyDescent="0.25">
      <c r="A222">
        <v>196</v>
      </c>
      <c r="B222">
        <f>RADIANS(Táblázat14[[#This Row],[fok]])</f>
        <v>3.4208453339088858</v>
      </c>
      <c r="C222">
        <f ca="1">$B$1*COS(Táblázat14[[#This Row],[rad]])</f>
        <v>-6.7288318715682323</v>
      </c>
      <c r="D222">
        <f ca="1">$B$1*SIN(Táblázat14[[#This Row],[rad]])</f>
        <v>-1.9294614907189929</v>
      </c>
    </row>
    <row r="223" spans="1:4" x14ac:dyDescent="0.25">
      <c r="A223">
        <v>197</v>
      </c>
      <c r="B223">
        <f>RADIANS(Táblázat14[[#This Row],[fok]])</f>
        <v>3.4382986264288293</v>
      </c>
      <c r="C223">
        <f ca="1">$B$1*COS(Táblázat14[[#This Row],[rad]])</f>
        <v>-6.6941332917412479</v>
      </c>
      <c r="D223">
        <f ca="1">$B$1*SIN(Táblázat14[[#This Row],[rad]])</f>
        <v>-2.0466019330591574</v>
      </c>
    </row>
    <row r="224" spans="1:4" x14ac:dyDescent="0.25">
      <c r="A224">
        <v>198</v>
      </c>
      <c r="B224">
        <f>RADIANS(Táblázat14[[#This Row],[fok]])</f>
        <v>3.4557519189487724</v>
      </c>
      <c r="C224">
        <f ca="1">$B$1*COS(Táblázat14[[#This Row],[rad]])</f>
        <v>-6.6573956140660755</v>
      </c>
      <c r="D224">
        <f ca="1">$B$1*SIN(Táblázat14[[#This Row],[rad]])</f>
        <v>-2.1631189606246308</v>
      </c>
    </row>
    <row r="225" spans="1:4" x14ac:dyDescent="0.25">
      <c r="A225">
        <v>199</v>
      </c>
      <c r="B225">
        <f>RADIANS(Táblázat14[[#This Row],[fok]])</f>
        <v>3.473205211468716</v>
      </c>
      <c r="C225">
        <f ca="1">$B$1*COS(Táblázat14[[#This Row],[rad]])</f>
        <v>-6.6186300291952174</v>
      </c>
      <c r="D225">
        <f ca="1">$B$1*SIN(Táblázat14[[#This Row],[rad]])</f>
        <v>-2.2789770812000971</v>
      </c>
    </row>
    <row r="226" spans="1:4" x14ac:dyDescent="0.25">
      <c r="A226">
        <v>200</v>
      </c>
      <c r="B226">
        <f>RADIANS(Táblázat14[[#This Row],[fok]])</f>
        <v>3.4906585039886591</v>
      </c>
      <c r="C226">
        <f ca="1">$B$1*COS(Táblázat14[[#This Row],[rad]])</f>
        <v>-6.5778483455013586</v>
      </c>
      <c r="D226">
        <f ca="1">$B$1*SIN(Táblázat14[[#This Row],[rad]])</f>
        <v>-2.3941410032796808</v>
      </c>
    </row>
    <row r="227" spans="1:4" x14ac:dyDescent="0.25">
      <c r="A227">
        <v>201</v>
      </c>
      <c r="B227">
        <f>RADIANS(Táblázat14[[#This Row],[fok]])</f>
        <v>3.5081117965086026</v>
      </c>
      <c r="C227">
        <f ca="1">$B$1*COS(Táblázat14[[#This Row],[rad]])</f>
        <v>-6.5350629854804119</v>
      </c>
      <c r="D227">
        <f ca="1">$B$1*SIN(Táblázat14[[#This Row],[rad]])</f>
        <v>-2.508575646817103</v>
      </c>
    </row>
    <row r="228" spans="1:4" x14ac:dyDescent="0.25">
      <c r="A228">
        <v>202</v>
      </c>
      <c r="B228">
        <f>RADIANS(Táblázat14[[#This Row],[fok]])</f>
        <v>3.5255650890285457</v>
      </c>
      <c r="C228">
        <f ca="1">$B$1*COS(Táblázat14[[#This Row],[rad]])</f>
        <v>-6.490286981967512</v>
      </c>
      <c r="D228">
        <f ca="1">$B$1*SIN(Táblázat14[[#This Row],[rad]])</f>
        <v>-2.6222461539113842</v>
      </c>
    </row>
    <row r="229" spans="1:4" x14ac:dyDescent="0.25">
      <c r="A229">
        <v>203</v>
      </c>
      <c r="B229">
        <f>RADIANS(Táblázat14[[#This Row],[fok]])</f>
        <v>3.5430183815484888</v>
      </c>
      <c r="C229">
        <f ca="1">$B$1*COS(Táblázat14[[#This Row],[rad]])</f>
        <v>-6.4435339741670825</v>
      </c>
      <c r="D229">
        <f ca="1">$B$1*SIN(Táblázat14[[#This Row],[rad]])</f>
        <v>-2.7351178994249148</v>
      </c>
    </row>
    <row r="230" spans="1:4" x14ac:dyDescent="0.25">
      <c r="A230">
        <v>204</v>
      </c>
      <c r="B230">
        <f>RADIANS(Táblázat14[[#This Row],[fok]])</f>
        <v>3.5604716740684323</v>
      </c>
      <c r="C230">
        <f ca="1">$B$1*COS(Táblázat14[[#This Row],[rad]])</f>
        <v>-6.3948182034982057</v>
      </c>
      <c r="D230">
        <f ca="1">$B$1*SIN(Táblázat14[[#This Row],[rad]])</f>
        <v>-2.8471565015306015</v>
      </c>
    </row>
    <row r="231" spans="1:4" x14ac:dyDescent="0.25">
      <c r="A231">
        <v>205</v>
      </c>
      <c r="B231">
        <f>RADIANS(Táblázat14[[#This Row],[fok]])</f>
        <v>3.5779249665883754</v>
      </c>
      <c r="C231">
        <f ca="1">$B$1*COS(Táblázat14[[#This Row],[rad]])</f>
        <v>-6.3441545092565503</v>
      </c>
      <c r="D231">
        <f ca="1">$B$1*SIN(Táblázat14[[#This Row],[rad]])</f>
        <v>-2.9583278321848949</v>
      </c>
    </row>
    <row r="232" spans="1:4" x14ac:dyDescent="0.25">
      <c r="A232">
        <v>206</v>
      </c>
      <c r="B232">
        <f>RADIANS(Táblázat14[[#This Row],[fok]])</f>
        <v>3.595378259108319</v>
      </c>
      <c r="C232">
        <f ca="1">$B$1*COS(Táblázat14[[#This Row],[rad]])</f>
        <v>-6.2915583240941686</v>
      </c>
      <c r="D232">
        <f ca="1">$B$1*SIN(Táblázat14[[#This Row],[rad]])</f>
        <v>-3.0685980275235423</v>
      </c>
    </row>
    <row r="233" spans="1:4" x14ac:dyDescent="0.25">
      <c r="A233">
        <v>207</v>
      </c>
      <c r="B233">
        <f>RADIANS(Táblázat14[[#This Row],[fok]])</f>
        <v>3.6128315516282621</v>
      </c>
      <c r="C233">
        <f ca="1">$B$1*COS(Táblázat14[[#This Row],[rad]])</f>
        <v>-6.237045669318575</v>
      </c>
      <c r="D233">
        <f ca="1">$B$1*SIN(Táblázat14[[#This Row],[rad]])</f>
        <v>-3.1779334981768268</v>
      </c>
    </row>
    <row r="234" spans="1:4" x14ac:dyDescent="0.25">
      <c r="A234">
        <v>208</v>
      </c>
      <c r="B234">
        <f>RADIANS(Táblázat14[[#This Row],[fok]])</f>
        <v>3.6302848441482056</v>
      </c>
      <c r="C234">
        <f ca="1">$B$1*COS(Táblázat14[[#This Row],[rad]])</f>
        <v>-6.180633150012488</v>
      </c>
      <c r="D234">
        <f ca="1">$B$1*SIN(Táblázat14[[#This Row],[rad]])</f>
        <v>-3.2863009395012361</v>
      </c>
    </row>
    <row r="235" spans="1:4" x14ac:dyDescent="0.25">
      <c r="A235">
        <v>209</v>
      </c>
      <c r="B235">
        <f>RADIANS(Táblázat14[[#This Row],[fok]])</f>
        <v>3.6477381366681487</v>
      </c>
      <c r="C235">
        <f ca="1">$B$1*COS(Táblázat14[[#This Row],[rad]])</f>
        <v>-6.1223379499757709</v>
      </c>
      <c r="D235">
        <f ca="1">$B$1*SIN(Táblázat14[[#This Row],[rad]])</f>
        <v>-3.3936673417243588</v>
      </c>
    </row>
    <row r="236" spans="1:4" x14ac:dyDescent="0.25">
      <c r="A236">
        <v>210</v>
      </c>
      <c r="B236">
        <f>RADIANS(Táblázat14[[#This Row],[fok]])</f>
        <v>3.6651914291880923</v>
      </c>
      <c r="C236">
        <f ca="1">$B$1*COS(Táblázat14[[#This Row],[rad]])</f>
        <v>-6.0621778264910704</v>
      </c>
      <c r="D236">
        <f ca="1">$B$1*SIN(Táblázat14[[#This Row],[rad]])</f>
        <v>-3.5000000000000009</v>
      </c>
    </row>
    <row r="237" spans="1:4" x14ac:dyDescent="0.25">
      <c r="A237">
        <v>211</v>
      </c>
      <c r="B237">
        <f>RADIANS(Táblázat14[[#This Row],[fok]])</f>
        <v>3.6826447217080354</v>
      </c>
      <c r="C237">
        <f ca="1">$B$1*COS(Táblázat14[[#This Row],[rad]])</f>
        <v>-6.0001711049147861</v>
      </c>
      <c r="D237">
        <f ca="1">$B$1*SIN(Táblázat14[[#This Row],[rad]])</f>
        <v>-3.605266524370379</v>
      </c>
    </row>
    <row r="238" spans="1:4" x14ac:dyDescent="0.25">
      <c r="A238">
        <v>212</v>
      </c>
      <c r="B238">
        <f>RADIANS(Táblázat14[[#This Row],[fok]])</f>
        <v>3.7000980142279785</v>
      </c>
      <c r="C238">
        <f ca="1">$B$1*COS(Táblázat14[[#This Row],[rad]])</f>
        <v>-5.9363366730949823</v>
      </c>
      <c r="D238">
        <f ca="1">$B$1*SIN(Táblázat14[[#This Row],[rad]])</f>
        <v>-3.7094348496324336</v>
      </c>
    </row>
    <row r="239" spans="1:4" x14ac:dyDescent="0.25">
      <c r="A239">
        <v>213</v>
      </c>
      <c r="B239">
        <f>RADIANS(Táblázat14[[#This Row],[fok]])</f>
        <v>3.717551306747922</v>
      </c>
      <c r="C239">
        <f ca="1">$B$1*COS(Táblázat14[[#This Row],[rad]])</f>
        <v>-5.8706939756179679</v>
      </c>
      <c r="D239">
        <f ca="1">$B$1*SIN(Táblázat14[[#This Row],[rad]])</f>
        <v>-3.8124732451051897</v>
      </c>
    </row>
    <row r="240" spans="1:4" x14ac:dyDescent="0.25">
      <c r="A240">
        <v>214</v>
      </c>
      <c r="B240">
        <f>RADIANS(Táblázat14[[#This Row],[fok]])</f>
        <v>3.7350045992678651</v>
      </c>
      <c r="C240">
        <f ca="1">$B$1*COS(Táblázat14[[#This Row],[rad]])</f>
        <v>-5.8032630078852927</v>
      </c>
      <c r="D240">
        <f ca="1">$B$1*SIN(Táblázat14[[#This Row],[rad]])</f>
        <v>-3.9143503242952269</v>
      </c>
    </row>
    <row r="241" spans="1:4" x14ac:dyDescent="0.25">
      <c r="A241">
        <v>215</v>
      </c>
      <c r="B241">
        <f>RADIANS(Táblázat14[[#This Row],[fok]])</f>
        <v>3.7524578917878086</v>
      </c>
      <c r="C241">
        <f ca="1">$B$1*COS(Táblázat14[[#This Row],[rad]])</f>
        <v>-5.7340643100229425</v>
      </c>
      <c r="D241">
        <f ca="1">$B$1*SIN(Táblázat14[[#This Row],[rad]])</f>
        <v>-4.0150350544573232</v>
      </c>
    </row>
    <row r="242" spans="1:4" x14ac:dyDescent="0.25">
      <c r="A242">
        <v>216</v>
      </c>
      <c r="B242">
        <f>RADIANS(Táblázat14[[#This Row],[fok]])</f>
        <v>3.7699111843077517</v>
      </c>
      <c r="C242">
        <f ca="1">$B$1*COS(Táblázat14[[#This Row],[rad]])</f>
        <v>-5.663118960624633</v>
      </c>
      <c r="D242">
        <f ca="1">$B$1*SIN(Táblázat14[[#This Row],[rad]])</f>
        <v>-4.1144967660473108</v>
      </c>
    </row>
    <row r="243" spans="1:4" x14ac:dyDescent="0.25">
      <c r="A243">
        <v>217</v>
      </c>
      <c r="B243">
        <f>RADIANS(Táblázat14[[#This Row],[fok]])</f>
        <v>3.7873644768276953</v>
      </c>
      <c r="C243">
        <f ca="1">$B$1*COS(Táblázat14[[#This Row],[rad]])</f>
        <v>-5.5904485703310502</v>
      </c>
      <c r="D243">
        <f ca="1">$B$1*SIN(Táblázat14[[#This Row],[rad]])</f>
        <v>-4.2127051620643385</v>
      </c>
    </row>
    <row r="244" spans="1:4" x14ac:dyDescent="0.25">
      <c r="A244">
        <v>218</v>
      </c>
      <c r="B244">
        <f>RADIANS(Táblázat14[[#This Row],[fok]])</f>
        <v>3.8048177693476384</v>
      </c>
      <c r="C244">
        <f ca="1">$B$1*COS(Táblázat14[[#This Row],[rad]])</f>
        <v>-5.5160752752470543</v>
      </c>
      <c r="D244">
        <f ca="1">$B$1*SIN(Táblázat14[[#This Row],[rad]])</f>
        <v>-4.3096303272796073</v>
      </c>
    </row>
    <row r="245" spans="1:4" x14ac:dyDescent="0.25">
      <c r="A245">
        <v>219</v>
      </c>
      <c r="B245">
        <f>RADIANS(Táblázat14[[#This Row],[fok]])</f>
        <v>3.8222710618675819</v>
      </c>
      <c r="C245">
        <f ca="1">$B$1*COS(Táblázat14[[#This Row],[rad]])</f>
        <v>-5.4400217301987954</v>
      </c>
      <c r="D245">
        <f ca="1">$B$1*SIN(Táblázat14[[#This Row],[rad]])</f>
        <v>-4.4052427373488632</v>
      </c>
    </row>
    <row r="246" spans="1:4" x14ac:dyDescent="0.25">
      <c r="A246">
        <v>220</v>
      </c>
      <c r="B246">
        <f>RADIANS(Táblázat14[[#This Row],[fok]])</f>
        <v>3.839724354387525</v>
      </c>
      <c r="C246">
        <f ca="1">$B$1*COS(Táblázat14[[#This Row],[rad]])</f>
        <v>-5.3623111018328462</v>
      </c>
      <c r="D246">
        <f ca="1">$B$1*SIN(Táblázat14[[#This Row],[rad]])</f>
        <v>-4.4995132678057743</v>
      </c>
    </row>
    <row r="247" spans="1:4" x14ac:dyDescent="0.25">
      <c r="A247">
        <v>221</v>
      </c>
      <c r="B247">
        <f>RADIANS(Táblázat14[[#This Row],[fok]])</f>
        <v>3.8571776469074681</v>
      </c>
      <c r="C247">
        <f ca="1">$B$1*COS(Táblázat14[[#This Row],[rad]])</f>
        <v>-5.2829670615594049</v>
      </c>
      <c r="D247">
        <f ca="1">$B$1*SIN(Táblázat14[[#This Row],[rad]])</f>
        <v>-4.5924132029335496</v>
      </c>
    </row>
    <row r="248" spans="1:4" x14ac:dyDescent="0.25">
      <c r="A248">
        <v>222</v>
      </c>
      <c r="B248">
        <f>RADIANS(Táblázat14[[#This Row],[fok]])</f>
        <v>3.8746309394274117</v>
      </c>
      <c r="C248">
        <f ca="1">$B$1*COS(Táblázat14[[#This Row],[rad]])</f>
        <v>-5.2020137783417599</v>
      </c>
      <c r="D248">
        <f ca="1">$B$1*SIN(Táblázat14[[#This Row],[rad]])</f>
        <v>-4.6839142445120077</v>
      </c>
    </row>
    <row r="249" spans="1:4" x14ac:dyDescent="0.25">
      <c r="A249">
        <v>223</v>
      </c>
      <c r="B249">
        <f>RADIANS(Táblázat14[[#This Row],[fok]])</f>
        <v>3.8920842319473548</v>
      </c>
      <c r="C249">
        <f ca="1">$B$1*COS(Táblázat14[[#This Row],[rad]])</f>
        <v>-5.1194759113341943</v>
      </c>
      <c r="D249">
        <f ca="1">$B$1*SIN(Táblázat14[[#This Row],[rad]])</f>
        <v>-4.7739885204374888</v>
      </c>
    </row>
    <row r="250" spans="1:4" x14ac:dyDescent="0.25">
      <c r="A250">
        <v>224</v>
      </c>
      <c r="B250">
        <f>RADIANS(Táblázat14[[#This Row],[fok]])</f>
        <v>3.9095375244672983</v>
      </c>
      <c r="C250">
        <f ca="1">$B$1*COS(Táblázat14[[#This Row],[rad]])</f>
        <v>-5.0353786023705576</v>
      </c>
      <c r="D250">
        <f ca="1">$B$1*SIN(Táblázat14[[#This Row],[rad]])</f>
        <v>-4.8626085932129817</v>
      </c>
    </row>
    <row r="251" spans="1:4" x14ac:dyDescent="0.25">
      <c r="A251">
        <v>225</v>
      </c>
      <c r="B251">
        <f>RADIANS(Táblázat14[[#This Row],[fok]])</f>
        <v>3.9269908169872414</v>
      </c>
      <c r="C251">
        <f ca="1">$B$1*COS(Táblázat14[[#This Row],[rad]])</f>
        <v>-4.9497474683058336</v>
      </c>
      <c r="D251">
        <f ca="1">$B$1*SIN(Táblázat14[[#This Row],[rad]])</f>
        <v>-4.9497474683058318</v>
      </c>
    </row>
    <row r="252" spans="1:4" x14ac:dyDescent="0.25">
      <c r="A252">
        <v>226</v>
      </c>
      <c r="B252">
        <f>RADIANS(Táblázat14[[#This Row],[fok]])</f>
        <v>3.9444441095071849</v>
      </c>
      <c r="C252">
        <f ca="1">$B$1*COS(Táblázat14[[#This Row],[rad]])</f>
        <v>-4.8626085932129808</v>
      </c>
      <c r="D252">
        <f ca="1">$B$1*SIN(Táblázat14[[#This Row],[rad]])</f>
        <v>-5.0353786023705585</v>
      </c>
    </row>
    <row r="253" spans="1:4" x14ac:dyDescent="0.25">
      <c r="A253">
        <v>227</v>
      </c>
      <c r="B253">
        <f>RADIANS(Táblázat14[[#This Row],[fok]])</f>
        <v>3.961897402027128</v>
      </c>
      <c r="C253">
        <f ca="1">$B$1*COS(Táblázat14[[#This Row],[rad]])</f>
        <v>-4.7739885204374897</v>
      </c>
      <c r="D253">
        <f ca="1">$B$1*SIN(Táblázat14[[#This Row],[rad]])</f>
        <v>-5.1194759113341934</v>
      </c>
    </row>
    <row r="254" spans="1:4" x14ac:dyDescent="0.25">
      <c r="A254">
        <v>228</v>
      </c>
      <c r="B254">
        <f>RADIANS(Táblázat14[[#This Row],[fok]])</f>
        <v>3.9793506945470716</v>
      </c>
      <c r="C254">
        <f ca="1">$B$1*COS(Táblázat14[[#This Row],[rad]])</f>
        <v>-4.6839142445120068</v>
      </c>
      <c r="D254">
        <f ca="1">$B$1*SIN(Táblázat14[[#This Row],[rad]])</f>
        <v>-5.2020137783417608</v>
      </c>
    </row>
    <row r="255" spans="1:4" x14ac:dyDescent="0.25">
      <c r="A255">
        <v>229</v>
      </c>
      <c r="B255">
        <f>RADIANS(Táblázat14[[#This Row],[fok]])</f>
        <v>3.9968039870670147</v>
      </c>
      <c r="C255">
        <f ca="1">$B$1*COS(Táblázat14[[#This Row],[rad]])</f>
        <v>-4.5924132029335514</v>
      </c>
      <c r="D255">
        <f ca="1">$B$1*SIN(Táblázat14[[#This Row],[rad]])</f>
        <v>-5.282967061559404</v>
      </c>
    </row>
    <row r="256" spans="1:4" x14ac:dyDescent="0.25">
      <c r="A256">
        <v>230</v>
      </c>
      <c r="B256">
        <f>RADIANS(Táblázat14[[#This Row],[fok]])</f>
        <v>4.0142572795869578</v>
      </c>
      <c r="C256">
        <f ca="1">$B$1*COS(Táblázat14[[#This Row],[rad]])</f>
        <v>-4.4995132678057761</v>
      </c>
      <c r="D256">
        <f ca="1">$B$1*SIN(Táblázat14[[#This Row],[rad]])</f>
        <v>-5.3623111018328453</v>
      </c>
    </row>
    <row r="257" spans="1:4" x14ac:dyDescent="0.25">
      <c r="A257">
        <v>231</v>
      </c>
      <c r="B257">
        <f>RADIANS(Táblázat14[[#This Row],[fok]])</f>
        <v>4.0317105721069009</v>
      </c>
      <c r="C257">
        <f ca="1">$B$1*COS(Táblázat14[[#This Row],[rad]])</f>
        <v>-4.405242737348865</v>
      </c>
      <c r="D257">
        <f ca="1">$B$1*SIN(Táblázat14[[#This Row],[rad]])</f>
        <v>-5.4400217301987936</v>
      </c>
    </row>
    <row r="258" spans="1:4" x14ac:dyDescent="0.25">
      <c r="A258">
        <v>232</v>
      </c>
      <c r="B258">
        <f>RADIANS(Táblázat14[[#This Row],[fok]])</f>
        <v>4.0491638646268449</v>
      </c>
      <c r="C258">
        <f ca="1">$B$1*COS(Táblázat14[[#This Row],[rad]])</f>
        <v>-4.3096303272796064</v>
      </c>
      <c r="D258">
        <f ca="1">$B$1*SIN(Táblázat14[[#This Row],[rad]])</f>
        <v>-5.5160752752470552</v>
      </c>
    </row>
    <row r="259" spans="1:4" x14ac:dyDescent="0.25">
      <c r="A259">
        <v>233</v>
      </c>
      <c r="B259">
        <f>RADIANS(Táblázat14[[#This Row],[fok]])</f>
        <v>4.066617157146788</v>
      </c>
      <c r="C259">
        <f ca="1">$B$1*COS(Táblázat14[[#This Row],[rad]])</f>
        <v>-4.2127051620643376</v>
      </c>
      <c r="D259">
        <f ca="1">$B$1*SIN(Táblázat14[[#This Row],[rad]])</f>
        <v>-5.5904485703310502</v>
      </c>
    </row>
    <row r="260" spans="1:4" x14ac:dyDescent="0.25">
      <c r="A260">
        <v>234</v>
      </c>
      <c r="B260">
        <f>RADIANS(Táblázat14[[#This Row],[fok]])</f>
        <v>4.0840704496667311</v>
      </c>
      <c r="C260">
        <f ca="1">$B$1*COS(Táblázat14[[#This Row],[rad]])</f>
        <v>-4.1144967660473126</v>
      </c>
      <c r="D260">
        <f ca="1">$B$1*SIN(Táblázat14[[#This Row],[rad]])</f>
        <v>-5.6631189606246313</v>
      </c>
    </row>
    <row r="261" spans="1:4" x14ac:dyDescent="0.25">
      <c r="A261">
        <v>235</v>
      </c>
      <c r="B261">
        <f>RADIANS(Táblázat14[[#This Row],[fok]])</f>
        <v>4.1015237421866741</v>
      </c>
      <c r="C261">
        <f ca="1">$B$1*COS(Táblázat14[[#This Row],[rad]])</f>
        <v>-4.015035054457325</v>
      </c>
      <c r="D261">
        <f ca="1">$B$1*SIN(Táblázat14[[#This Row],[rad]])</f>
        <v>-5.7340643100229407</v>
      </c>
    </row>
    <row r="262" spans="1:4" x14ac:dyDescent="0.25">
      <c r="A262">
        <v>236</v>
      </c>
      <c r="B262">
        <f>RADIANS(Táblázat14[[#This Row],[fok]])</f>
        <v>4.1189770347066181</v>
      </c>
      <c r="C262">
        <f ca="1">$B$1*COS(Táblázat14[[#This Row],[rad]])</f>
        <v>-3.914350324295226</v>
      </c>
      <c r="D262">
        <f ca="1">$B$1*SIN(Táblázat14[[#This Row],[rad]])</f>
        <v>-5.8032630078852927</v>
      </c>
    </row>
    <row r="263" spans="1:4" x14ac:dyDescent="0.25">
      <c r="A263">
        <v>237</v>
      </c>
      <c r="B263">
        <f>RADIANS(Táblázat14[[#This Row],[fok]])</f>
        <v>4.1364303272265612</v>
      </c>
      <c r="C263">
        <f ca="1">$B$1*COS(Táblázat14[[#This Row],[rad]])</f>
        <v>-3.8124732451051888</v>
      </c>
      <c r="D263">
        <f ca="1">$B$1*SIN(Táblázat14[[#This Row],[rad]])</f>
        <v>-5.8706939756179679</v>
      </c>
    </row>
    <row r="264" spans="1:4" x14ac:dyDescent="0.25">
      <c r="A264">
        <v>238</v>
      </c>
      <c r="B264">
        <f>RADIANS(Táblázat14[[#This Row],[fok]])</f>
        <v>4.1538836197465043</v>
      </c>
      <c r="C264">
        <f ca="1">$B$1*COS(Táblázat14[[#This Row],[rad]])</f>
        <v>-3.709434849632435</v>
      </c>
      <c r="D264">
        <f ca="1">$B$1*SIN(Táblázat14[[#This Row],[rad]])</f>
        <v>-5.9363366730949814</v>
      </c>
    </row>
    <row r="265" spans="1:4" x14ac:dyDescent="0.25">
      <c r="A265">
        <v>239</v>
      </c>
      <c r="B265">
        <f>RADIANS(Táblázat14[[#This Row],[fok]])</f>
        <v>4.1713369122664474</v>
      </c>
      <c r="C265">
        <f ca="1">$B$1*COS(Táblázat14[[#This Row],[rad]])</f>
        <v>-3.6052665243703812</v>
      </c>
      <c r="D265">
        <f ca="1">$B$1*SIN(Táblázat14[[#This Row],[rad]])</f>
        <v>-6.0001711049147843</v>
      </c>
    </row>
    <row r="266" spans="1:4" x14ac:dyDescent="0.25">
      <c r="A266">
        <v>240</v>
      </c>
      <c r="B266">
        <f>RADIANS(Táblázat14[[#This Row],[fok]])</f>
        <v>4.1887902047863905</v>
      </c>
      <c r="C266">
        <f ca="1">$B$1*COS(Táblázat14[[#This Row],[rad]])</f>
        <v>-3.5000000000000031</v>
      </c>
      <c r="D266">
        <f ca="1">$B$1*SIN(Táblázat14[[#This Row],[rad]])</f>
        <v>-6.0621778264910686</v>
      </c>
    </row>
    <row r="267" spans="1:4" x14ac:dyDescent="0.25">
      <c r="A267">
        <v>241</v>
      </c>
      <c r="B267">
        <f>RADIANS(Táblázat14[[#This Row],[fok]])</f>
        <v>4.2062434973063345</v>
      </c>
      <c r="C267">
        <f ca="1">$B$1*COS(Táblázat14[[#This Row],[rad]])</f>
        <v>-3.3936673417243579</v>
      </c>
      <c r="D267">
        <f ca="1">$B$1*SIN(Táblázat14[[#This Row],[rad]])</f>
        <v>-6.1223379499757717</v>
      </c>
    </row>
    <row r="268" spans="1:4" x14ac:dyDescent="0.25">
      <c r="A268">
        <v>242</v>
      </c>
      <c r="B268">
        <f>RADIANS(Táblázat14[[#This Row],[fok]])</f>
        <v>4.2236967898262776</v>
      </c>
      <c r="C268">
        <f ca="1">$B$1*COS(Táblázat14[[#This Row],[rad]])</f>
        <v>-3.2863009395012353</v>
      </c>
      <c r="D268">
        <f ca="1">$B$1*SIN(Táblázat14[[#This Row],[rad]])</f>
        <v>-6.1806331500124889</v>
      </c>
    </row>
    <row r="269" spans="1:4" x14ac:dyDescent="0.25">
      <c r="A269">
        <v>243</v>
      </c>
      <c r="B269">
        <f>RADIANS(Táblázat14[[#This Row],[fok]])</f>
        <v>4.2411500823462207</v>
      </c>
      <c r="C269">
        <f ca="1">$B$1*COS(Táblázat14[[#This Row],[rad]])</f>
        <v>-3.1779334981768286</v>
      </c>
      <c r="D269">
        <f ca="1">$B$1*SIN(Táblázat14[[#This Row],[rad]])</f>
        <v>-6.2370456693185741</v>
      </c>
    </row>
    <row r="270" spans="1:4" x14ac:dyDescent="0.25">
      <c r="A270">
        <v>244</v>
      </c>
      <c r="B270">
        <f>RADIANS(Táblázat14[[#This Row],[fok]])</f>
        <v>4.2586033748661638</v>
      </c>
      <c r="C270">
        <f ca="1">$B$1*COS(Táblázat14[[#This Row],[rad]])</f>
        <v>-3.068598027523544</v>
      </c>
      <c r="D270">
        <f ca="1">$B$1*SIN(Táblázat14[[#This Row],[rad]])</f>
        <v>-6.2915583240941677</v>
      </c>
    </row>
    <row r="271" spans="1:4" x14ac:dyDescent="0.25">
      <c r="A271">
        <v>245</v>
      </c>
      <c r="B271">
        <f>RADIANS(Táblázat14[[#This Row],[fok]])</f>
        <v>4.2760566673861078</v>
      </c>
      <c r="C271">
        <f ca="1">$B$1*COS(Táblázat14[[#This Row],[rad]])</f>
        <v>-2.958327832184894</v>
      </c>
      <c r="D271">
        <f ca="1">$B$1*SIN(Táblázat14[[#This Row],[rad]])</f>
        <v>-6.3441545092565503</v>
      </c>
    </row>
    <row r="272" spans="1:4" x14ac:dyDescent="0.25">
      <c r="A272">
        <v>246</v>
      </c>
      <c r="B272">
        <f>RADIANS(Táblázat14[[#This Row],[fok]])</f>
        <v>4.2935099599060509</v>
      </c>
      <c r="C272">
        <f ca="1">$B$1*COS(Táblázat14[[#This Row],[rad]])</f>
        <v>-2.8471565015306006</v>
      </c>
      <c r="D272">
        <f ca="1">$B$1*SIN(Táblázat14[[#This Row],[rad]])</f>
        <v>-6.3948182034982066</v>
      </c>
    </row>
    <row r="273" spans="1:4" x14ac:dyDescent="0.25">
      <c r="A273">
        <v>247</v>
      </c>
      <c r="B273">
        <f>RADIANS(Táblázat14[[#This Row],[fok]])</f>
        <v>4.310963252425994</v>
      </c>
      <c r="C273">
        <f ca="1">$B$1*COS(Táblázat14[[#This Row],[rad]])</f>
        <v>-2.7351178994249166</v>
      </c>
      <c r="D273">
        <f ca="1">$B$1*SIN(Táblázat14[[#This Row],[rad]])</f>
        <v>-6.4435339741670816</v>
      </c>
    </row>
    <row r="274" spans="1:4" x14ac:dyDescent="0.25">
      <c r="A274">
        <v>248</v>
      </c>
      <c r="B274">
        <f>RADIANS(Táblázat14[[#This Row],[fok]])</f>
        <v>4.3284165449459371</v>
      </c>
      <c r="C274">
        <f ca="1">$B$1*COS(Táblázat14[[#This Row],[rad]])</f>
        <v>-2.6222461539113859</v>
      </c>
      <c r="D274">
        <f ca="1">$B$1*SIN(Táblázat14[[#This Row],[rad]])</f>
        <v>-6.4902869819675111</v>
      </c>
    </row>
    <row r="275" spans="1:4" x14ac:dyDescent="0.25">
      <c r="A275">
        <v>249</v>
      </c>
      <c r="B275">
        <f>RADIANS(Táblázat14[[#This Row],[fok]])</f>
        <v>4.3458698374658802</v>
      </c>
      <c r="C275">
        <f ca="1">$B$1*COS(Táblázat14[[#This Row],[rad]])</f>
        <v>-2.5085756468171052</v>
      </c>
      <c r="D275">
        <f ca="1">$B$1*SIN(Táblázat14[[#This Row],[rad]])</f>
        <v>-6.5350629854804119</v>
      </c>
    </row>
    <row r="276" spans="1:4" x14ac:dyDescent="0.25">
      <c r="A276">
        <v>250</v>
      </c>
      <c r="B276">
        <f>RADIANS(Táblázat14[[#This Row],[fok]])</f>
        <v>4.3633231299858242</v>
      </c>
      <c r="C276">
        <f ca="1">$B$1*COS(Táblázat14[[#This Row],[rad]])</f>
        <v>-2.3941410032796799</v>
      </c>
      <c r="D276">
        <f ca="1">$B$1*SIN(Táblázat14[[#This Row],[rad]])</f>
        <v>-6.5778483455013586</v>
      </c>
    </row>
    <row r="277" spans="1:4" x14ac:dyDescent="0.25">
      <c r="A277">
        <v>251</v>
      </c>
      <c r="B277">
        <f>RADIANS(Táblázat14[[#This Row],[fok]])</f>
        <v>4.3807764225057673</v>
      </c>
      <c r="C277">
        <f ca="1">$B$1*COS(Táblázat14[[#This Row],[rad]])</f>
        <v>-2.2789770812000967</v>
      </c>
      <c r="D277">
        <f ca="1">$B$1*SIN(Táblázat14[[#This Row],[rad]])</f>
        <v>-6.6186300291952183</v>
      </c>
    </row>
    <row r="278" spans="1:4" x14ac:dyDescent="0.25">
      <c r="A278">
        <v>252</v>
      </c>
      <c r="B278">
        <f>RADIANS(Táblázat14[[#This Row],[fok]])</f>
        <v>4.3982297150257104</v>
      </c>
      <c r="C278">
        <f ca="1">$B$1*COS(Táblázat14[[#This Row],[rad]])</f>
        <v>-2.163118960624633</v>
      </c>
      <c r="D278">
        <f ca="1">$B$1*SIN(Táblázat14[[#This Row],[rad]])</f>
        <v>-6.6573956140660746</v>
      </c>
    </row>
    <row r="279" spans="1:4" x14ac:dyDescent="0.25">
      <c r="A279">
        <v>253</v>
      </c>
      <c r="B279">
        <f>RADIANS(Táblázat14[[#This Row],[fok]])</f>
        <v>4.4156830075456535</v>
      </c>
      <c r="C279">
        <f ca="1">$B$1*COS(Táblázat14[[#This Row],[rad]])</f>
        <v>-2.0466019330591596</v>
      </c>
      <c r="D279">
        <f ca="1">$B$1*SIN(Táblázat14[[#This Row],[rad]])</f>
        <v>-6.694133291741247</v>
      </c>
    </row>
    <row r="280" spans="1:4" x14ac:dyDescent="0.25">
      <c r="A280">
        <v>254</v>
      </c>
      <c r="B280">
        <f>RADIANS(Táblázat14[[#This Row],[fok]])</f>
        <v>4.4331363000655974</v>
      </c>
      <c r="C280">
        <f ca="1">$B$1*COS(Táblázat14[[#This Row],[rad]])</f>
        <v>-1.9294614907189922</v>
      </c>
      <c r="D280">
        <f ca="1">$B$1*SIN(Táblázat14[[#This Row],[rad]])</f>
        <v>-6.7288318715682331</v>
      </c>
    </row>
    <row r="281" spans="1:4" x14ac:dyDescent="0.25">
      <c r="A281">
        <v>255</v>
      </c>
      <c r="B281">
        <f>RADIANS(Táblázat14[[#This Row],[fok]])</f>
        <v>4.4505895925855405</v>
      </c>
      <c r="C281">
        <f ca="1">$B$1*COS(Táblázat14[[#This Row],[rad]])</f>
        <v>-1.8117333157176443</v>
      </c>
      <c r="D281">
        <f ca="1">$B$1*SIN(Táblázat14[[#This Row],[rad]])</f>
        <v>-6.7614807840234779</v>
      </c>
    </row>
    <row r="282" spans="1:4" x14ac:dyDescent="0.25">
      <c r="A282">
        <v>256</v>
      </c>
      <c r="B282">
        <f>RADIANS(Táblázat14[[#This Row],[fok]])</f>
        <v>4.4680428851054836</v>
      </c>
      <c r="C282">
        <f ca="1">$B$1*COS(Táblázat14[[#This Row],[rad]])</f>
        <v>-1.6934532691976745</v>
      </c>
      <c r="D282">
        <f ca="1">$B$1*SIN(Táblázat14[[#This Row],[rad]])</f>
        <v>-6.792070083931975</v>
      </c>
    </row>
    <row r="283" spans="1:4" x14ac:dyDescent="0.25">
      <c r="A283">
        <v>257</v>
      </c>
      <c r="B283">
        <f>RADIANS(Táblázat14[[#This Row],[fok]])</f>
        <v>4.4854961776254267</v>
      </c>
      <c r="C283">
        <f ca="1">$B$1*COS(Táblázat14[[#This Row],[rad]])</f>
        <v>-1.5746573804070567</v>
      </c>
      <c r="D283">
        <f ca="1">$B$1*SIN(Táblázat14[[#This Row],[rad]])</f>
        <v>-6.8205904534966457</v>
      </c>
    </row>
    <row r="284" spans="1:4" x14ac:dyDescent="0.25">
      <c r="A284">
        <v>258</v>
      </c>
      <c r="B284">
        <f>RADIANS(Táblázat14[[#This Row],[fok]])</f>
        <v>4.5029494701453698</v>
      </c>
      <c r="C284">
        <f ca="1">$B$1*COS(Táblázat14[[#This Row],[rad]])</f>
        <v>-1.4553818357243185</v>
      </c>
      <c r="D284">
        <f ca="1">$B$1*SIN(Táblázat14[[#This Row],[rad]])</f>
        <v>-6.8470332051366389</v>
      </c>
    </row>
    <row r="285" spans="1:4" x14ac:dyDescent="0.25">
      <c r="A285">
        <v>259</v>
      </c>
      <c r="B285">
        <f>RADIANS(Táblázat14[[#This Row],[fok]])</f>
        <v>4.5204027626653138</v>
      </c>
      <c r="C285">
        <f ca="1">$B$1*COS(Táblázat14[[#This Row],[rad]])</f>
        <v>-1.3356629676358123</v>
      </c>
      <c r="D285">
        <f ca="1">$B$1*SIN(Táblázat14[[#This Row],[rad]])</f>
        <v>-6.8713902841336481</v>
      </c>
    </row>
    <row r="286" spans="1:4" x14ac:dyDescent="0.25">
      <c r="A286">
        <v>260</v>
      </c>
      <c r="B286">
        <f>RADIANS(Táblázat14[[#This Row],[fok]])</f>
        <v>4.5378560551852569</v>
      </c>
      <c r="C286">
        <f ca="1">$B$1*COS(Táblázat14[[#This Row],[rad]])</f>
        <v>-1.2155372436685123</v>
      </c>
      <c r="D286">
        <f ca="1">$B$1*SIN(Táblázat14[[#This Row],[rad]])</f>
        <v>-6.893654271085456</v>
      </c>
    </row>
    <row r="287" spans="1:4" x14ac:dyDescent="0.25">
      <c r="A287">
        <v>261</v>
      </c>
      <c r="B287">
        <f>RADIANS(Táblázat14[[#This Row],[fok]])</f>
        <v>4.5553093477052</v>
      </c>
      <c r="C287">
        <f ca="1">$B$1*COS(Táblázat14[[#This Row],[rad]])</f>
        <v>-1.0950412552816173</v>
      </c>
      <c r="D287">
        <f ca="1">$B$1*SIN(Táblázat14[[#This Row],[rad]])</f>
        <v>-6.9138183841659639</v>
      </c>
    </row>
    <row r="288" spans="1:4" x14ac:dyDescent="0.25">
      <c r="A288">
        <v>262</v>
      </c>
      <c r="B288">
        <f>RADIANS(Táblázat14[[#This Row],[fok]])</f>
        <v>4.5727626402251431</v>
      </c>
      <c r="C288">
        <f ca="1">$B$1*COS(Táblázat14[[#This Row],[rad]])</f>
        <v>-0.97421170672046076</v>
      </c>
      <c r="D288">
        <f ca="1">$B$1*SIN(Táblázat14[[#This Row],[rad]])</f>
        <v>-6.9318764811909919</v>
      </c>
    </row>
    <row r="289" spans="1:4" x14ac:dyDescent="0.25">
      <c r="A289">
        <v>263</v>
      </c>
      <c r="B289">
        <f>RADIANS(Táblázat14[[#This Row],[fok]])</f>
        <v>4.5902159327450871</v>
      </c>
      <c r="C289">
        <f ca="1">$B$1*COS(Táblázat14[[#This Row],[rad]])</f>
        <v>-0.85308540383603015</v>
      </c>
      <c r="D289">
        <f ca="1">$B$1*SIN(Táblázat14[[#This Row],[rad]])</f>
        <v>-6.9478230614892542</v>
      </c>
    </row>
    <row r="290" spans="1:4" x14ac:dyDescent="0.25">
      <c r="A290">
        <v>264</v>
      </c>
      <c r="B290">
        <f>RADIANS(Táblázat14[[#This Row],[fok]])</f>
        <v>4.6076692252650302</v>
      </c>
      <c r="C290">
        <f ca="1">$B$1*COS(Táblázat14[[#This Row],[rad]])</f>
        <v>-0.73169924287357357</v>
      </c>
      <c r="D290">
        <f ca="1">$B$1*SIN(Táblázat14[[#This Row],[rad]])</f>
        <v>-6.9616532675779137</v>
      </c>
    </row>
    <row r="291" spans="1:4" x14ac:dyDescent="0.25">
      <c r="A291">
        <v>265</v>
      </c>
      <c r="B291">
        <f>RADIANS(Táblázat14[[#This Row],[fok]])</f>
        <v>4.6251225177849733</v>
      </c>
      <c r="C291">
        <f ca="1">$B$1*COS(Táblázat14[[#This Row],[rad]])</f>
        <v>-0.61009019923360774</v>
      </c>
      <c r="D291">
        <f ca="1">$B$1*SIN(Táblázat14[[#This Row],[rad]])</f>
        <v>-6.973362886642219</v>
      </c>
    </row>
    <row r="292" spans="1:4" x14ac:dyDescent="0.25">
      <c r="A292">
        <v>266</v>
      </c>
      <c r="B292">
        <f>RADIANS(Táblázat14[[#This Row],[fok]])</f>
        <v>4.6425758103049164</v>
      </c>
      <c r="C292">
        <f ca="1">$B$1*COS(Táblázat14[[#This Row],[rad]])</f>
        <v>-0.48829531620887906</v>
      </c>
      <c r="D292">
        <f ca="1">$B$1*SIN(Táblázat14[[#This Row],[rad]])</f>
        <v>-6.9829483518187692</v>
      </c>
    </row>
    <row r="293" spans="1:4" x14ac:dyDescent="0.25">
      <c r="A293">
        <v>267</v>
      </c>
      <c r="B293">
        <f>RADIANS(Táblázat14[[#This Row],[fok]])</f>
        <v>4.6600291028248595</v>
      </c>
      <c r="C293">
        <f ca="1">$B$1*COS(Táblázat14[[#This Row],[rad]])</f>
        <v>-0.36635169370061016</v>
      </c>
      <c r="D293">
        <f ca="1">$B$1*SIN(Táblázat14[[#This Row],[rad]])</f>
        <v>-6.9904067432820165</v>
      </c>
    </row>
    <row r="294" spans="1:4" x14ac:dyDescent="0.25">
      <c r="A294">
        <v>268</v>
      </c>
      <c r="B294">
        <f>RADIANS(Táblázat14[[#This Row],[fok]])</f>
        <v>4.6774823953448035</v>
      </c>
      <c r="C294">
        <f ca="1">$B$1*COS(Táblázat14[[#This Row],[rad]])</f>
        <v>-0.24429647691750533</v>
      </c>
      <c r="D294">
        <f ca="1">$B$1*SIN(Táblázat14[[#This Row],[rad]])</f>
        <v>-6.9957357891336702</v>
      </c>
    </row>
    <row r="295" spans="1:4" x14ac:dyDescent="0.25">
      <c r="A295">
        <v>269</v>
      </c>
      <c r="B295">
        <f>RADIANS(Táblázat14[[#This Row],[fok]])</f>
        <v>4.6949356878647466</v>
      </c>
      <c r="C295">
        <f ca="1">$B$1*COS(Táblázat14[[#This Row],[rad]])</f>
        <v>-0.12216684506098449</v>
      </c>
      <c r="D295">
        <f ca="1">$B$1*SIN(Táblázat14[[#This Row],[rad]])</f>
        <v>-6.9989338660947391</v>
      </c>
    </row>
    <row r="296" spans="1:4" x14ac:dyDescent="0.25">
      <c r="A296">
        <v>270</v>
      </c>
      <c r="B296">
        <f>RADIANS(Táblázat14[[#This Row],[fok]])</f>
        <v>4.7123889803846897</v>
      </c>
      <c r="C296">
        <f ca="1">$B$1*COS(Táblázat14[[#This Row],[rad]])</f>
        <v>-1.286405877654051E-15</v>
      </c>
      <c r="D296">
        <f ca="1">$B$1*SIN(Táblázat14[[#This Row],[rad]])</f>
        <v>-7</v>
      </c>
    </row>
    <row r="297" spans="1:4" x14ac:dyDescent="0.25">
      <c r="A297">
        <v>271</v>
      </c>
      <c r="B297">
        <f>RADIANS(Táblázat14[[#This Row],[fok]])</f>
        <v>4.7298422729046328</v>
      </c>
      <c r="C297">
        <f ca="1">$B$1*COS(Táblázat14[[#This Row],[rad]])</f>
        <v>0.12216684506098191</v>
      </c>
      <c r="D297">
        <f ca="1">$B$1*SIN(Táblázat14[[#This Row],[rad]])</f>
        <v>-6.9989338660947391</v>
      </c>
    </row>
    <row r="298" spans="1:4" x14ac:dyDescent="0.25">
      <c r="A298">
        <v>272</v>
      </c>
      <c r="B298">
        <f>RADIANS(Táblázat14[[#This Row],[fok]])</f>
        <v>4.7472955654245768</v>
      </c>
      <c r="C298">
        <f ca="1">$B$1*COS(Táblázat14[[#This Row],[rad]])</f>
        <v>0.24429647691750897</v>
      </c>
      <c r="D298">
        <f ca="1">$B$1*SIN(Táblázat14[[#This Row],[rad]])</f>
        <v>-6.9957357891336702</v>
      </c>
    </row>
    <row r="299" spans="1:4" x14ac:dyDescent="0.25">
      <c r="A299">
        <v>273</v>
      </c>
      <c r="B299">
        <f>RADIANS(Táblázat14[[#This Row],[fok]])</f>
        <v>4.7647488579445199</v>
      </c>
      <c r="C299">
        <f ca="1">$B$1*COS(Táblázat14[[#This Row],[rad]])</f>
        <v>0.36635169370060761</v>
      </c>
      <c r="D299">
        <f ca="1">$B$1*SIN(Táblázat14[[#This Row],[rad]])</f>
        <v>-6.9904067432820165</v>
      </c>
    </row>
    <row r="300" spans="1:4" x14ac:dyDescent="0.25">
      <c r="A300">
        <v>274</v>
      </c>
      <c r="B300">
        <f>RADIANS(Táblázat14[[#This Row],[fok]])</f>
        <v>4.782202150464463</v>
      </c>
      <c r="C300">
        <f ca="1">$B$1*COS(Táblázat14[[#This Row],[rad]])</f>
        <v>0.48829531620887656</v>
      </c>
      <c r="D300">
        <f ca="1">$B$1*SIN(Táblázat14[[#This Row],[rad]])</f>
        <v>-6.98294835181877</v>
      </c>
    </row>
    <row r="301" spans="1:4" x14ac:dyDescent="0.25">
      <c r="A301">
        <v>275</v>
      </c>
      <c r="B301">
        <f>RADIANS(Táblázat14[[#This Row],[fok]])</f>
        <v>4.7996554429844061</v>
      </c>
      <c r="C301">
        <f ca="1">$B$1*COS(Táblázat14[[#This Row],[rad]])</f>
        <v>0.61009019923360519</v>
      </c>
      <c r="D301">
        <f ca="1">$B$1*SIN(Táblázat14[[#This Row],[rad]])</f>
        <v>-6.973362886642219</v>
      </c>
    </row>
    <row r="302" spans="1:4" x14ac:dyDescent="0.25">
      <c r="A302">
        <v>276</v>
      </c>
      <c r="B302">
        <f>RADIANS(Táblázat14[[#This Row],[fok]])</f>
        <v>4.8171087355043491</v>
      </c>
      <c r="C302">
        <f ca="1">$B$1*COS(Táblázat14[[#This Row],[rad]])</f>
        <v>0.73169924287357091</v>
      </c>
      <c r="D302">
        <f ca="1">$B$1*SIN(Táblázat14[[#This Row],[rad]])</f>
        <v>-6.9616532675779137</v>
      </c>
    </row>
    <row r="303" spans="1:4" x14ac:dyDescent="0.25">
      <c r="A303">
        <v>277</v>
      </c>
      <c r="B303">
        <f>RADIANS(Táblázat14[[#This Row],[fok]])</f>
        <v>4.8345620280242931</v>
      </c>
      <c r="C303">
        <f ca="1">$B$1*COS(Táblázat14[[#This Row],[rad]])</f>
        <v>0.85308540383603382</v>
      </c>
      <c r="D303">
        <f ca="1">$B$1*SIN(Táblázat14[[#This Row],[rad]])</f>
        <v>-6.9478230614892542</v>
      </c>
    </row>
    <row r="304" spans="1:4" x14ac:dyDescent="0.25">
      <c r="A304">
        <v>278</v>
      </c>
      <c r="B304">
        <f>RADIANS(Táblázat14[[#This Row],[fok]])</f>
        <v>4.8520153205442362</v>
      </c>
      <c r="C304">
        <f ca="1">$B$1*COS(Táblázat14[[#This Row],[rad]])</f>
        <v>0.97421170672045831</v>
      </c>
      <c r="D304">
        <f ca="1">$B$1*SIN(Táblázat14[[#This Row],[rad]])</f>
        <v>-6.9318764811909928</v>
      </c>
    </row>
    <row r="305" spans="1:4" x14ac:dyDescent="0.25">
      <c r="A305">
        <v>279</v>
      </c>
      <c r="B305">
        <f>RADIANS(Táblázat14[[#This Row],[fok]])</f>
        <v>4.8694686130641793</v>
      </c>
      <c r="C305">
        <f ca="1">$B$1*COS(Táblázat14[[#This Row],[rad]])</f>
        <v>1.0950412552816147</v>
      </c>
      <c r="D305">
        <f ca="1">$B$1*SIN(Táblázat14[[#This Row],[rad]])</f>
        <v>-6.9138183841659639</v>
      </c>
    </row>
    <row r="306" spans="1:4" x14ac:dyDescent="0.25">
      <c r="A306">
        <v>280</v>
      </c>
      <c r="B306">
        <f>RADIANS(Táblázat14[[#This Row],[fok]])</f>
        <v>4.8869219055841224</v>
      </c>
      <c r="C306">
        <f ca="1">$B$1*COS(Táblázat14[[#This Row],[rad]])</f>
        <v>1.2155372436685097</v>
      </c>
      <c r="D306">
        <f ca="1">$B$1*SIN(Táblázat14[[#This Row],[rad]])</f>
        <v>-6.8936542710854569</v>
      </c>
    </row>
    <row r="307" spans="1:4" x14ac:dyDescent="0.25">
      <c r="A307">
        <v>281</v>
      </c>
      <c r="B307">
        <f>RADIANS(Táblázat14[[#This Row],[fok]])</f>
        <v>4.9043751981040664</v>
      </c>
      <c r="C307">
        <f ca="1">$B$1*COS(Táblázat14[[#This Row],[rad]])</f>
        <v>1.3356629676358158</v>
      </c>
      <c r="D307">
        <f ca="1">$B$1*SIN(Táblázat14[[#This Row],[rad]])</f>
        <v>-6.8713902841336472</v>
      </c>
    </row>
    <row r="308" spans="1:4" x14ac:dyDescent="0.25">
      <c r="A308">
        <v>282</v>
      </c>
      <c r="B308">
        <f>RADIANS(Táblázat14[[#This Row],[fok]])</f>
        <v>4.9218284906240095</v>
      </c>
      <c r="C308">
        <f ca="1">$B$1*COS(Táblázat14[[#This Row],[rad]])</f>
        <v>1.455381835724316</v>
      </c>
      <c r="D308">
        <f ca="1">$B$1*SIN(Táblázat14[[#This Row],[rad]])</f>
        <v>-6.8470332051366389</v>
      </c>
    </row>
    <row r="309" spans="1:4" x14ac:dyDescent="0.25">
      <c r="A309">
        <v>283</v>
      </c>
      <c r="B309">
        <f>RADIANS(Táblázat14[[#This Row],[fok]])</f>
        <v>4.9392817831439526</v>
      </c>
      <c r="C309">
        <f ca="1">$B$1*COS(Táblázat14[[#This Row],[rad]])</f>
        <v>1.5746573804070545</v>
      </c>
      <c r="D309">
        <f ca="1">$B$1*SIN(Táblázat14[[#This Row],[rad]])</f>
        <v>-6.8205904534966466</v>
      </c>
    </row>
    <row r="310" spans="1:4" x14ac:dyDescent="0.25">
      <c r="A310">
        <v>284</v>
      </c>
      <c r="B310">
        <f>RADIANS(Táblázat14[[#This Row],[fok]])</f>
        <v>4.9567350756638957</v>
      </c>
      <c r="C310">
        <f ca="1">$B$1*COS(Táblázat14[[#This Row],[rad]])</f>
        <v>1.6934532691976723</v>
      </c>
      <c r="D310">
        <f ca="1">$B$1*SIN(Táblázat14[[#This Row],[rad]])</f>
        <v>-6.7920700839319759</v>
      </c>
    </row>
    <row r="311" spans="1:4" x14ac:dyDescent="0.25">
      <c r="A311">
        <v>285</v>
      </c>
      <c r="B311">
        <f>RADIANS(Táblázat14[[#This Row],[fok]])</f>
        <v>4.9741883681838388</v>
      </c>
      <c r="C311">
        <f ca="1">$B$1*COS(Táblázat14[[#This Row],[rad]])</f>
        <v>1.8117333157176421</v>
      </c>
      <c r="D311">
        <f ca="1">$B$1*SIN(Táblázat14[[#This Row],[rad]])</f>
        <v>-6.7614807840234787</v>
      </c>
    </row>
    <row r="312" spans="1:4" x14ac:dyDescent="0.25">
      <c r="A312">
        <v>286</v>
      </c>
      <c r="B312">
        <f>RADIANS(Táblázat14[[#This Row],[fok]])</f>
        <v>4.9916416607037828</v>
      </c>
      <c r="C312">
        <f ca="1">$B$1*COS(Táblázat14[[#This Row],[rad]])</f>
        <v>1.9294614907189958</v>
      </c>
      <c r="D312">
        <f ca="1">$B$1*SIN(Táblázat14[[#This Row],[rad]])</f>
        <v>-6.7288318715682314</v>
      </c>
    </row>
    <row r="313" spans="1:4" x14ac:dyDescent="0.25">
      <c r="A313">
        <v>287</v>
      </c>
      <c r="B313">
        <f>RADIANS(Táblázat14[[#This Row],[fok]])</f>
        <v>5.0090949532237259</v>
      </c>
      <c r="C313">
        <f ca="1">$B$1*COS(Táblázat14[[#This Row],[rad]])</f>
        <v>2.0466019330591569</v>
      </c>
      <c r="D313">
        <f ca="1">$B$1*SIN(Táblázat14[[#This Row],[rad]])</f>
        <v>-6.6941332917412479</v>
      </c>
    </row>
    <row r="314" spans="1:4" x14ac:dyDescent="0.25">
      <c r="A314">
        <v>288</v>
      </c>
      <c r="B314">
        <f>RADIANS(Táblázat14[[#This Row],[fok]])</f>
        <v>5.026548245743669</v>
      </c>
      <c r="C314">
        <f ca="1">$B$1*COS(Táblázat14[[#This Row],[rad]])</f>
        <v>2.1631189606246304</v>
      </c>
      <c r="D314">
        <f ca="1">$B$1*SIN(Táblázat14[[#This Row],[rad]])</f>
        <v>-6.6573956140660755</v>
      </c>
    </row>
    <row r="315" spans="1:4" x14ac:dyDescent="0.25">
      <c r="A315">
        <v>289</v>
      </c>
      <c r="B315">
        <f>RADIANS(Táblázat14[[#This Row],[fok]])</f>
        <v>5.0440015382636121</v>
      </c>
      <c r="C315">
        <f ca="1">$B$1*COS(Táblázat14[[#This Row],[rad]])</f>
        <v>2.278977081200094</v>
      </c>
      <c r="D315">
        <f ca="1">$B$1*SIN(Táblázat14[[#This Row],[rad]])</f>
        <v>-6.6186300291952183</v>
      </c>
    </row>
    <row r="316" spans="1:4" x14ac:dyDescent="0.25">
      <c r="A316">
        <v>290</v>
      </c>
      <c r="B316">
        <f>RADIANS(Táblázat14[[#This Row],[fok]])</f>
        <v>5.0614548307835561</v>
      </c>
      <c r="C316">
        <f ca="1">$B$1*COS(Táblázat14[[#This Row],[rad]])</f>
        <v>2.394141003279683</v>
      </c>
      <c r="D316">
        <f ca="1">$B$1*SIN(Táblázat14[[#This Row],[rad]])</f>
        <v>-6.5778483455013586</v>
      </c>
    </row>
    <row r="317" spans="1:4" x14ac:dyDescent="0.25">
      <c r="A317">
        <v>291</v>
      </c>
      <c r="B317">
        <f>RADIANS(Táblázat14[[#This Row],[fok]])</f>
        <v>5.0789081233034992</v>
      </c>
      <c r="C317">
        <f ca="1">$B$1*COS(Táblázat14[[#This Row],[rad]])</f>
        <v>2.5085756468171025</v>
      </c>
      <c r="D317">
        <f ca="1">$B$1*SIN(Táblázat14[[#This Row],[rad]])</f>
        <v>-6.5350629854804119</v>
      </c>
    </row>
    <row r="318" spans="1:4" x14ac:dyDescent="0.25">
      <c r="A318">
        <v>292</v>
      </c>
      <c r="B318">
        <f>RADIANS(Táblázat14[[#This Row],[fok]])</f>
        <v>5.0963614158234423</v>
      </c>
      <c r="C318">
        <f ca="1">$B$1*COS(Táblázat14[[#This Row],[rad]])</f>
        <v>2.6222461539113837</v>
      </c>
      <c r="D318">
        <f ca="1">$B$1*SIN(Táblázat14[[#This Row],[rad]])</f>
        <v>-6.490286981967512</v>
      </c>
    </row>
    <row r="319" spans="1:4" x14ac:dyDescent="0.25">
      <c r="A319">
        <v>293</v>
      </c>
      <c r="B319">
        <f>RADIANS(Táblázat14[[#This Row],[fok]])</f>
        <v>5.1138147083433854</v>
      </c>
      <c r="C319">
        <f ca="1">$B$1*COS(Táblázat14[[#This Row],[rad]])</f>
        <v>2.7351178994249143</v>
      </c>
      <c r="D319">
        <f ca="1">$B$1*SIN(Táblázat14[[#This Row],[rad]])</f>
        <v>-6.4435339741670834</v>
      </c>
    </row>
    <row r="320" spans="1:4" x14ac:dyDescent="0.25">
      <c r="A320">
        <v>294</v>
      </c>
      <c r="B320">
        <f>RADIANS(Táblázat14[[#This Row],[fok]])</f>
        <v>5.1312680008633285</v>
      </c>
      <c r="C320">
        <f ca="1">$B$1*COS(Táblázat14[[#This Row],[rad]])</f>
        <v>2.8471565015305984</v>
      </c>
      <c r="D320">
        <f ca="1">$B$1*SIN(Táblázat14[[#This Row],[rad]])</f>
        <v>-6.3948182034982075</v>
      </c>
    </row>
    <row r="321" spans="1:4" x14ac:dyDescent="0.25">
      <c r="A321">
        <v>295</v>
      </c>
      <c r="B321">
        <f>RADIANS(Táblázat14[[#This Row],[fok]])</f>
        <v>5.1487212933832724</v>
      </c>
      <c r="C321">
        <f ca="1">$B$1*COS(Táblázat14[[#This Row],[rad]])</f>
        <v>2.9583278321848971</v>
      </c>
      <c r="D321">
        <f ca="1">$B$1*SIN(Táblázat14[[#This Row],[rad]])</f>
        <v>-6.3441545092565494</v>
      </c>
    </row>
    <row r="322" spans="1:4" x14ac:dyDescent="0.25">
      <c r="A322">
        <v>296</v>
      </c>
      <c r="B322">
        <f>RADIANS(Táblázat14[[#This Row],[fok]])</f>
        <v>5.1661745859032155</v>
      </c>
      <c r="C322">
        <f ca="1">$B$1*COS(Táblázat14[[#This Row],[rad]])</f>
        <v>3.0685980275235418</v>
      </c>
      <c r="D322">
        <f ca="1">$B$1*SIN(Táblázat14[[#This Row],[rad]])</f>
        <v>-6.2915583240941695</v>
      </c>
    </row>
    <row r="323" spans="1:4" x14ac:dyDescent="0.25">
      <c r="A323">
        <v>297</v>
      </c>
      <c r="B323">
        <f>RADIANS(Táblázat14[[#This Row],[fok]])</f>
        <v>5.1836278784231586</v>
      </c>
      <c r="C323">
        <f ca="1">$B$1*COS(Táblázat14[[#This Row],[rad]])</f>
        <v>3.1779334981768264</v>
      </c>
      <c r="D323">
        <f ca="1">$B$1*SIN(Táblázat14[[#This Row],[rad]])</f>
        <v>-6.237045669318575</v>
      </c>
    </row>
    <row r="324" spans="1:4" x14ac:dyDescent="0.25">
      <c r="A324">
        <v>298</v>
      </c>
      <c r="B324">
        <f>RADIANS(Táblázat14[[#This Row],[fok]])</f>
        <v>5.2010811709431017</v>
      </c>
      <c r="C324">
        <f ca="1">$B$1*COS(Táblázat14[[#This Row],[rad]])</f>
        <v>3.286300939501233</v>
      </c>
      <c r="D324">
        <f ca="1">$B$1*SIN(Táblázat14[[#This Row],[rad]])</f>
        <v>-6.1806331500124898</v>
      </c>
    </row>
    <row r="325" spans="1:4" x14ac:dyDescent="0.25">
      <c r="A325">
        <v>299</v>
      </c>
      <c r="B325">
        <f>RADIANS(Táblázat14[[#This Row],[fok]])</f>
        <v>5.2185344634630457</v>
      </c>
      <c r="C325">
        <f ca="1">$B$1*COS(Táblázat14[[#This Row],[rad]])</f>
        <v>3.393667341724361</v>
      </c>
      <c r="D325">
        <f ca="1">$B$1*SIN(Táblázat14[[#This Row],[rad]])</f>
        <v>-6.1223379499757691</v>
      </c>
    </row>
    <row r="326" spans="1:4" x14ac:dyDescent="0.25">
      <c r="A326">
        <v>300</v>
      </c>
      <c r="B326">
        <f>RADIANS(Táblázat14[[#This Row],[fok]])</f>
        <v>5.2359877559829888</v>
      </c>
      <c r="C326">
        <f ca="1">$B$1*COS(Táblázat14[[#This Row],[rad]])</f>
        <v>3.5000000000000009</v>
      </c>
      <c r="D326">
        <f ca="1">$B$1*SIN(Táblázat14[[#This Row],[rad]])</f>
        <v>-6.0621778264910704</v>
      </c>
    </row>
    <row r="327" spans="1:4" x14ac:dyDescent="0.25">
      <c r="A327">
        <v>301</v>
      </c>
      <c r="B327">
        <f>RADIANS(Táblázat14[[#This Row],[fok]])</f>
        <v>5.2534410485029319</v>
      </c>
      <c r="C327">
        <f ca="1">$B$1*COS(Táblázat14[[#This Row],[rad]])</f>
        <v>3.605266524370379</v>
      </c>
      <c r="D327">
        <f ca="1">$B$1*SIN(Táblázat14[[#This Row],[rad]])</f>
        <v>-6.0001711049147861</v>
      </c>
    </row>
    <row r="328" spans="1:4" x14ac:dyDescent="0.25">
      <c r="A328">
        <v>302</v>
      </c>
      <c r="B328">
        <f>RADIANS(Táblázat14[[#This Row],[fok]])</f>
        <v>5.270894341022875</v>
      </c>
      <c r="C328">
        <f ca="1">$B$1*COS(Táblázat14[[#This Row],[rad]])</f>
        <v>3.7094348496324328</v>
      </c>
      <c r="D328">
        <f ca="1">$B$1*SIN(Táblázat14[[#This Row],[rad]])</f>
        <v>-5.9363366730949831</v>
      </c>
    </row>
    <row r="329" spans="1:4" x14ac:dyDescent="0.25">
      <c r="A329">
        <v>303</v>
      </c>
      <c r="B329">
        <f>RADIANS(Táblázat14[[#This Row],[fok]])</f>
        <v>5.2883476335428181</v>
      </c>
      <c r="C329">
        <f ca="1">$B$1*COS(Táblázat14[[#This Row],[rad]])</f>
        <v>3.8124732451051866</v>
      </c>
      <c r="D329">
        <f ca="1">$B$1*SIN(Táblázat14[[#This Row],[rad]])</f>
        <v>-5.8706939756179697</v>
      </c>
    </row>
    <row r="330" spans="1:4" x14ac:dyDescent="0.25">
      <c r="A330">
        <v>304</v>
      </c>
      <c r="B330">
        <f>RADIANS(Táblázat14[[#This Row],[fok]])</f>
        <v>5.3058009260627621</v>
      </c>
      <c r="C330">
        <f ca="1">$B$1*COS(Táblázat14[[#This Row],[rad]])</f>
        <v>3.9143503242952291</v>
      </c>
      <c r="D330">
        <f ca="1">$B$1*SIN(Táblázat14[[#This Row],[rad]])</f>
        <v>-5.8032630078852918</v>
      </c>
    </row>
    <row r="331" spans="1:4" x14ac:dyDescent="0.25">
      <c r="A331">
        <v>305</v>
      </c>
      <c r="B331">
        <f>RADIANS(Táblázat14[[#This Row],[fok]])</f>
        <v>5.3232542185827052</v>
      </c>
      <c r="C331">
        <f ca="1">$B$1*COS(Táblázat14[[#This Row],[rad]])</f>
        <v>4.0150350544573223</v>
      </c>
      <c r="D331">
        <f ca="1">$B$1*SIN(Táblázat14[[#This Row],[rad]])</f>
        <v>-5.7340643100229425</v>
      </c>
    </row>
    <row r="332" spans="1:4" x14ac:dyDescent="0.25">
      <c r="A332">
        <v>306</v>
      </c>
      <c r="B332">
        <f>RADIANS(Táblázat14[[#This Row],[fok]])</f>
        <v>5.3407075111026483</v>
      </c>
      <c r="C332">
        <f ca="1">$B$1*COS(Táblázat14[[#This Row],[rad]])</f>
        <v>4.11449676604731</v>
      </c>
      <c r="D332">
        <f ca="1">$B$1*SIN(Táblázat14[[#This Row],[rad]])</f>
        <v>-5.663118960624633</v>
      </c>
    </row>
    <row r="333" spans="1:4" x14ac:dyDescent="0.25">
      <c r="A333">
        <v>307</v>
      </c>
      <c r="B333">
        <f>RADIANS(Táblázat14[[#This Row],[fok]])</f>
        <v>5.3581608036225914</v>
      </c>
      <c r="C333">
        <f ca="1">$B$1*COS(Táblázat14[[#This Row],[rad]])</f>
        <v>4.2127051620643359</v>
      </c>
      <c r="D333">
        <f ca="1">$B$1*SIN(Táblázat14[[#This Row],[rad]])</f>
        <v>-5.5904485703310511</v>
      </c>
    </row>
    <row r="334" spans="1:4" x14ac:dyDescent="0.25">
      <c r="A334">
        <v>308</v>
      </c>
      <c r="B334">
        <f>RADIANS(Táblázat14[[#This Row],[fok]])</f>
        <v>5.3756140961425354</v>
      </c>
      <c r="C334">
        <f ca="1">$B$1*COS(Táblázat14[[#This Row],[rad]])</f>
        <v>4.3096303272796099</v>
      </c>
      <c r="D334">
        <f ca="1">$B$1*SIN(Táblázat14[[#This Row],[rad]])</f>
        <v>-5.5160752752470525</v>
      </c>
    </row>
    <row r="335" spans="1:4" x14ac:dyDescent="0.25">
      <c r="A335">
        <v>309</v>
      </c>
      <c r="B335">
        <f>RADIANS(Táblázat14[[#This Row],[fok]])</f>
        <v>5.3930673886624785</v>
      </c>
      <c r="C335">
        <f ca="1">$B$1*COS(Táblázat14[[#This Row],[rad]])</f>
        <v>4.4052427373488623</v>
      </c>
      <c r="D335">
        <f ca="1">$B$1*SIN(Táblázat14[[#This Row],[rad]])</f>
        <v>-5.4400217301987954</v>
      </c>
    </row>
    <row r="336" spans="1:4" x14ac:dyDescent="0.25">
      <c r="A336">
        <v>310</v>
      </c>
      <c r="B336">
        <f>RADIANS(Táblázat14[[#This Row],[fok]])</f>
        <v>5.4105206811824216</v>
      </c>
      <c r="C336">
        <f ca="1">$B$1*COS(Táblázat14[[#This Row],[rad]])</f>
        <v>4.4995132678057743</v>
      </c>
      <c r="D336">
        <f ca="1">$B$1*SIN(Táblázat14[[#This Row],[rad]])</f>
        <v>-5.3623111018328471</v>
      </c>
    </row>
    <row r="337" spans="1:4" x14ac:dyDescent="0.25">
      <c r="A337">
        <v>311</v>
      </c>
      <c r="B337">
        <f>RADIANS(Táblázat14[[#This Row],[fok]])</f>
        <v>5.4279739737023647</v>
      </c>
      <c r="C337">
        <f ca="1">$B$1*COS(Táblázat14[[#This Row],[rad]])</f>
        <v>4.5924132029335496</v>
      </c>
      <c r="D337">
        <f ca="1">$B$1*SIN(Táblázat14[[#This Row],[rad]])</f>
        <v>-5.2829670615594058</v>
      </c>
    </row>
    <row r="338" spans="1:4" x14ac:dyDescent="0.25">
      <c r="A338">
        <v>312</v>
      </c>
      <c r="B338">
        <f>RADIANS(Táblázat14[[#This Row],[fok]])</f>
        <v>5.4454272662223078</v>
      </c>
      <c r="C338">
        <f ca="1">$B$1*COS(Táblázat14[[#This Row],[rad]])</f>
        <v>4.683914244512005</v>
      </c>
      <c r="D338">
        <f ca="1">$B$1*SIN(Táblázat14[[#This Row],[rad]])</f>
        <v>-5.2020137783417617</v>
      </c>
    </row>
    <row r="339" spans="1:4" x14ac:dyDescent="0.25">
      <c r="A339">
        <v>313</v>
      </c>
      <c r="B339">
        <f>RADIANS(Táblázat14[[#This Row],[fok]])</f>
        <v>5.4628805587422518</v>
      </c>
      <c r="C339">
        <f ca="1">$B$1*COS(Táblázat14[[#This Row],[rad]])</f>
        <v>4.7739885204374897</v>
      </c>
      <c r="D339">
        <f ca="1">$B$1*SIN(Táblázat14[[#This Row],[rad]])</f>
        <v>-5.1194759113341926</v>
      </c>
    </row>
    <row r="340" spans="1:4" x14ac:dyDescent="0.25">
      <c r="A340">
        <v>314</v>
      </c>
      <c r="B340">
        <f>RADIANS(Táblázat14[[#This Row],[fok]])</f>
        <v>5.4803338512621949</v>
      </c>
      <c r="C340">
        <f ca="1">$B$1*COS(Táblázat14[[#This Row],[rad]])</f>
        <v>4.8626085932129808</v>
      </c>
      <c r="D340">
        <f ca="1">$B$1*SIN(Táblázat14[[#This Row],[rad]])</f>
        <v>-5.0353786023705585</v>
      </c>
    </row>
    <row r="341" spans="1:4" x14ac:dyDescent="0.25">
      <c r="A341">
        <v>315</v>
      </c>
      <c r="B341">
        <f>RADIANS(Táblázat14[[#This Row],[fok]])</f>
        <v>5.497787143782138</v>
      </c>
      <c r="C341">
        <f ca="1">$B$1*COS(Táblázat14[[#This Row],[rad]])</f>
        <v>4.9497474683058318</v>
      </c>
      <c r="D341">
        <f ca="1">$B$1*SIN(Táblázat14[[#This Row],[rad]])</f>
        <v>-4.9497474683058336</v>
      </c>
    </row>
    <row r="342" spans="1:4" x14ac:dyDescent="0.25">
      <c r="A342">
        <v>316</v>
      </c>
      <c r="B342">
        <f>RADIANS(Táblázat14[[#This Row],[fok]])</f>
        <v>5.5152404363020811</v>
      </c>
      <c r="C342">
        <f ca="1">$B$1*COS(Táblázat14[[#This Row],[rad]])</f>
        <v>5.0353786023705558</v>
      </c>
      <c r="D342">
        <f ca="1">$B$1*SIN(Táblázat14[[#This Row],[rad]])</f>
        <v>-4.8626085932129834</v>
      </c>
    </row>
    <row r="343" spans="1:4" x14ac:dyDescent="0.25">
      <c r="A343">
        <v>317</v>
      </c>
      <c r="B343">
        <f>RADIANS(Táblázat14[[#This Row],[fok]])</f>
        <v>5.532693728822025</v>
      </c>
      <c r="C343">
        <f ca="1">$B$1*COS(Táblázat14[[#This Row],[rad]])</f>
        <v>5.1194759113341952</v>
      </c>
      <c r="D343">
        <f ca="1">$B$1*SIN(Táblázat14[[#This Row],[rad]])</f>
        <v>-4.7739885204374879</v>
      </c>
    </row>
    <row r="344" spans="1:4" x14ac:dyDescent="0.25">
      <c r="A344">
        <v>318</v>
      </c>
      <c r="B344">
        <f>RADIANS(Táblázat14[[#This Row],[fok]])</f>
        <v>5.5501470213419681</v>
      </c>
      <c r="C344">
        <f ca="1">$B$1*COS(Táblázat14[[#This Row],[rad]])</f>
        <v>5.2020137783417599</v>
      </c>
      <c r="D344">
        <f ca="1">$B$1*SIN(Táblázat14[[#This Row],[rad]])</f>
        <v>-4.6839142445120068</v>
      </c>
    </row>
    <row r="345" spans="1:4" x14ac:dyDescent="0.25">
      <c r="A345">
        <v>319</v>
      </c>
      <c r="B345">
        <f>RADIANS(Táblázat14[[#This Row],[fok]])</f>
        <v>5.5676003138619112</v>
      </c>
      <c r="C345">
        <f ca="1">$B$1*COS(Táblázat14[[#This Row],[rad]])</f>
        <v>5.2829670615594031</v>
      </c>
      <c r="D345">
        <f ca="1">$B$1*SIN(Táblázat14[[#This Row],[rad]])</f>
        <v>-4.5924132029335514</v>
      </c>
    </row>
    <row r="346" spans="1:4" x14ac:dyDescent="0.25">
      <c r="A346">
        <v>320</v>
      </c>
      <c r="B346">
        <f>RADIANS(Táblázat14[[#This Row],[fok]])</f>
        <v>5.5850536063818543</v>
      </c>
      <c r="C346">
        <f ca="1">$B$1*COS(Táblázat14[[#This Row],[rad]])</f>
        <v>5.3623111018328444</v>
      </c>
      <c r="D346">
        <f ca="1">$B$1*SIN(Táblázat14[[#This Row],[rad]])</f>
        <v>-4.499513267805777</v>
      </c>
    </row>
    <row r="347" spans="1:4" x14ac:dyDescent="0.25">
      <c r="A347">
        <v>321</v>
      </c>
      <c r="B347">
        <f>RADIANS(Táblázat14[[#This Row],[fok]])</f>
        <v>5.6025068989017974</v>
      </c>
      <c r="C347">
        <f ca="1">$B$1*COS(Táblázat14[[#This Row],[rad]])</f>
        <v>5.4400217301987936</v>
      </c>
      <c r="D347">
        <f ca="1">$B$1*SIN(Táblázat14[[#This Row],[rad]])</f>
        <v>-4.405242737348865</v>
      </c>
    </row>
    <row r="348" spans="1:4" x14ac:dyDescent="0.25">
      <c r="A348">
        <v>322</v>
      </c>
      <c r="B348">
        <f>RADIANS(Táblázat14[[#This Row],[fok]])</f>
        <v>5.6199601914217414</v>
      </c>
      <c r="C348">
        <f ca="1">$B$1*COS(Táblázat14[[#This Row],[rad]])</f>
        <v>5.5160752752470543</v>
      </c>
      <c r="D348">
        <f ca="1">$B$1*SIN(Táblázat14[[#This Row],[rad]])</f>
        <v>-4.3096303272796073</v>
      </c>
    </row>
    <row r="349" spans="1:4" x14ac:dyDescent="0.25">
      <c r="A349">
        <v>323</v>
      </c>
      <c r="B349">
        <f>RADIANS(Táblázat14[[#This Row],[fok]])</f>
        <v>5.6374134839416845</v>
      </c>
      <c r="C349">
        <f ca="1">$B$1*COS(Táblázat14[[#This Row],[rad]])</f>
        <v>5.5904485703310502</v>
      </c>
      <c r="D349">
        <f ca="1">$B$1*SIN(Táblázat14[[#This Row],[rad]])</f>
        <v>-4.2127051620643376</v>
      </c>
    </row>
    <row r="350" spans="1:4" x14ac:dyDescent="0.25">
      <c r="A350">
        <v>324</v>
      </c>
      <c r="B350">
        <f>RADIANS(Táblázat14[[#This Row],[fok]])</f>
        <v>5.6548667764616276</v>
      </c>
      <c r="C350">
        <f ca="1">$B$1*COS(Táblázat14[[#This Row],[rad]])</f>
        <v>5.6631189606246313</v>
      </c>
      <c r="D350">
        <f ca="1">$B$1*SIN(Táblázat14[[#This Row],[rad]])</f>
        <v>-4.1144967660473135</v>
      </c>
    </row>
    <row r="351" spans="1:4" x14ac:dyDescent="0.25">
      <c r="A351">
        <v>325</v>
      </c>
      <c r="B351">
        <f>RADIANS(Táblázat14[[#This Row],[fok]])</f>
        <v>5.6723200689815707</v>
      </c>
      <c r="C351">
        <f ca="1">$B$1*COS(Táblázat14[[#This Row],[rad]])</f>
        <v>5.7340643100229407</v>
      </c>
      <c r="D351">
        <f ca="1">$B$1*SIN(Táblázat14[[#This Row],[rad]])</f>
        <v>-4.015035054457325</v>
      </c>
    </row>
    <row r="352" spans="1:4" x14ac:dyDescent="0.25">
      <c r="A352">
        <v>326</v>
      </c>
      <c r="B352">
        <f>RADIANS(Táblázat14[[#This Row],[fok]])</f>
        <v>5.6897733615015147</v>
      </c>
      <c r="C352">
        <f ca="1">$B$1*COS(Táblázat14[[#This Row],[rad]])</f>
        <v>5.8032630078852927</v>
      </c>
      <c r="D352">
        <f ca="1">$B$1*SIN(Táblázat14[[#This Row],[rad]])</f>
        <v>-3.914350324295226</v>
      </c>
    </row>
    <row r="353" spans="1:4" x14ac:dyDescent="0.25">
      <c r="A353">
        <v>327</v>
      </c>
      <c r="B353">
        <f>RADIANS(Táblázat14[[#This Row],[fok]])</f>
        <v>5.7072266540214578</v>
      </c>
      <c r="C353">
        <f ca="1">$B$1*COS(Táblázat14[[#This Row],[rad]])</f>
        <v>5.8706939756179679</v>
      </c>
      <c r="D353">
        <f ca="1">$B$1*SIN(Táblázat14[[#This Row],[rad]])</f>
        <v>-3.8124732451051888</v>
      </c>
    </row>
    <row r="354" spans="1:4" x14ac:dyDescent="0.25">
      <c r="A354">
        <v>328</v>
      </c>
      <c r="B354">
        <f>RADIANS(Táblázat14[[#This Row],[fok]])</f>
        <v>5.7246799465414009</v>
      </c>
      <c r="C354">
        <f ca="1">$B$1*COS(Táblázat14[[#This Row],[rad]])</f>
        <v>5.9363366730949814</v>
      </c>
      <c r="D354">
        <f ca="1">$B$1*SIN(Táblázat14[[#This Row],[rad]])</f>
        <v>-3.709434849632435</v>
      </c>
    </row>
    <row r="355" spans="1:4" x14ac:dyDescent="0.25">
      <c r="A355">
        <v>329</v>
      </c>
      <c r="B355">
        <f>RADIANS(Táblázat14[[#This Row],[fok]])</f>
        <v>5.742133239061344</v>
      </c>
      <c r="C355">
        <f ca="1">$B$1*COS(Táblázat14[[#This Row],[rad]])</f>
        <v>6.0001711049147843</v>
      </c>
      <c r="D355">
        <f ca="1">$B$1*SIN(Táblázat14[[#This Row],[rad]])</f>
        <v>-3.6052665243703812</v>
      </c>
    </row>
    <row r="356" spans="1:4" x14ac:dyDescent="0.25">
      <c r="A356">
        <v>330</v>
      </c>
      <c r="B356">
        <f>RADIANS(Táblázat14[[#This Row],[fok]])</f>
        <v>5.7595865315812871</v>
      </c>
      <c r="C356">
        <f ca="1">$B$1*COS(Táblázat14[[#This Row],[rad]])</f>
        <v>6.0621778264910686</v>
      </c>
      <c r="D356">
        <f ca="1">$B$1*SIN(Táblázat14[[#This Row],[rad]])</f>
        <v>-3.5000000000000031</v>
      </c>
    </row>
    <row r="357" spans="1:4" x14ac:dyDescent="0.25">
      <c r="A357">
        <v>331</v>
      </c>
      <c r="B357">
        <f>RADIANS(Táblázat14[[#This Row],[fok]])</f>
        <v>5.7770398241012311</v>
      </c>
      <c r="C357">
        <f ca="1">$B$1*COS(Táblázat14[[#This Row],[rad]])</f>
        <v>6.1223379499757709</v>
      </c>
      <c r="D357">
        <f ca="1">$B$1*SIN(Táblázat14[[#This Row],[rad]])</f>
        <v>-3.3936673417243584</v>
      </c>
    </row>
    <row r="358" spans="1:4" x14ac:dyDescent="0.25">
      <c r="A358">
        <v>332</v>
      </c>
      <c r="B358">
        <f>RADIANS(Táblázat14[[#This Row],[fok]])</f>
        <v>5.7944931166211742</v>
      </c>
      <c r="C358">
        <f ca="1">$B$1*COS(Táblázat14[[#This Row],[rad]])</f>
        <v>6.180633150012488</v>
      </c>
      <c r="D358">
        <f ca="1">$B$1*SIN(Táblázat14[[#This Row],[rad]])</f>
        <v>-3.2863009395012357</v>
      </c>
    </row>
    <row r="359" spans="1:4" x14ac:dyDescent="0.25">
      <c r="A359">
        <v>333</v>
      </c>
      <c r="B359">
        <f>RADIANS(Táblázat14[[#This Row],[fok]])</f>
        <v>5.8119464091411173</v>
      </c>
      <c r="C359">
        <f ca="1">$B$1*COS(Táblázat14[[#This Row],[rad]])</f>
        <v>6.2370456693185741</v>
      </c>
      <c r="D359">
        <f ca="1">$B$1*SIN(Táblázat14[[#This Row],[rad]])</f>
        <v>-3.177933498176829</v>
      </c>
    </row>
    <row r="360" spans="1:4" x14ac:dyDescent="0.25">
      <c r="A360">
        <v>334</v>
      </c>
      <c r="B360">
        <f>RADIANS(Táblázat14[[#This Row],[fok]])</f>
        <v>5.8293997016610604</v>
      </c>
      <c r="C360">
        <f ca="1">$B$1*COS(Táblázat14[[#This Row],[rad]])</f>
        <v>6.2915583240941677</v>
      </c>
      <c r="D360">
        <f ca="1">$B$1*SIN(Táblázat14[[#This Row],[rad]])</f>
        <v>-3.0685980275235445</v>
      </c>
    </row>
    <row r="361" spans="1:4" x14ac:dyDescent="0.25">
      <c r="A361">
        <v>335</v>
      </c>
      <c r="B361">
        <f>RADIANS(Táblázat14[[#This Row],[fok]])</f>
        <v>5.8468529941810043</v>
      </c>
      <c r="C361">
        <f ca="1">$B$1*COS(Táblázat14[[#This Row],[rad]])</f>
        <v>6.3441545092565503</v>
      </c>
      <c r="D361">
        <f ca="1">$B$1*SIN(Táblázat14[[#This Row],[rad]])</f>
        <v>-2.9583278321848945</v>
      </c>
    </row>
    <row r="362" spans="1:4" x14ac:dyDescent="0.25">
      <c r="A362">
        <v>336</v>
      </c>
      <c r="B362">
        <f>RADIANS(Táblázat14[[#This Row],[fok]])</f>
        <v>5.8643062867009474</v>
      </c>
      <c r="C362">
        <f ca="1">$B$1*COS(Táblázat14[[#This Row],[rad]])</f>
        <v>6.3948182034982066</v>
      </c>
      <c r="D362">
        <f ca="1">$B$1*SIN(Táblázat14[[#This Row],[rad]])</f>
        <v>-2.8471565015306011</v>
      </c>
    </row>
    <row r="363" spans="1:4" x14ac:dyDescent="0.25">
      <c r="A363">
        <v>337</v>
      </c>
      <c r="B363">
        <f>RADIANS(Táblázat14[[#This Row],[fok]])</f>
        <v>5.8817595792208905</v>
      </c>
      <c r="C363">
        <f ca="1">$B$1*COS(Táblázat14[[#This Row],[rad]])</f>
        <v>6.4435339741670816</v>
      </c>
      <c r="D363">
        <f ca="1">$B$1*SIN(Táblázat14[[#This Row],[rad]])</f>
        <v>-2.735117899424917</v>
      </c>
    </row>
    <row r="364" spans="1:4" x14ac:dyDescent="0.25">
      <c r="A364">
        <v>338</v>
      </c>
      <c r="B364">
        <f>RADIANS(Táblázat14[[#This Row],[fok]])</f>
        <v>5.8992128717408336</v>
      </c>
      <c r="C364">
        <f ca="1">$B$1*COS(Táblázat14[[#This Row],[rad]])</f>
        <v>6.4902869819675111</v>
      </c>
      <c r="D364">
        <f ca="1">$B$1*SIN(Táblázat14[[#This Row],[rad]])</f>
        <v>-2.6222461539113864</v>
      </c>
    </row>
    <row r="365" spans="1:4" x14ac:dyDescent="0.25">
      <c r="A365">
        <v>339</v>
      </c>
      <c r="B365">
        <f>RADIANS(Táblázat14[[#This Row],[fok]])</f>
        <v>5.9166661642607767</v>
      </c>
      <c r="C365">
        <f ca="1">$B$1*COS(Táblázat14[[#This Row],[rad]])</f>
        <v>6.535062985480411</v>
      </c>
      <c r="D365">
        <f ca="1">$B$1*SIN(Táblázat14[[#This Row],[rad]])</f>
        <v>-2.5085756468171052</v>
      </c>
    </row>
    <row r="366" spans="1:4" x14ac:dyDescent="0.25">
      <c r="A366">
        <v>340</v>
      </c>
      <c r="B366">
        <f>RADIANS(Táblázat14[[#This Row],[fok]])</f>
        <v>5.9341194567807207</v>
      </c>
      <c r="C366">
        <f ca="1">$B$1*COS(Táblázat14[[#This Row],[rad]])</f>
        <v>6.5778483455013586</v>
      </c>
      <c r="D366">
        <f ca="1">$B$1*SIN(Táblázat14[[#This Row],[rad]])</f>
        <v>-2.3941410032796804</v>
      </c>
    </row>
    <row r="367" spans="1:4" x14ac:dyDescent="0.25">
      <c r="A367">
        <v>341</v>
      </c>
      <c r="B367">
        <f>RADIANS(Táblázat14[[#This Row],[fok]])</f>
        <v>5.9515727493006638</v>
      </c>
      <c r="C367">
        <f ca="1">$B$1*COS(Táblázat14[[#This Row],[rad]])</f>
        <v>6.6186300291952183</v>
      </c>
      <c r="D367">
        <f ca="1">$B$1*SIN(Táblázat14[[#This Row],[rad]])</f>
        <v>-2.2789770812000967</v>
      </c>
    </row>
    <row r="368" spans="1:4" x14ac:dyDescent="0.25">
      <c r="A368">
        <v>342</v>
      </c>
      <c r="B368">
        <f>RADIANS(Táblázat14[[#This Row],[fok]])</f>
        <v>5.9690260418206069</v>
      </c>
      <c r="C368">
        <f ca="1">$B$1*COS(Táblázat14[[#This Row],[rad]])</f>
        <v>6.6573956140660746</v>
      </c>
      <c r="D368">
        <f ca="1">$B$1*SIN(Táblázat14[[#This Row],[rad]])</f>
        <v>-2.1631189606246335</v>
      </c>
    </row>
    <row r="369" spans="1:4" x14ac:dyDescent="0.25">
      <c r="A369">
        <v>343</v>
      </c>
      <c r="B369">
        <f>RADIANS(Táblázat14[[#This Row],[fok]])</f>
        <v>5.98647933434055</v>
      </c>
      <c r="C369">
        <f ca="1">$B$1*COS(Táblázat14[[#This Row],[rad]])</f>
        <v>6.694133291741247</v>
      </c>
      <c r="D369">
        <f ca="1">$B$1*SIN(Táblázat14[[#This Row],[rad]])</f>
        <v>-2.0466019330591601</v>
      </c>
    </row>
    <row r="370" spans="1:4" x14ac:dyDescent="0.25">
      <c r="A370">
        <v>344</v>
      </c>
      <c r="B370">
        <f>RADIANS(Táblázat14[[#This Row],[fok]])</f>
        <v>6.003932626860494</v>
      </c>
      <c r="C370">
        <f ca="1">$B$1*COS(Táblázat14[[#This Row],[rad]])</f>
        <v>6.7288318715682323</v>
      </c>
      <c r="D370">
        <f ca="1">$B$1*SIN(Táblázat14[[#This Row],[rad]])</f>
        <v>-1.9294614907189926</v>
      </c>
    </row>
    <row r="371" spans="1:4" x14ac:dyDescent="0.25">
      <c r="A371">
        <v>345</v>
      </c>
      <c r="B371">
        <f>RADIANS(Táblázat14[[#This Row],[fok]])</f>
        <v>6.0213859193804371</v>
      </c>
      <c r="C371">
        <f ca="1">$B$1*COS(Táblázat14[[#This Row],[rad]])</f>
        <v>6.7614807840234779</v>
      </c>
      <c r="D371">
        <f ca="1">$B$1*SIN(Táblázat14[[#This Row],[rad]])</f>
        <v>-1.8117333157176447</v>
      </c>
    </row>
    <row r="372" spans="1:4" x14ac:dyDescent="0.25">
      <c r="A372">
        <v>346</v>
      </c>
      <c r="B372">
        <f>RADIANS(Táblázat14[[#This Row],[fok]])</f>
        <v>6.0388392119003802</v>
      </c>
      <c r="C372">
        <f ca="1">$B$1*COS(Táblázat14[[#This Row],[rad]])</f>
        <v>6.792070083931975</v>
      </c>
      <c r="D372">
        <f ca="1">$B$1*SIN(Táblázat14[[#This Row],[rad]])</f>
        <v>-1.6934532691976751</v>
      </c>
    </row>
    <row r="373" spans="1:4" x14ac:dyDescent="0.25">
      <c r="A373">
        <v>347</v>
      </c>
      <c r="B373">
        <f>RADIANS(Táblázat14[[#This Row],[fok]])</f>
        <v>6.0562925044203233</v>
      </c>
      <c r="C373">
        <f ca="1">$B$1*COS(Táblázat14[[#This Row],[rad]])</f>
        <v>6.8205904534966457</v>
      </c>
      <c r="D373">
        <f ca="1">$B$1*SIN(Táblázat14[[#This Row],[rad]])</f>
        <v>-1.5746573804070574</v>
      </c>
    </row>
    <row r="374" spans="1:4" x14ac:dyDescent="0.25">
      <c r="A374">
        <v>348</v>
      </c>
      <c r="B374">
        <f>RADIANS(Táblázat14[[#This Row],[fok]])</f>
        <v>6.0737457969402664</v>
      </c>
      <c r="C374">
        <f ca="1">$B$1*COS(Táblázat14[[#This Row],[rad]])</f>
        <v>6.8470332051366389</v>
      </c>
      <c r="D374">
        <f ca="1">$B$1*SIN(Táblázat14[[#This Row],[rad]])</f>
        <v>-1.4553818357243191</v>
      </c>
    </row>
    <row r="375" spans="1:4" x14ac:dyDescent="0.25">
      <c r="A375">
        <v>349</v>
      </c>
      <c r="B375">
        <f>RADIANS(Táblázat14[[#This Row],[fok]])</f>
        <v>6.0911990894602104</v>
      </c>
      <c r="C375">
        <f ca="1">$B$1*COS(Táblázat14[[#This Row],[rad]])</f>
        <v>6.8713902841336481</v>
      </c>
      <c r="D375">
        <f ca="1">$B$1*SIN(Táblázat14[[#This Row],[rad]])</f>
        <v>-1.3356629676358127</v>
      </c>
    </row>
    <row r="376" spans="1:4" x14ac:dyDescent="0.25">
      <c r="A376">
        <v>350</v>
      </c>
      <c r="B376">
        <f>RADIANS(Táblázat14[[#This Row],[fok]])</f>
        <v>6.1086523819801535</v>
      </c>
      <c r="C376">
        <f ca="1">$B$1*COS(Táblázat14[[#This Row],[rad]])</f>
        <v>6.893654271085456</v>
      </c>
      <c r="D376">
        <f ca="1">$B$1*SIN(Táblázat14[[#This Row],[rad]])</f>
        <v>-1.2155372436685128</v>
      </c>
    </row>
    <row r="377" spans="1:4" x14ac:dyDescent="0.25">
      <c r="A377">
        <v>351</v>
      </c>
      <c r="B377">
        <f>RADIANS(Táblázat14[[#This Row],[fok]])</f>
        <v>6.1261056745000966</v>
      </c>
      <c r="C377">
        <f ca="1">$B$1*COS(Táblázat14[[#This Row],[rad]])</f>
        <v>6.9138183841659639</v>
      </c>
      <c r="D377">
        <f ca="1">$B$1*SIN(Táblázat14[[#This Row],[rad]])</f>
        <v>-1.0950412552816178</v>
      </c>
    </row>
    <row r="378" spans="1:4" x14ac:dyDescent="0.25">
      <c r="A378">
        <v>352</v>
      </c>
      <c r="B378">
        <f>RADIANS(Táblázat14[[#This Row],[fok]])</f>
        <v>6.1435589670200397</v>
      </c>
      <c r="C378">
        <f ca="1">$B$1*COS(Táblázat14[[#This Row],[rad]])</f>
        <v>6.9318764811909919</v>
      </c>
      <c r="D378">
        <f ca="1">$B$1*SIN(Táblázat14[[#This Row],[rad]])</f>
        <v>-0.9742117067204612</v>
      </c>
    </row>
    <row r="379" spans="1:4" x14ac:dyDescent="0.25">
      <c r="A379">
        <v>353</v>
      </c>
      <c r="B379">
        <f>RADIANS(Táblázat14[[#This Row],[fok]])</f>
        <v>6.1610122595399837</v>
      </c>
      <c r="C379">
        <f ca="1">$B$1*COS(Táblázat14[[#This Row],[rad]])</f>
        <v>6.9478230614892542</v>
      </c>
      <c r="D379">
        <f ca="1">$B$1*SIN(Táblázat14[[#This Row],[rad]])</f>
        <v>-0.8530854038360306</v>
      </c>
    </row>
    <row r="380" spans="1:4" x14ac:dyDescent="0.25">
      <c r="A380">
        <v>354</v>
      </c>
      <c r="B380">
        <f>RADIANS(Táblázat14[[#This Row],[fok]])</f>
        <v>6.1784655520599268</v>
      </c>
      <c r="C380">
        <f ca="1">$B$1*COS(Táblázat14[[#This Row],[rad]])</f>
        <v>6.9616532675779128</v>
      </c>
      <c r="D380">
        <f ca="1">$B$1*SIN(Táblázat14[[#This Row],[rad]])</f>
        <v>-0.73169924287357391</v>
      </c>
    </row>
    <row r="381" spans="1:4" x14ac:dyDescent="0.25">
      <c r="A381">
        <v>355</v>
      </c>
      <c r="B381">
        <f>RADIANS(Táblázat14[[#This Row],[fok]])</f>
        <v>6.1959188445798699</v>
      </c>
      <c r="C381">
        <f ca="1">$B$1*COS(Táblázat14[[#This Row],[rad]])</f>
        <v>6.973362886642219</v>
      </c>
      <c r="D381">
        <f ca="1">$B$1*SIN(Táblázat14[[#This Row],[rad]])</f>
        <v>-0.61009019923360819</v>
      </c>
    </row>
    <row r="382" spans="1:4" x14ac:dyDescent="0.25">
      <c r="A382">
        <v>356</v>
      </c>
      <c r="B382">
        <f>RADIANS(Táblázat14[[#This Row],[fok]])</f>
        <v>6.213372137099813</v>
      </c>
      <c r="C382">
        <f ca="1">$B$1*COS(Táblázat14[[#This Row],[rad]])</f>
        <v>6.9829483518187692</v>
      </c>
      <c r="D382">
        <f ca="1">$B$1*SIN(Táblázat14[[#This Row],[rad]])</f>
        <v>-0.48829531620887945</v>
      </c>
    </row>
    <row r="383" spans="1:4" x14ac:dyDescent="0.25">
      <c r="A383">
        <v>357</v>
      </c>
      <c r="B383">
        <f>RADIANS(Táblázat14[[#This Row],[fok]])</f>
        <v>6.2308254296197561</v>
      </c>
      <c r="C383">
        <f ca="1">$B$1*COS(Táblázat14[[#This Row],[rad]])</f>
        <v>6.9904067432820165</v>
      </c>
      <c r="D383">
        <f ca="1">$B$1*SIN(Táblázat14[[#This Row],[rad]])</f>
        <v>-0.3663516937006106</v>
      </c>
    </row>
    <row r="384" spans="1:4" x14ac:dyDescent="0.25">
      <c r="A384">
        <v>358</v>
      </c>
      <c r="B384">
        <f>RADIANS(Táblázat14[[#This Row],[fok]])</f>
        <v>6.2482787221397</v>
      </c>
      <c r="C384">
        <f ca="1">$B$1*COS(Táblázat14[[#This Row],[rad]])</f>
        <v>6.9957357891336702</v>
      </c>
      <c r="D384">
        <f ca="1">$B$1*SIN(Táblázat14[[#This Row],[rad]])</f>
        <v>-0.24429647691750578</v>
      </c>
    </row>
    <row r="385" spans="1:4" x14ac:dyDescent="0.25">
      <c r="A385">
        <v>359</v>
      </c>
      <c r="B385">
        <f>RADIANS(Táblázat14[[#This Row],[fok]])</f>
        <v>6.2657320146596431</v>
      </c>
      <c r="C385">
        <f ca="1">$B$1*COS(Táblázat14[[#This Row],[rad]])</f>
        <v>6.9989338660947391</v>
      </c>
      <c r="D385">
        <f ca="1">$B$1*SIN(Táblázat14[[#This Row],[rad]])</f>
        <v>-0.12216684506098492</v>
      </c>
    </row>
    <row r="386" spans="1:4" x14ac:dyDescent="0.25">
      <c r="A386">
        <v>360</v>
      </c>
      <c r="B386">
        <f>RADIANS(Táblázat14[[#This Row],[fok]])</f>
        <v>6.2831853071795862</v>
      </c>
      <c r="C386">
        <f ca="1">$B$1*COS(Táblázat14[[#This Row],[rad]])</f>
        <v>7</v>
      </c>
      <c r="D386">
        <f ca="1">$B$1*SIN(Táblázat14[[#This Row],[rad]])</f>
        <v>-1.715207836872068E-15</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FF941-5B73-4571-A719-8EEE8F3A66E3}">
  <dimension ref="A1:BJ60"/>
  <sheetViews>
    <sheetView workbookViewId="0">
      <selection activeCell="B2" sqref="B2:BH60"/>
    </sheetView>
  </sheetViews>
  <sheetFormatPr defaultColWidth="4.140625" defaultRowHeight="15" x14ac:dyDescent="0.25"/>
  <cols>
    <col min="1" max="1" width="4.42578125" customWidth="1"/>
    <col min="2" max="2" width="4.140625" customWidth="1"/>
    <col min="3" max="6" width="4.5703125" bestFit="1" customWidth="1"/>
    <col min="10" max="60" width="5.140625" customWidth="1"/>
    <col min="63" max="64" width="3.85546875" customWidth="1"/>
    <col min="66" max="66" width="5" bestFit="1" customWidth="1"/>
  </cols>
  <sheetData>
    <row r="1" spans="1:62" x14ac:dyDescent="0.25">
      <c r="B1" s="42" cm="1">
        <f t="array" ref="B1:BH1">_xlfn.SEQUENCE(1,59, 2, 1)</f>
        <v>2</v>
      </c>
      <c r="C1" s="42">
        <v>3</v>
      </c>
      <c r="D1" s="42">
        <v>4</v>
      </c>
      <c r="E1" s="42">
        <v>5</v>
      </c>
      <c r="F1" s="42">
        <v>6</v>
      </c>
      <c r="G1" s="42">
        <v>7</v>
      </c>
      <c r="H1" s="42">
        <v>8</v>
      </c>
      <c r="I1" s="42">
        <v>9</v>
      </c>
      <c r="J1" s="42">
        <v>10</v>
      </c>
      <c r="K1" s="42">
        <v>11</v>
      </c>
      <c r="L1" s="42">
        <v>12</v>
      </c>
      <c r="M1" s="42">
        <v>13</v>
      </c>
      <c r="N1" s="42">
        <v>14</v>
      </c>
      <c r="O1" s="42">
        <v>15</v>
      </c>
      <c r="P1" s="42">
        <v>16</v>
      </c>
      <c r="Q1" s="42">
        <v>17</v>
      </c>
      <c r="R1" s="42">
        <v>18</v>
      </c>
      <c r="S1" s="42">
        <v>19</v>
      </c>
      <c r="T1" s="42">
        <v>20</v>
      </c>
      <c r="U1" s="42">
        <v>21</v>
      </c>
      <c r="V1" s="42">
        <v>22</v>
      </c>
      <c r="W1" s="42">
        <v>23</v>
      </c>
      <c r="X1" s="42">
        <v>24</v>
      </c>
      <c r="Y1" s="42">
        <v>25</v>
      </c>
      <c r="Z1" s="42">
        <v>26</v>
      </c>
      <c r="AA1" s="42">
        <v>27</v>
      </c>
      <c r="AB1" s="42">
        <v>28</v>
      </c>
      <c r="AC1" s="42">
        <v>29</v>
      </c>
      <c r="AD1" s="42">
        <v>30</v>
      </c>
      <c r="AE1" s="42">
        <v>31</v>
      </c>
      <c r="AF1" s="42">
        <v>32</v>
      </c>
      <c r="AG1" s="42">
        <v>33</v>
      </c>
      <c r="AH1" s="42">
        <v>34</v>
      </c>
      <c r="AI1" s="42">
        <v>35</v>
      </c>
      <c r="AJ1" s="42">
        <v>36</v>
      </c>
      <c r="AK1" s="42">
        <v>37</v>
      </c>
      <c r="AL1" s="42">
        <v>38</v>
      </c>
      <c r="AM1" s="42">
        <v>39</v>
      </c>
      <c r="AN1" s="42">
        <v>40</v>
      </c>
      <c r="AO1" s="42">
        <v>41</v>
      </c>
      <c r="AP1" s="42">
        <v>42</v>
      </c>
      <c r="AQ1" s="42">
        <v>43</v>
      </c>
      <c r="AR1" s="42">
        <v>44</v>
      </c>
      <c r="AS1" s="42">
        <v>45</v>
      </c>
      <c r="AT1" s="42">
        <v>46</v>
      </c>
      <c r="AU1" s="42">
        <v>47</v>
      </c>
      <c r="AV1" s="42">
        <v>48</v>
      </c>
      <c r="AW1" s="42">
        <v>49</v>
      </c>
      <c r="AX1" s="42">
        <v>50</v>
      </c>
      <c r="AY1" s="42">
        <v>51</v>
      </c>
      <c r="AZ1" s="42">
        <v>52</v>
      </c>
      <c r="BA1" s="42">
        <v>53</v>
      </c>
      <c r="BB1" s="42">
        <v>54</v>
      </c>
      <c r="BC1" s="42">
        <v>55</v>
      </c>
      <c r="BD1" s="42">
        <v>56</v>
      </c>
      <c r="BE1" s="42">
        <v>57</v>
      </c>
      <c r="BF1" s="42">
        <v>58</v>
      </c>
      <c r="BG1" s="42">
        <v>59</v>
      </c>
      <c r="BH1" s="42">
        <v>60</v>
      </c>
    </row>
    <row r="2" spans="1:62" x14ac:dyDescent="0.25">
      <c r="A2">
        <v>2</v>
      </c>
      <c r="B2" s="43" t="str">
        <f>IF($A2=B$1, IF(ROW(B2)=2, "+", IF(COUNTIF(A2:$B2, "X")=0, "+", "-")), IF(MOD($A2, B$1)=0, "X", "O"))</f>
        <v>+</v>
      </c>
      <c r="C2" s="43" t="str">
        <f>IF($A2=C$1, IF(ROW(C2)=2, "+", IF(COUNTIF(B2:$B2, "X")=0, "+", "-")), IF(MOD($A2, C$1)=0, "X", "O"))</f>
        <v>O</v>
      </c>
      <c r="D2" s="43" t="str">
        <f>IF($A2=D$1, IF(ROW(D2)=2, "+", IF(COUNTIF($B2:C2, "X")=0, "+", "-")), IF(MOD($A2, D$1)=0, "X", "O"))</f>
        <v>O</v>
      </c>
      <c r="E2" s="43" t="str">
        <f>IF($A2=E$1, IF(ROW(E2)=2, "+", IF(COUNTIF($B2:D2, "X")=0, "+", "-")), IF(MOD($A2, E$1)=0, "X", "O"))</f>
        <v>O</v>
      </c>
      <c r="F2" s="43" t="str">
        <f>IF($A2=F$1, IF(ROW(F2)=2, "+", IF(COUNTIF($B2:E2, "X")=0, "+", "-")), IF(MOD($A2, F$1)=0, "X", "O"))</f>
        <v>O</v>
      </c>
      <c r="G2" s="43" t="str">
        <f>IF($A2=G$1, IF(ROW(G2)=2, "+", IF(COUNTIF($B2:F2, "X")=0, "+", "-")), IF(MOD($A2, G$1)=0, "X", "O"))</f>
        <v>O</v>
      </c>
      <c r="H2" s="43" t="str">
        <f>IF($A2=H$1, IF(ROW(H2)=2, "+", IF(COUNTIF($B2:G2, "X")=0, "+", "-")), IF(MOD($A2, H$1)=0, "X", "O"))</f>
        <v>O</v>
      </c>
      <c r="I2" s="43" t="str">
        <f>IF($A2=I$1, IF(ROW(I2)=2, "+", IF(COUNTIF($B2:H2, "X")=0, "+", "-")), IF(MOD($A2, I$1)=0, "X", "O"))</f>
        <v>O</v>
      </c>
      <c r="J2" s="43" t="str">
        <f>IF($A2=J$1, IF(ROW(J2)=2, "+", IF(COUNTIF($B2:I2, "X")=0, "+", "-")), IF(MOD($A2, J$1)=0, "X", "O"))</f>
        <v>O</v>
      </c>
      <c r="K2" s="43" t="str">
        <f>IF($A2=K$1, IF(ROW(K2)=2, "+", IF(COUNTIF($B2:J2, "X")=0, "+", "-")), IF(MOD($A2, K$1)=0, "X", "O"))</f>
        <v>O</v>
      </c>
      <c r="L2" s="43" t="str">
        <f>IF($A2=L$1, IF(ROW(L2)=2, "+", IF(COUNTIF($B2:K2, "X")=0, "+", "-")), IF(MOD($A2, L$1)=0, "X", "O"))</f>
        <v>O</v>
      </c>
      <c r="M2" s="43" t="str">
        <f>IF($A2=M$1, IF(ROW(M2)=2, "+", IF(COUNTIF($B2:L2, "X")=0, "+", "-")), IF(MOD($A2, M$1)=0, "X", "O"))</f>
        <v>O</v>
      </c>
      <c r="N2" s="43" t="str">
        <f>IF($A2=N$1, IF(ROW(N2)=2, "+", IF(COUNTIF($B2:M2, "X")=0, "+", "-")), IF(MOD($A2, N$1)=0, "X", "O"))</f>
        <v>O</v>
      </c>
      <c r="O2" s="43" t="str">
        <f>IF($A2=O$1, IF(ROW(O2)=2, "+", IF(COUNTIF($B2:N2, "X")=0, "+", "-")), IF(MOD($A2, O$1)=0, "X", "O"))</f>
        <v>O</v>
      </c>
      <c r="P2" s="43" t="str">
        <f>IF($A2=P$1, IF(ROW(P2)=2, "+", IF(COUNTIF($B2:O2, "X")=0, "+", "-")), IF(MOD($A2, P$1)=0, "X", "O"))</f>
        <v>O</v>
      </c>
      <c r="Q2" s="43" t="str">
        <f>IF($A2=Q$1, IF(ROW(Q2)=2, "+", IF(COUNTIF($B2:P2, "X")=0, "+", "-")), IF(MOD($A2, Q$1)=0, "X", "O"))</f>
        <v>O</v>
      </c>
      <c r="R2" s="43" t="str">
        <f>IF($A2=R$1, IF(ROW(R2)=2, "+", IF(COUNTIF($B2:Q2, "X")=0, "+", "-")), IF(MOD($A2, R$1)=0, "X", "O"))</f>
        <v>O</v>
      </c>
      <c r="S2" s="43" t="str">
        <f>IF($A2=S$1, IF(ROW(S2)=2, "+", IF(COUNTIF($B2:R2, "X")=0, "+", "-")), IF(MOD($A2, S$1)=0, "X", "O"))</f>
        <v>O</v>
      </c>
      <c r="T2" s="43" t="str">
        <f>IF($A2=T$1, IF(ROW(T2)=2, "+", IF(COUNTIF($B2:S2, "X")=0, "+", "-")), IF(MOD($A2, T$1)=0, "X", "O"))</f>
        <v>O</v>
      </c>
      <c r="U2" s="43" t="str">
        <f>IF($A2=U$1, IF(ROW(U2)=2, "+", IF(COUNTIF($B2:T2, "X")=0, "+", "-")), IF(MOD($A2, U$1)=0, "X", "O"))</f>
        <v>O</v>
      </c>
      <c r="V2" s="43" t="str">
        <f>IF($A2=V$1, IF(ROW(V2)=2, "+", IF(COUNTIF($B2:U2, "X")=0, "+", "-")), IF(MOD($A2, V$1)=0, "X", "O"))</f>
        <v>O</v>
      </c>
      <c r="W2" s="43" t="str">
        <f>IF($A2=W$1, IF(ROW(W2)=2, "+", IF(COUNTIF($B2:V2, "X")=0, "+", "-")), IF(MOD($A2, W$1)=0, "X", "O"))</f>
        <v>O</v>
      </c>
      <c r="X2" s="43" t="str">
        <f>IF($A2=X$1, IF(ROW(X2)=2, "+", IF(COUNTIF($B2:W2, "X")=0, "+", "-")), IF(MOD($A2, X$1)=0, "X", "O"))</f>
        <v>O</v>
      </c>
      <c r="Y2" s="43" t="str">
        <f>IF($A2=Y$1, IF(ROW(Y2)=2, "+", IF(COUNTIF($B2:X2, "X")=0, "+", "-")), IF(MOD($A2, Y$1)=0, "X", "O"))</f>
        <v>O</v>
      </c>
      <c r="Z2" s="43" t="str">
        <f>IF($A2=Z$1, IF(ROW(Z2)=2, "+", IF(COUNTIF($B2:Y2, "X")=0, "+", "-")), IF(MOD($A2, Z$1)=0, "X", "O"))</f>
        <v>O</v>
      </c>
      <c r="AA2" s="43" t="str">
        <f>IF($A2=AA$1, IF(ROW(AA2)=2, "+", IF(COUNTIF($B2:Z2, "X")=0, "+", "-")), IF(MOD($A2, AA$1)=0, "X", "O"))</f>
        <v>O</v>
      </c>
      <c r="AB2" s="43" t="str">
        <f>IF($A2=AB$1, IF(ROW(AB2)=2, "+", IF(COUNTIF($B2:AA2, "X")=0, "+", "-")), IF(MOD($A2, AB$1)=0, "X", "O"))</f>
        <v>O</v>
      </c>
      <c r="AC2" s="43" t="str">
        <f>IF($A2=AC$1, IF(ROW(AC2)=2, "+", IF(COUNTIF($B2:AB2, "X")=0, "+", "-")), IF(MOD($A2, AC$1)=0, "X", "O"))</f>
        <v>O</v>
      </c>
      <c r="AD2" s="43" t="str">
        <f>IF($A2=AD$1, IF(ROW(AD2)=2, "+", IF(COUNTIF($B2:AC2, "X")=0, "+", "-")), IF(MOD($A2, AD$1)=0, "X", "O"))</f>
        <v>O</v>
      </c>
      <c r="AE2" s="43" t="str">
        <f>IF($A2=AE$1, IF(ROW(AE2)=2, "+", IF(COUNTIF($B2:AD2, "X")=0, "+", "-")), IF(MOD($A2, AE$1)=0, "X", "O"))</f>
        <v>O</v>
      </c>
      <c r="AF2" s="43" t="str">
        <f>IF($A2=AF$1, IF(ROW(AF2)=2, "+", IF(COUNTIF($B2:AE2, "X")=0, "+", "-")), IF(MOD($A2, AF$1)=0, "X", "O"))</f>
        <v>O</v>
      </c>
      <c r="AG2" s="43" t="str">
        <f>IF($A2=AG$1, IF(ROW(AG2)=2, "+", IF(COUNTIF($B2:AF2, "X")=0, "+", "-")), IF(MOD($A2, AG$1)=0, "X", "O"))</f>
        <v>O</v>
      </c>
      <c r="AH2" s="43" t="str">
        <f>IF($A2=AH$1, IF(ROW(AH2)=2, "+", IF(COUNTIF($B2:AG2, "X")=0, "+", "-")), IF(MOD($A2, AH$1)=0, "X", "O"))</f>
        <v>O</v>
      </c>
      <c r="AI2" s="43" t="str">
        <f>IF($A2=AI$1, IF(ROW(AI2)=2, "+", IF(COUNTIF($B2:AH2, "X")=0, "+", "-")), IF(MOD($A2, AI$1)=0, "X", "O"))</f>
        <v>O</v>
      </c>
      <c r="AJ2" s="43" t="str">
        <f>IF($A2=AJ$1, IF(ROW(AJ2)=2, "+", IF(COUNTIF($B2:AI2, "X")=0, "+", "-")), IF(MOD($A2, AJ$1)=0, "X", "O"))</f>
        <v>O</v>
      </c>
      <c r="AK2" s="43" t="str">
        <f>IF($A2=AK$1, IF(ROW(AK2)=2, "+", IF(COUNTIF($B2:AJ2, "X")=0, "+", "-")), IF(MOD($A2, AK$1)=0, "X", "O"))</f>
        <v>O</v>
      </c>
      <c r="AL2" s="43" t="str">
        <f>IF($A2=AL$1, IF(ROW(AL2)=2, "+", IF(COUNTIF($B2:AK2, "X")=0, "+", "-")), IF(MOD($A2, AL$1)=0, "X", "O"))</f>
        <v>O</v>
      </c>
      <c r="AM2" s="43" t="str">
        <f>IF($A2=AM$1, IF(ROW(AM2)=2, "+", IF(COUNTIF($B2:AL2, "X")=0, "+", "-")), IF(MOD($A2, AM$1)=0, "X", "O"))</f>
        <v>O</v>
      </c>
      <c r="AN2" s="43" t="str">
        <f>IF($A2=AN$1, IF(ROW(AN2)=2, "+", IF(COUNTIF($B2:AM2, "X")=0, "+", "-")), IF(MOD($A2, AN$1)=0, "X", "O"))</f>
        <v>O</v>
      </c>
      <c r="AO2" s="43" t="str">
        <f>IF($A2=AO$1, IF(ROW(AO2)=2, "+", IF(COUNTIF($B2:AN2, "X")=0, "+", "-")), IF(MOD($A2, AO$1)=0, "X", "O"))</f>
        <v>O</v>
      </c>
      <c r="AP2" s="43" t="str">
        <f>IF($A2=AP$1, IF(ROW(AP2)=2, "+", IF(COUNTIF($B2:AO2, "X")=0, "+", "-")), IF(MOD($A2, AP$1)=0, "X", "O"))</f>
        <v>O</v>
      </c>
      <c r="AQ2" s="43" t="str">
        <f>IF($A2=AQ$1, IF(ROW(AQ2)=2, "+", IF(COUNTIF($B2:AP2, "X")=0, "+", "-")), IF(MOD($A2, AQ$1)=0, "X", "O"))</f>
        <v>O</v>
      </c>
      <c r="AR2" s="43" t="str">
        <f>IF($A2=AR$1, IF(ROW(AR2)=2, "+", IF(COUNTIF($B2:AQ2, "X")=0, "+", "-")), IF(MOD($A2, AR$1)=0, "X", "O"))</f>
        <v>O</v>
      </c>
      <c r="AS2" s="43" t="str">
        <f>IF($A2=AS$1, IF(ROW(AS2)=2, "+", IF(COUNTIF($B2:AR2, "X")=0, "+", "-")), IF(MOD($A2, AS$1)=0, "X", "O"))</f>
        <v>O</v>
      </c>
      <c r="AT2" s="43" t="str">
        <f>IF($A2=AT$1, IF(ROW(AT2)=2, "+", IF(COUNTIF($B2:AS2, "X")=0, "+", "-")), IF(MOD($A2, AT$1)=0, "X", "O"))</f>
        <v>O</v>
      </c>
      <c r="AU2" s="43" t="str">
        <f>IF($A2=AU$1, IF(ROW(AU2)=2, "+", IF(COUNTIF($B2:AT2, "X")=0, "+", "-")), IF(MOD($A2, AU$1)=0, "X", "O"))</f>
        <v>O</v>
      </c>
      <c r="AV2" s="43" t="str">
        <f>IF($A2=AV$1, IF(ROW(AV2)=2, "+", IF(COUNTIF($B2:AU2, "X")=0, "+", "-")), IF(MOD($A2, AV$1)=0, "X", "O"))</f>
        <v>O</v>
      </c>
      <c r="AW2" s="43" t="str">
        <f>IF($A2=AW$1, IF(ROW(AW2)=2, "+", IF(COUNTIF($B2:AV2, "X")=0, "+", "-")), IF(MOD($A2, AW$1)=0, "X", "O"))</f>
        <v>O</v>
      </c>
      <c r="AX2" s="43" t="str">
        <f>IF($A2=AX$1, IF(ROW(AX2)=2, "+", IF(COUNTIF($B2:AW2, "X")=0, "+", "-")), IF(MOD($A2, AX$1)=0, "X", "O"))</f>
        <v>O</v>
      </c>
      <c r="AY2" s="43" t="str">
        <f>IF($A2=AY$1, IF(ROW(AY2)=2, "+", IF(COUNTIF($B2:AX2, "X")=0, "+", "-")), IF(MOD($A2, AY$1)=0, "X", "O"))</f>
        <v>O</v>
      </c>
      <c r="AZ2" s="43" t="str">
        <f>IF($A2=AZ$1, IF(ROW(AZ2)=2, "+", IF(COUNTIF($B2:AY2, "X")=0, "+", "-")), IF(MOD($A2, AZ$1)=0, "X", "O"))</f>
        <v>O</v>
      </c>
      <c r="BA2" s="43" t="str">
        <f>IF($A2=BA$1, IF(ROW(BA2)=2, "+", IF(COUNTIF($B2:AZ2, "X")=0, "+", "-")), IF(MOD($A2, BA$1)=0, "X", "O"))</f>
        <v>O</v>
      </c>
      <c r="BB2" s="43" t="str">
        <f>IF($A2=BB$1, IF(ROW(BB2)=2, "+", IF(COUNTIF($B2:BA2, "X")=0, "+", "-")), IF(MOD($A2, BB$1)=0, "X", "O"))</f>
        <v>O</v>
      </c>
      <c r="BC2" s="43" t="str">
        <f>IF($A2=BC$1, IF(ROW(BC2)=2, "+", IF(COUNTIF($B2:BB2, "X")=0, "+", "-")), IF(MOD($A2, BC$1)=0, "X", "O"))</f>
        <v>O</v>
      </c>
      <c r="BD2" s="43" t="str">
        <f>IF($A2=BD$1, IF(ROW(BD2)=2, "+", IF(COUNTIF($B2:BC2, "X")=0, "+", "-")), IF(MOD($A2, BD$1)=0, "X", "O"))</f>
        <v>O</v>
      </c>
      <c r="BE2" s="43" t="str">
        <f>IF($A2=BE$1, IF(ROW(BE2)=2, "+", IF(COUNTIF($B2:BD2, "X")=0, "+", "-")), IF(MOD($A2, BE$1)=0, "X", "O"))</f>
        <v>O</v>
      </c>
      <c r="BF2" s="43" t="str">
        <f>IF($A2=BF$1, IF(ROW(BF2)=2, "+", IF(COUNTIF($B2:BE2, "X")=0, "+", "-")), IF(MOD($A2, BF$1)=0, "X", "O"))</f>
        <v>O</v>
      </c>
      <c r="BG2" s="43" t="str">
        <f>IF($A2=BG$1, IF(ROW(BG2)=2, "+", IF(COUNTIF($B2:BF2, "X")=0, "+", "-")), IF(MOD($A2, BG$1)=0, "X", "O"))</f>
        <v>O</v>
      </c>
      <c r="BH2" s="43" t="str">
        <f>IF($A2=BH$1, IF(ROW(BH2)=2, "+", IF(COUNTIF($B2:BG2, "X")=0, "+", "-")), IF(MOD($A2, BH$1)=0, "X", "O"))</f>
        <v>O</v>
      </c>
      <c r="BJ2" s="43"/>
    </row>
    <row r="3" spans="1:62" x14ac:dyDescent="0.25">
      <c r="A3">
        <v>3</v>
      </c>
      <c r="B3" s="43" t="str">
        <f>IF($A3=B$1, IF(ROW(B3)=2, "+", IF(COUNTIF(A3:$B3, "X")=0, "+", "-")), IF(MOD($A3, B$1)=0, "X", "O"))</f>
        <v>O</v>
      </c>
      <c r="C3" s="43" t="str">
        <f>IF($A3=C$1, IF(ROW(C3)=2, "+", IF(COUNTIF(B3:$B3, "X")=0, "+", "-")), IF(MOD($A3, C$1)=0, "X", "O"))</f>
        <v>+</v>
      </c>
      <c r="D3" s="43" t="str">
        <f>IF($A3=D$1, IF(ROW(D3)=2, "+", IF(COUNTIF($B3:C3, "X")=0, "+", "-")), IF(MOD($A3, D$1)=0, "X", "O"))</f>
        <v>O</v>
      </c>
      <c r="E3" s="43" t="str">
        <f>IF($A3=E$1, IF(ROW(E3)=2, "+", IF(COUNTIF($B3:D3, "X")=0, "+", "-")), IF(MOD($A3, E$1)=0, "X", "O"))</f>
        <v>O</v>
      </c>
      <c r="F3" s="43" t="str">
        <f>IF($A3=F$1, IF(ROW(F3)=2, "+", IF(COUNTIF($B3:E3, "X")=0, "+", "-")), IF(MOD($A3, F$1)=0, "X", "O"))</f>
        <v>O</v>
      </c>
      <c r="G3" s="43" t="str">
        <f>IF($A3=G$1, IF(ROW(G3)=2, "+", IF(COUNTIF($B3:F3, "X")=0, "+", "-")), IF(MOD($A3, G$1)=0, "X", "O"))</f>
        <v>O</v>
      </c>
      <c r="H3" s="43" t="str">
        <f>IF($A3=H$1, IF(ROW(H3)=2, "+", IF(COUNTIF($B3:G3, "X")=0, "+", "-")), IF(MOD($A3, H$1)=0, "X", "O"))</f>
        <v>O</v>
      </c>
      <c r="I3" s="43" t="str">
        <f>IF($A3=I$1, IF(ROW(I3)=2, "+", IF(COUNTIF($B3:H3, "X")=0, "+", "-")), IF(MOD($A3, I$1)=0, "X", "O"))</f>
        <v>O</v>
      </c>
      <c r="J3" s="43" t="str">
        <f>IF($A3=J$1, IF(ROW(J3)=2, "+", IF(COUNTIF($B3:I3, "X")=0, "+", "-")), IF(MOD($A3, J$1)=0, "X", "O"))</f>
        <v>O</v>
      </c>
      <c r="K3" s="43" t="str">
        <f>IF($A3=K$1, IF(ROW(K3)=2, "+", IF(COUNTIF($B3:J3, "X")=0, "+", "-")), IF(MOD($A3, K$1)=0, "X", "O"))</f>
        <v>O</v>
      </c>
      <c r="L3" s="43" t="str">
        <f>IF($A3=L$1, IF(ROW(L3)=2, "+", IF(COUNTIF($B3:K3, "X")=0, "+", "-")), IF(MOD($A3, L$1)=0, "X", "O"))</f>
        <v>O</v>
      </c>
      <c r="M3" s="43" t="str">
        <f>IF($A3=M$1, IF(ROW(M3)=2, "+", IF(COUNTIF($B3:L3, "X")=0, "+", "-")), IF(MOD($A3, M$1)=0, "X", "O"))</f>
        <v>O</v>
      </c>
      <c r="N3" s="43" t="str">
        <f>IF($A3=N$1, IF(ROW(N3)=2, "+", IF(COUNTIF($B3:M3, "X")=0, "+", "-")), IF(MOD($A3, N$1)=0, "X", "O"))</f>
        <v>O</v>
      </c>
      <c r="O3" s="43" t="str">
        <f>IF($A3=O$1, IF(ROW(O3)=2, "+", IF(COUNTIF($B3:N3, "X")=0, "+", "-")), IF(MOD($A3, O$1)=0, "X", "O"))</f>
        <v>O</v>
      </c>
      <c r="P3" s="43" t="str">
        <f>IF($A3=P$1, IF(ROW(P3)=2, "+", IF(COUNTIF($B3:O3, "X")=0, "+", "-")), IF(MOD($A3, P$1)=0, "X", "O"))</f>
        <v>O</v>
      </c>
      <c r="Q3" s="43" t="str">
        <f>IF($A3=Q$1, IF(ROW(Q3)=2, "+", IF(COUNTIF($B3:P3, "X")=0, "+", "-")), IF(MOD($A3, Q$1)=0, "X", "O"))</f>
        <v>O</v>
      </c>
      <c r="R3" s="43" t="str">
        <f>IF($A3=R$1, IF(ROW(R3)=2, "+", IF(COUNTIF($B3:Q3, "X")=0, "+", "-")), IF(MOD($A3, R$1)=0, "X", "O"))</f>
        <v>O</v>
      </c>
      <c r="S3" s="43" t="str">
        <f>IF($A3=S$1, IF(ROW(S3)=2, "+", IF(COUNTIF($B3:R3, "X")=0, "+", "-")), IF(MOD($A3, S$1)=0, "X", "O"))</f>
        <v>O</v>
      </c>
      <c r="T3" s="43" t="str">
        <f>IF($A3=T$1, IF(ROW(T3)=2, "+", IF(COUNTIF($B3:S3, "X")=0, "+", "-")), IF(MOD($A3, T$1)=0, "X", "O"))</f>
        <v>O</v>
      </c>
      <c r="U3" s="43" t="str">
        <f>IF($A3=U$1, IF(ROW(U3)=2, "+", IF(COUNTIF($B3:T3, "X")=0, "+", "-")), IF(MOD($A3, U$1)=0, "X", "O"))</f>
        <v>O</v>
      </c>
      <c r="V3" s="43" t="str">
        <f>IF($A3=V$1, IF(ROW(V3)=2, "+", IF(COUNTIF($B3:U3, "X")=0, "+", "-")), IF(MOD($A3, V$1)=0, "X", "O"))</f>
        <v>O</v>
      </c>
      <c r="W3" s="43" t="str">
        <f>IF($A3=W$1, IF(ROW(W3)=2, "+", IF(COUNTIF($B3:V3, "X")=0, "+", "-")), IF(MOD($A3, W$1)=0, "X", "O"))</f>
        <v>O</v>
      </c>
      <c r="X3" s="43" t="str">
        <f>IF($A3=X$1, IF(ROW(X3)=2, "+", IF(COUNTIF($B3:W3, "X")=0, "+", "-")), IF(MOD($A3, X$1)=0, "X", "O"))</f>
        <v>O</v>
      </c>
      <c r="Y3" s="43" t="str">
        <f>IF($A3=Y$1, IF(ROW(Y3)=2, "+", IF(COUNTIF($B3:X3, "X")=0, "+", "-")), IF(MOD($A3, Y$1)=0, "X", "O"))</f>
        <v>O</v>
      </c>
      <c r="Z3" s="43" t="str">
        <f>IF($A3=Z$1, IF(ROW(Z3)=2, "+", IF(COUNTIF($B3:Y3, "X")=0, "+", "-")), IF(MOD($A3, Z$1)=0, "X", "O"))</f>
        <v>O</v>
      </c>
      <c r="AA3" s="43" t="str">
        <f>IF($A3=AA$1, IF(ROW(AA3)=2, "+", IF(COUNTIF($B3:Z3, "X")=0, "+", "-")), IF(MOD($A3, AA$1)=0, "X", "O"))</f>
        <v>O</v>
      </c>
      <c r="AB3" s="43" t="str">
        <f>IF($A3=AB$1, IF(ROW(AB3)=2, "+", IF(COUNTIF($B3:AA3, "X")=0, "+", "-")), IF(MOD($A3, AB$1)=0, "X", "O"))</f>
        <v>O</v>
      </c>
      <c r="AC3" s="43" t="str">
        <f>IF($A3=AC$1, IF(ROW(AC3)=2, "+", IF(COUNTIF($B3:AB3, "X")=0, "+", "-")), IF(MOD($A3, AC$1)=0, "X", "O"))</f>
        <v>O</v>
      </c>
      <c r="AD3" s="43" t="str">
        <f>IF($A3=AD$1, IF(ROW(AD3)=2, "+", IF(COUNTIF($B3:AC3, "X")=0, "+", "-")), IF(MOD($A3, AD$1)=0, "X", "O"))</f>
        <v>O</v>
      </c>
      <c r="AE3" s="43" t="str">
        <f>IF($A3=AE$1, IF(ROW(AE3)=2, "+", IF(COUNTIF($B3:AD3, "X")=0, "+", "-")), IF(MOD($A3, AE$1)=0, "X", "O"))</f>
        <v>O</v>
      </c>
      <c r="AF3" s="43" t="str">
        <f>IF($A3=AF$1, IF(ROW(AF3)=2, "+", IF(COUNTIF($B3:AE3, "X")=0, "+", "-")), IF(MOD($A3, AF$1)=0, "X", "O"))</f>
        <v>O</v>
      </c>
      <c r="AG3" s="43" t="str">
        <f>IF($A3=AG$1, IF(ROW(AG3)=2, "+", IF(COUNTIF($B3:AF3, "X")=0, "+", "-")), IF(MOD($A3, AG$1)=0, "X", "O"))</f>
        <v>O</v>
      </c>
      <c r="AH3" s="43" t="str">
        <f>IF($A3=AH$1, IF(ROW(AH3)=2, "+", IF(COUNTIF($B3:AG3, "X")=0, "+", "-")), IF(MOD($A3, AH$1)=0, "X", "O"))</f>
        <v>O</v>
      </c>
      <c r="AI3" s="43" t="str">
        <f>IF($A3=AI$1, IF(ROW(AI3)=2, "+", IF(COUNTIF($B3:AH3, "X")=0, "+", "-")), IF(MOD($A3, AI$1)=0, "X", "O"))</f>
        <v>O</v>
      </c>
      <c r="AJ3" s="43" t="str">
        <f>IF($A3=AJ$1, IF(ROW(AJ3)=2, "+", IF(COUNTIF($B3:AI3, "X")=0, "+", "-")), IF(MOD($A3, AJ$1)=0, "X", "O"))</f>
        <v>O</v>
      </c>
      <c r="AK3" s="43" t="str">
        <f>IF($A3=AK$1, IF(ROW(AK3)=2, "+", IF(COUNTIF($B3:AJ3, "X")=0, "+", "-")), IF(MOD($A3, AK$1)=0, "X", "O"))</f>
        <v>O</v>
      </c>
      <c r="AL3" s="43" t="str">
        <f>IF($A3=AL$1, IF(ROW(AL3)=2, "+", IF(COUNTIF($B3:AK3, "X")=0, "+", "-")), IF(MOD($A3, AL$1)=0, "X", "O"))</f>
        <v>O</v>
      </c>
      <c r="AM3" s="43" t="str">
        <f>IF($A3=AM$1, IF(ROW(AM3)=2, "+", IF(COUNTIF($B3:AL3, "X")=0, "+", "-")), IF(MOD($A3, AM$1)=0, "X", "O"))</f>
        <v>O</v>
      </c>
      <c r="AN3" s="43" t="str">
        <f>IF($A3=AN$1, IF(ROW(AN3)=2, "+", IF(COUNTIF($B3:AM3, "X")=0, "+", "-")), IF(MOD($A3, AN$1)=0, "X", "O"))</f>
        <v>O</v>
      </c>
      <c r="AO3" s="43" t="str">
        <f>IF($A3=AO$1, IF(ROW(AO3)=2, "+", IF(COUNTIF($B3:AN3, "X")=0, "+", "-")), IF(MOD($A3, AO$1)=0, "X", "O"))</f>
        <v>O</v>
      </c>
      <c r="AP3" s="43" t="str">
        <f>IF($A3=AP$1, IF(ROW(AP3)=2, "+", IF(COUNTIF($B3:AO3, "X")=0, "+", "-")), IF(MOD($A3, AP$1)=0, "X", "O"))</f>
        <v>O</v>
      </c>
      <c r="AQ3" s="43" t="str">
        <f>IF($A3=AQ$1, IF(ROW(AQ3)=2, "+", IF(COUNTIF($B3:AP3, "X")=0, "+", "-")), IF(MOD($A3, AQ$1)=0, "X", "O"))</f>
        <v>O</v>
      </c>
      <c r="AR3" s="43" t="str">
        <f>IF($A3=AR$1, IF(ROW(AR3)=2, "+", IF(COUNTIF($B3:AQ3, "X")=0, "+", "-")), IF(MOD($A3, AR$1)=0, "X", "O"))</f>
        <v>O</v>
      </c>
      <c r="AS3" s="43" t="str">
        <f>IF($A3=AS$1, IF(ROW(AS3)=2, "+", IF(COUNTIF($B3:AR3, "X")=0, "+", "-")), IF(MOD($A3, AS$1)=0, "X", "O"))</f>
        <v>O</v>
      </c>
      <c r="AT3" s="43" t="str">
        <f>IF($A3=AT$1, IF(ROW(AT3)=2, "+", IF(COUNTIF($B3:AS3, "X")=0, "+", "-")), IF(MOD($A3, AT$1)=0, "X", "O"))</f>
        <v>O</v>
      </c>
      <c r="AU3" s="43" t="str">
        <f>IF($A3=AU$1, IF(ROW(AU3)=2, "+", IF(COUNTIF($B3:AT3, "X")=0, "+", "-")), IF(MOD($A3, AU$1)=0, "X", "O"))</f>
        <v>O</v>
      </c>
      <c r="AV3" s="43" t="str">
        <f>IF($A3=AV$1, IF(ROW(AV3)=2, "+", IF(COUNTIF($B3:AU3, "X")=0, "+", "-")), IF(MOD($A3, AV$1)=0, "X", "O"))</f>
        <v>O</v>
      </c>
      <c r="AW3" s="43" t="str">
        <f>IF($A3=AW$1, IF(ROW(AW3)=2, "+", IF(COUNTIF($B3:AV3, "X")=0, "+", "-")), IF(MOD($A3, AW$1)=0, "X", "O"))</f>
        <v>O</v>
      </c>
      <c r="AX3" s="43" t="str">
        <f>IF($A3=AX$1, IF(ROW(AX3)=2, "+", IF(COUNTIF($B3:AW3, "X")=0, "+", "-")), IF(MOD($A3, AX$1)=0, "X", "O"))</f>
        <v>O</v>
      </c>
      <c r="AY3" s="43" t="str">
        <f>IF($A3=AY$1, IF(ROW(AY3)=2, "+", IF(COUNTIF($B3:AX3, "X")=0, "+", "-")), IF(MOD($A3, AY$1)=0, "X", "O"))</f>
        <v>O</v>
      </c>
      <c r="AZ3" s="43" t="str">
        <f>IF($A3=AZ$1, IF(ROW(AZ3)=2, "+", IF(COUNTIF($B3:AY3, "X")=0, "+", "-")), IF(MOD($A3, AZ$1)=0, "X", "O"))</f>
        <v>O</v>
      </c>
      <c r="BA3" s="43" t="str">
        <f>IF($A3=BA$1, IF(ROW(BA3)=2, "+", IF(COUNTIF($B3:AZ3, "X")=0, "+", "-")), IF(MOD($A3, BA$1)=0, "X", "O"))</f>
        <v>O</v>
      </c>
      <c r="BB3" s="43" t="str">
        <f>IF($A3=BB$1, IF(ROW(BB3)=2, "+", IF(COUNTIF($B3:BA3, "X")=0, "+", "-")), IF(MOD($A3, BB$1)=0, "X", "O"))</f>
        <v>O</v>
      </c>
      <c r="BC3" s="43" t="str">
        <f>IF($A3=BC$1, IF(ROW(BC3)=2, "+", IF(COUNTIF($B3:BB3, "X")=0, "+", "-")), IF(MOD($A3, BC$1)=0, "X", "O"))</f>
        <v>O</v>
      </c>
      <c r="BD3" s="43" t="str">
        <f>IF($A3=BD$1, IF(ROW(BD3)=2, "+", IF(COUNTIF($B3:BC3, "X")=0, "+", "-")), IF(MOD($A3, BD$1)=0, "X", "O"))</f>
        <v>O</v>
      </c>
      <c r="BE3" s="43" t="str">
        <f>IF($A3=BE$1, IF(ROW(BE3)=2, "+", IF(COUNTIF($B3:BD3, "X")=0, "+", "-")), IF(MOD($A3, BE$1)=0, "X", "O"))</f>
        <v>O</v>
      </c>
      <c r="BF3" s="43" t="str">
        <f>IF($A3=BF$1, IF(ROW(BF3)=2, "+", IF(COUNTIF($B3:BE3, "X")=0, "+", "-")), IF(MOD($A3, BF$1)=0, "X", "O"))</f>
        <v>O</v>
      </c>
      <c r="BG3" s="43" t="str">
        <f>IF($A3=BG$1, IF(ROW(BG3)=2, "+", IF(COUNTIF($B3:BF3, "X")=0, "+", "-")), IF(MOD($A3, BG$1)=0, "X", "O"))</f>
        <v>O</v>
      </c>
      <c r="BH3" s="43" t="str">
        <f>IF($A3=BH$1, IF(ROW(BH3)=2, "+", IF(COUNTIF($B3:BG3, "X")=0, "+", "-")), IF(MOD($A3, BH$1)=0, "X", "O"))</f>
        <v>O</v>
      </c>
    </row>
    <row r="4" spans="1:62" x14ac:dyDescent="0.25">
      <c r="A4">
        <v>4</v>
      </c>
      <c r="B4" s="43" t="str">
        <f>IF($A4=B$1, IF(ROW(B4)=2, "+", IF(COUNTIF(A4:$B4, "X")=0, "+", "-")), IF(MOD($A4, B$1)=0, "X", "O"))</f>
        <v>X</v>
      </c>
      <c r="C4" s="43" t="str">
        <f>IF($A4=C$1, IF(ROW(C4)=2, "+", IF(COUNTIF(B4:$B4, "X")=0, "+", "-")), IF(MOD($A4, C$1)=0, "X", "O"))</f>
        <v>O</v>
      </c>
      <c r="D4" s="43" t="str">
        <f>IF($A4=D$1, IF(ROW(D4)=2, "+", IF(COUNTIF($B4:C4, "X")=0, "+", "-")), IF(MOD($A4, D$1)=0, "X", "O"))</f>
        <v>-</v>
      </c>
      <c r="E4" s="43" t="str">
        <f>IF($A4=E$1, IF(ROW(E4)=2, "+", IF(COUNTIF($B4:D4, "X")=0, "+", "-")), IF(MOD($A4, E$1)=0, "X", "O"))</f>
        <v>O</v>
      </c>
      <c r="F4" s="43" t="str">
        <f>IF($A4=F$1, IF(ROW(F4)=2, "+", IF(COUNTIF($B4:E4, "X")=0, "+", "-")), IF(MOD($A4, F$1)=0, "X", "O"))</f>
        <v>O</v>
      </c>
      <c r="G4" s="43" t="str">
        <f>IF($A4=G$1, IF(ROW(G4)=2, "+", IF(COUNTIF($B4:F4, "X")=0, "+", "-")), IF(MOD($A4, G$1)=0, "X", "O"))</f>
        <v>O</v>
      </c>
      <c r="H4" s="43" t="str">
        <f>IF($A4=H$1, IF(ROW(H4)=2, "+", IF(COUNTIF($B4:G4, "X")=0, "+", "-")), IF(MOD($A4, H$1)=0, "X", "O"))</f>
        <v>O</v>
      </c>
      <c r="I4" s="43" t="str">
        <f>IF($A4=I$1, IF(ROW(I4)=2, "+", IF(COUNTIF($B4:H4, "X")=0, "+", "-")), IF(MOD($A4, I$1)=0, "X", "O"))</f>
        <v>O</v>
      </c>
      <c r="J4" s="43" t="str">
        <f>IF($A4=J$1, IF(ROW(J4)=2, "+", IF(COUNTIF($B4:I4, "X")=0, "+", "-")), IF(MOD($A4, J$1)=0, "X", "O"))</f>
        <v>O</v>
      </c>
      <c r="K4" s="43" t="str">
        <f>IF($A4=K$1, IF(ROW(K4)=2, "+", IF(COUNTIF($B4:J4, "X")=0, "+", "-")), IF(MOD($A4, K$1)=0, "X", "O"))</f>
        <v>O</v>
      </c>
      <c r="L4" s="43" t="str">
        <f>IF($A4=L$1, IF(ROW(L4)=2, "+", IF(COUNTIF($B4:K4, "X")=0, "+", "-")), IF(MOD($A4, L$1)=0, "X", "O"))</f>
        <v>O</v>
      </c>
      <c r="M4" s="43" t="str">
        <f>IF($A4=M$1, IF(ROW(M4)=2, "+", IF(COUNTIF($B4:L4, "X")=0, "+", "-")), IF(MOD($A4, M$1)=0, "X", "O"))</f>
        <v>O</v>
      </c>
      <c r="N4" s="43" t="str">
        <f>IF($A4=N$1, IF(ROW(N4)=2, "+", IF(COUNTIF($B4:M4, "X")=0, "+", "-")), IF(MOD($A4, N$1)=0, "X", "O"))</f>
        <v>O</v>
      </c>
      <c r="O4" s="43" t="str">
        <f>IF($A4=O$1, IF(ROW(O4)=2, "+", IF(COUNTIF($B4:N4, "X")=0, "+", "-")), IF(MOD($A4, O$1)=0, "X", "O"))</f>
        <v>O</v>
      </c>
      <c r="P4" s="43" t="str">
        <f>IF($A4=P$1, IF(ROW(P4)=2, "+", IF(COUNTIF($B4:O4, "X")=0, "+", "-")), IF(MOD($A4, P$1)=0, "X", "O"))</f>
        <v>O</v>
      </c>
      <c r="Q4" s="43" t="str">
        <f>IF($A4=Q$1, IF(ROW(Q4)=2, "+", IF(COUNTIF($B4:P4, "X")=0, "+", "-")), IF(MOD($A4, Q$1)=0, "X", "O"))</f>
        <v>O</v>
      </c>
      <c r="R4" s="43" t="str">
        <f>IF($A4=R$1, IF(ROW(R4)=2, "+", IF(COUNTIF($B4:Q4, "X")=0, "+", "-")), IF(MOD($A4, R$1)=0, "X", "O"))</f>
        <v>O</v>
      </c>
      <c r="S4" s="43" t="str">
        <f>IF($A4=S$1, IF(ROW(S4)=2, "+", IF(COUNTIF($B4:R4, "X")=0, "+", "-")), IF(MOD($A4, S$1)=0, "X", "O"))</f>
        <v>O</v>
      </c>
      <c r="T4" s="43" t="str">
        <f>IF($A4=T$1, IF(ROW(T4)=2, "+", IF(COUNTIF($B4:S4, "X")=0, "+", "-")), IF(MOD($A4, T$1)=0, "X", "O"))</f>
        <v>O</v>
      </c>
      <c r="U4" s="43" t="str">
        <f>IF($A4=U$1, IF(ROW(U4)=2, "+", IF(COUNTIF($B4:T4, "X")=0, "+", "-")), IF(MOD($A4, U$1)=0, "X", "O"))</f>
        <v>O</v>
      </c>
      <c r="V4" s="43" t="str">
        <f>IF($A4=V$1, IF(ROW(V4)=2, "+", IF(COUNTIF($B4:U4, "X")=0, "+", "-")), IF(MOD($A4, V$1)=0, "X", "O"))</f>
        <v>O</v>
      </c>
      <c r="W4" s="43" t="str">
        <f>IF($A4=W$1, IF(ROW(W4)=2, "+", IF(COUNTIF($B4:V4, "X")=0, "+", "-")), IF(MOD($A4, W$1)=0, "X", "O"))</f>
        <v>O</v>
      </c>
      <c r="X4" s="43" t="str">
        <f>IF($A4=X$1, IF(ROW(X4)=2, "+", IF(COUNTIF($B4:W4, "X")=0, "+", "-")), IF(MOD($A4, X$1)=0, "X", "O"))</f>
        <v>O</v>
      </c>
      <c r="Y4" s="43" t="str">
        <f>IF($A4=Y$1, IF(ROW(Y4)=2, "+", IF(COUNTIF($B4:X4, "X")=0, "+", "-")), IF(MOD($A4, Y$1)=0, "X", "O"))</f>
        <v>O</v>
      </c>
      <c r="Z4" s="43" t="str">
        <f>IF($A4=Z$1, IF(ROW(Z4)=2, "+", IF(COUNTIF($B4:Y4, "X")=0, "+", "-")), IF(MOD($A4, Z$1)=0, "X", "O"))</f>
        <v>O</v>
      </c>
      <c r="AA4" s="43" t="str">
        <f>IF($A4=AA$1, IF(ROW(AA4)=2, "+", IF(COUNTIF($B4:Z4, "X")=0, "+", "-")), IF(MOD($A4, AA$1)=0, "X", "O"))</f>
        <v>O</v>
      </c>
      <c r="AB4" s="43" t="str">
        <f>IF($A4=AB$1, IF(ROW(AB4)=2, "+", IF(COUNTIF($B4:AA4, "X")=0, "+", "-")), IF(MOD($A4, AB$1)=0, "X", "O"))</f>
        <v>O</v>
      </c>
      <c r="AC4" s="43" t="str">
        <f>IF($A4=AC$1, IF(ROW(AC4)=2, "+", IF(COUNTIF($B4:AB4, "X")=0, "+", "-")), IF(MOD($A4, AC$1)=0, "X", "O"))</f>
        <v>O</v>
      </c>
      <c r="AD4" s="43" t="str">
        <f>IF($A4=AD$1, IF(ROW(AD4)=2, "+", IF(COUNTIF($B4:AC4, "X")=0, "+", "-")), IF(MOD($A4, AD$1)=0, "X", "O"))</f>
        <v>O</v>
      </c>
      <c r="AE4" s="43" t="str">
        <f>IF($A4=AE$1, IF(ROW(AE4)=2, "+", IF(COUNTIF($B4:AD4, "X")=0, "+", "-")), IF(MOD($A4, AE$1)=0, "X", "O"))</f>
        <v>O</v>
      </c>
      <c r="AF4" s="43" t="str">
        <f>IF($A4=AF$1, IF(ROW(AF4)=2, "+", IF(COUNTIF($B4:AE4, "X")=0, "+", "-")), IF(MOD($A4, AF$1)=0, "X", "O"))</f>
        <v>O</v>
      </c>
      <c r="AG4" s="43" t="str">
        <f>IF($A4=AG$1, IF(ROW(AG4)=2, "+", IF(COUNTIF($B4:AF4, "X")=0, "+", "-")), IF(MOD($A4, AG$1)=0, "X", "O"))</f>
        <v>O</v>
      </c>
      <c r="AH4" s="43" t="str">
        <f>IF($A4=AH$1, IF(ROW(AH4)=2, "+", IF(COUNTIF($B4:AG4, "X")=0, "+", "-")), IF(MOD($A4, AH$1)=0, "X", "O"))</f>
        <v>O</v>
      </c>
      <c r="AI4" s="43" t="str">
        <f>IF($A4=AI$1, IF(ROW(AI4)=2, "+", IF(COUNTIF($B4:AH4, "X")=0, "+", "-")), IF(MOD($A4, AI$1)=0, "X", "O"))</f>
        <v>O</v>
      </c>
      <c r="AJ4" s="43" t="str">
        <f>IF($A4=AJ$1, IF(ROW(AJ4)=2, "+", IF(COUNTIF($B4:AI4, "X")=0, "+", "-")), IF(MOD($A4, AJ$1)=0, "X", "O"))</f>
        <v>O</v>
      </c>
      <c r="AK4" s="43" t="str">
        <f>IF($A4=AK$1, IF(ROW(AK4)=2, "+", IF(COUNTIF($B4:AJ4, "X")=0, "+", "-")), IF(MOD($A4, AK$1)=0, "X", "O"))</f>
        <v>O</v>
      </c>
      <c r="AL4" s="43" t="str">
        <f>IF($A4=AL$1, IF(ROW(AL4)=2, "+", IF(COUNTIF($B4:AK4, "X")=0, "+", "-")), IF(MOD($A4, AL$1)=0, "X", "O"))</f>
        <v>O</v>
      </c>
      <c r="AM4" s="43" t="str">
        <f>IF($A4=AM$1, IF(ROW(AM4)=2, "+", IF(COUNTIF($B4:AL4, "X")=0, "+", "-")), IF(MOD($A4, AM$1)=0, "X", "O"))</f>
        <v>O</v>
      </c>
      <c r="AN4" s="43" t="str">
        <f>IF($A4=AN$1, IF(ROW(AN4)=2, "+", IF(COUNTIF($B4:AM4, "X")=0, "+", "-")), IF(MOD($A4, AN$1)=0, "X", "O"))</f>
        <v>O</v>
      </c>
      <c r="AO4" s="43" t="str">
        <f>IF($A4=AO$1, IF(ROW(AO4)=2, "+", IF(COUNTIF($B4:AN4, "X")=0, "+", "-")), IF(MOD($A4, AO$1)=0, "X", "O"))</f>
        <v>O</v>
      </c>
      <c r="AP4" s="43" t="str">
        <f>IF($A4=AP$1, IF(ROW(AP4)=2, "+", IF(COUNTIF($B4:AO4, "X")=0, "+", "-")), IF(MOD($A4, AP$1)=0, "X", "O"))</f>
        <v>O</v>
      </c>
      <c r="AQ4" s="43" t="str">
        <f>IF($A4=AQ$1, IF(ROW(AQ4)=2, "+", IF(COUNTIF($B4:AP4, "X")=0, "+", "-")), IF(MOD($A4, AQ$1)=0, "X", "O"))</f>
        <v>O</v>
      </c>
      <c r="AR4" s="43" t="str">
        <f>IF($A4=AR$1, IF(ROW(AR4)=2, "+", IF(COUNTIF($B4:AQ4, "X")=0, "+", "-")), IF(MOD($A4, AR$1)=0, "X", "O"))</f>
        <v>O</v>
      </c>
      <c r="AS4" s="43" t="str">
        <f>IF($A4=AS$1, IF(ROW(AS4)=2, "+", IF(COUNTIF($B4:AR4, "X")=0, "+", "-")), IF(MOD($A4, AS$1)=0, "X", "O"))</f>
        <v>O</v>
      </c>
      <c r="AT4" s="43" t="str">
        <f>IF($A4=AT$1, IF(ROW(AT4)=2, "+", IF(COUNTIF($B4:AS4, "X")=0, "+", "-")), IF(MOD($A4, AT$1)=0, "X", "O"))</f>
        <v>O</v>
      </c>
      <c r="AU4" s="43" t="str">
        <f>IF($A4=AU$1, IF(ROW(AU4)=2, "+", IF(COUNTIF($B4:AT4, "X")=0, "+", "-")), IF(MOD($A4, AU$1)=0, "X", "O"))</f>
        <v>O</v>
      </c>
      <c r="AV4" s="43" t="str">
        <f>IF($A4=AV$1, IF(ROW(AV4)=2, "+", IF(COUNTIF($B4:AU4, "X")=0, "+", "-")), IF(MOD($A4, AV$1)=0, "X", "O"))</f>
        <v>O</v>
      </c>
      <c r="AW4" s="43" t="str">
        <f>IF($A4=AW$1, IF(ROW(AW4)=2, "+", IF(COUNTIF($B4:AV4, "X")=0, "+", "-")), IF(MOD($A4, AW$1)=0, "X", "O"))</f>
        <v>O</v>
      </c>
      <c r="AX4" s="43" t="str">
        <f>IF($A4=AX$1, IF(ROW(AX4)=2, "+", IF(COUNTIF($B4:AW4, "X")=0, "+", "-")), IF(MOD($A4, AX$1)=0, "X", "O"))</f>
        <v>O</v>
      </c>
      <c r="AY4" s="43" t="str">
        <f>IF($A4=AY$1, IF(ROW(AY4)=2, "+", IF(COUNTIF($B4:AX4, "X")=0, "+", "-")), IF(MOD($A4, AY$1)=0, "X", "O"))</f>
        <v>O</v>
      </c>
      <c r="AZ4" s="43" t="str">
        <f>IF($A4=AZ$1, IF(ROW(AZ4)=2, "+", IF(COUNTIF($B4:AY4, "X")=0, "+", "-")), IF(MOD($A4, AZ$1)=0, "X", "O"))</f>
        <v>O</v>
      </c>
      <c r="BA4" s="43" t="str">
        <f>IF($A4=BA$1, IF(ROW(BA4)=2, "+", IF(COUNTIF($B4:AZ4, "X")=0, "+", "-")), IF(MOD($A4, BA$1)=0, "X", "O"))</f>
        <v>O</v>
      </c>
      <c r="BB4" s="43" t="str">
        <f>IF($A4=BB$1, IF(ROW(BB4)=2, "+", IF(COUNTIF($B4:BA4, "X")=0, "+", "-")), IF(MOD($A4, BB$1)=0, "X", "O"))</f>
        <v>O</v>
      </c>
      <c r="BC4" s="43" t="str">
        <f>IF($A4=BC$1, IF(ROW(BC4)=2, "+", IF(COUNTIF($B4:BB4, "X")=0, "+", "-")), IF(MOD($A4, BC$1)=0, "X", "O"))</f>
        <v>O</v>
      </c>
      <c r="BD4" s="43" t="str">
        <f>IF($A4=BD$1, IF(ROW(BD4)=2, "+", IF(COUNTIF($B4:BC4, "X")=0, "+", "-")), IF(MOD($A4, BD$1)=0, "X", "O"))</f>
        <v>O</v>
      </c>
      <c r="BE4" s="43" t="str">
        <f>IF($A4=BE$1, IF(ROW(BE4)=2, "+", IF(COUNTIF($B4:BD4, "X")=0, "+", "-")), IF(MOD($A4, BE$1)=0, "X", "O"))</f>
        <v>O</v>
      </c>
      <c r="BF4" s="43" t="str">
        <f>IF($A4=BF$1, IF(ROW(BF4)=2, "+", IF(COUNTIF($B4:BE4, "X")=0, "+", "-")), IF(MOD($A4, BF$1)=0, "X", "O"))</f>
        <v>O</v>
      </c>
      <c r="BG4" s="43" t="str">
        <f>IF($A4=BG$1, IF(ROW(BG4)=2, "+", IF(COUNTIF($B4:BF4, "X")=0, "+", "-")), IF(MOD($A4, BG$1)=0, "X", "O"))</f>
        <v>O</v>
      </c>
      <c r="BH4" s="43" t="str">
        <f>IF($A4=BH$1, IF(ROW(BH4)=2, "+", IF(COUNTIF($B4:BG4, "X")=0, "+", "-")), IF(MOD($A4, BH$1)=0, "X", "O"))</f>
        <v>O</v>
      </c>
    </row>
    <row r="5" spans="1:62" x14ac:dyDescent="0.25">
      <c r="A5">
        <v>5</v>
      </c>
      <c r="B5" s="43" t="str">
        <f>IF($A5=B$1, IF(ROW(B5)=2, "+", IF(COUNTIF(A5:$B5, "X")=0, "+", "-")), IF(MOD($A5, B$1)=0, "X", "O"))</f>
        <v>O</v>
      </c>
      <c r="C5" s="43" t="str">
        <f>IF($A5=C$1, IF(ROW(C5)=2, "+", IF(COUNTIF(B5:$B5, "X")=0, "+", "-")), IF(MOD($A5, C$1)=0, "X", "O"))</f>
        <v>O</v>
      </c>
      <c r="D5" s="43" t="str">
        <f>IF($A5=D$1, IF(ROW(D5)=2, "+", IF(COUNTIF($B5:C5, "X")=0, "+", "-")), IF(MOD($A5, D$1)=0, "X", "O"))</f>
        <v>O</v>
      </c>
      <c r="E5" s="43" t="str">
        <f>IF($A5=E$1, IF(ROW(E5)=2, "+", IF(COUNTIF($B5:D5, "X")=0, "+", "-")), IF(MOD($A5, E$1)=0, "X", "O"))</f>
        <v>+</v>
      </c>
      <c r="F5" s="43" t="str">
        <f>IF($A5=F$1, IF(ROW(F5)=2, "+", IF(COUNTIF($B5:E5, "X")=0, "+", "-")), IF(MOD($A5, F$1)=0, "X", "O"))</f>
        <v>O</v>
      </c>
      <c r="G5" s="43" t="str">
        <f>IF($A5=G$1, IF(ROW(G5)=2, "+", IF(COUNTIF($B5:F5, "X")=0, "+", "-")), IF(MOD($A5, G$1)=0, "X", "O"))</f>
        <v>O</v>
      </c>
      <c r="H5" s="43" t="str">
        <f>IF($A5=H$1, IF(ROW(H5)=2, "+", IF(COUNTIF($B5:G5, "X")=0, "+", "-")), IF(MOD($A5, H$1)=0, "X", "O"))</f>
        <v>O</v>
      </c>
      <c r="I5" s="43" t="str">
        <f>IF($A5=I$1, IF(ROW(I5)=2, "+", IF(COUNTIF($B5:H5, "X")=0, "+", "-")), IF(MOD($A5, I$1)=0, "X", "O"))</f>
        <v>O</v>
      </c>
      <c r="J5" s="43" t="str">
        <f>IF($A5=J$1, IF(ROW(J5)=2, "+", IF(COUNTIF($B5:I5, "X")=0, "+", "-")), IF(MOD($A5, J$1)=0, "X", "O"))</f>
        <v>O</v>
      </c>
      <c r="K5" s="43" t="str">
        <f>IF($A5=K$1, IF(ROW(K5)=2, "+", IF(COUNTIF($B5:J5, "X")=0, "+", "-")), IF(MOD($A5, K$1)=0, "X", "O"))</f>
        <v>O</v>
      </c>
      <c r="L5" s="43" t="str">
        <f>IF($A5=L$1, IF(ROW(L5)=2, "+", IF(COUNTIF($B5:K5, "X")=0, "+", "-")), IF(MOD($A5, L$1)=0, "X", "O"))</f>
        <v>O</v>
      </c>
      <c r="M5" s="43" t="str">
        <f>IF($A5=M$1, IF(ROW(M5)=2, "+", IF(COUNTIF($B5:L5, "X")=0, "+", "-")), IF(MOD($A5, M$1)=0, "X", "O"))</f>
        <v>O</v>
      </c>
      <c r="N5" s="43" t="str">
        <f>IF($A5=N$1, IF(ROW(N5)=2, "+", IF(COUNTIF($B5:M5, "X")=0, "+", "-")), IF(MOD($A5, N$1)=0, "X", "O"))</f>
        <v>O</v>
      </c>
      <c r="O5" s="43" t="str">
        <f>IF($A5=O$1, IF(ROW(O5)=2, "+", IF(COUNTIF($B5:N5, "X")=0, "+", "-")), IF(MOD($A5, O$1)=0, "X", "O"))</f>
        <v>O</v>
      </c>
      <c r="P5" s="43" t="str">
        <f>IF($A5=P$1, IF(ROW(P5)=2, "+", IF(COUNTIF($B5:O5, "X")=0, "+", "-")), IF(MOD($A5, P$1)=0, "X", "O"))</f>
        <v>O</v>
      </c>
      <c r="Q5" s="43" t="str">
        <f>IF($A5=Q$1, IF(ROW(Q5)=2, "+", IF(COUNTIF($B5:P5, "X")=0, "+", "-")), IF(MOD($A5, Q$1)=0, "X", "O"))</f>
        <v>O</v>
      </c>
      <c r="R5" s="43" t="str">
        <f>IF($A5=R$1, IF(ROW(R5)=2, "+", IF(COUNTIF($B5:Q5, "X")=0, "+", "-")), IF(MOD($A5, R$1)=0, "X", "O"))</f>
        <v>O</v>
      </c>
      <c r="S5" s="43" t="str">
        <f>IF($A5=S$1, IF(ROW(S5)=2, "+", IF(COUNTIF($B5:R5, "X")=0, "+", "-")), IF(MOD($A5, S$1)=0, "X", "O"))</f>
        <v>O</v>
      </c>
      <c r="T5" s="43" t="str">
        <f>IF($A5=T$1, IF(ROW(T5)=2, "+", IF(COUNTIF($B5:S5, "X")=0, "+", "-")), IF(MOD($A5, T$1)=0, "X", "O"))</f>
        <v>O</v>
      </c>
      <c r="U5" s="43" t="str">
        <f>IF($A5=U$1, IF(ROW(U5)=2, "+", IF(COUNTIF($B5:T5, "X")=0, "+", "-")), IF(MOD($A5, U$1)=0, "X", "O"))</f>
        <v>O</v>
      </c>
      <c r="V5" s="43" t="str">
        <f>IF($A5=V$1, IF(ROW(V5)=2, "+", IF(COUNTIF($B5:U5, "X")=0, "+", "-")), IF(MOD($A5, V$1)=0, "X", "O"))</f>
        <v>O</v>
      </c>
      <c r="W5" s="43" t="str">
        <f>IF($A5=W$1, IF(ROW(W5)=2, "+", IF(COUNTIF($B5:V5, "X")=0, "+", "-")), IF(MOD($A5, W$1)=0, "X", "O"))</f>
        <v>O</v>
      </c>
      <c r="X5" s="43" t="str">
        <f>IF($A5=X$1, IF(ROW(X5)=2, "+", IF(COUNTIF($B5:W5, "X")=0, "+", "-")), IF(MOD($A5, X$1)=0, "X", "O"))</f>
        <v>O</v>
      </c>
      <c r="Y5" s="43" t="str">
        <f>IF($A5=Y$1, IF(ROW(Y5)=2, "+", IF(COUNTIF($B5:X5, "X")=0, "+", "-")), IF(MOD($A5, Y$1)=0, "X", "O"))</f>
        <v>O</v>
      </c>
      <c r="Z5" s="43" t="str">
        <f>IF($A5=Z$1, IF(ROW(Z5)=2, "+", IF(COUNTIF($B5:Y5, "X")=0, "+", "-")), IF(MOD($A5, Z$1)=0, "X", "O"))</f>
        <v>O</v>
      </c>
      <c r="AA5" s="43" t="str">
        <f>IF($A5=AA$1, IF(ROW(AA5)=2, "+", IF(COUNTIF($B5:Z5, "X")=0, "+", "-")), IF(MOD($A5, AA$1)=0, "X", "O"))</f>
        <v>O</v>
      </c>
      <c r="AB5" s="43" t="str">
        <f>IF($A5=AB$1, IF(ROW(AB5)=2, "+", IF(COUNTIF($B5:AA5, "X")=0, "+", "-")), IF(MOD($A5, AB$1)=0, "X", "O"))</f>
        <v>O</v>
      </c>
      <c r="AC5" s="43" t="str">
        <f>IF($A5=AC$1, IF(ROW(AC5)=2, "+", IF(COUNTIF($B5:AB5, "X")=0, "+", "-")), IF(MOD($A5, AC$1)=0, "X", "O"))</f>
        <v>O</v>
      </c>
      <c r="AD5" s="43" t="str">
        <f>IF($A5=AD$1, IF(ROW(AD5)=2, "+", IF(COUNTIF($B5:AC5, "X")=0, "+", "-")), IF(MOD($A5, AD$1)=0, "X", "O"))</f>
        <v>O</v>
      </c>
      <c r="AE5" s="43" t="str">
        <f>IF($A5=AE$1, IF(ROW(AE5)=2, "+", IF(COUNTIF($B5:AD5, "X")=0, "+", "-")), IF(MOD($A5, AE$1)=0, "X", "O"))</f>
        <v>O</v>
      </c>
      <c r="AF5" s="43" t="str">
        <f>IF($A5=AF$1, IF(ROW(AF5)=2, "+", IF(COUNTIF($B5:AE5, "X")=0, "+", "-")), IF(MOD($A5, AF$1)=0, "X", "O"))</f>
        <v>O</v>
      </c>
      <c r="AG5" s="43" t="str">
        <f>IF($A5=AG$1, IF(ROW(AG5)=2, "+", IF(COUNTIF($B5:AF5, "X")=0, "+", "-")), IF(MOD($A5, AG$1)=0, "X", "O"))</f>
        <v>O</v>
      </c>
      <c r="AH5" s="43" t="str">
        <f>IF($A5=AH$1, IF(ROW(AH5)=2, "+", IF(COUNTIF($B5:AG5, "X")=0, "+", "-")), IF(MOD($A5, AH$1)=0, "X", "O"))</f>
        <v>O</v>
      </c>
      <c r="AI5" s="43" t="str">
        <f>IF($A5=AI$1, IF(ROW(AI5)=2, "+", IF(COUNTIF($B5:AH5, "X")=0, "+", "-")), IF(MOD($A5, AI$1)=0, "X", "O"))</f>
        <v>O</v>
      </c>
      <c r="AJ5" s="43" t="str">
        <f>IF($A5=AJ$1, IF(ROW(AJ5)=2, "+", IF(COUNTIF($B5:AI5, "X")=0, "+", "-")), IF(MOD($A5, AJ$1)=0, "X", "O"))</f>
        <v>O</v>
      </c>
      <c r="AK5" s="43" t="str">
        <f>IF($A5=AK$1, IF(ROW(AK5)=2, "+", IF(COUNTIF($B5:AJ5, "X")=0, "+", "-")), IF(MOD($A5, AK$1)=0, "X", "O"))</f>
        <v>O</v>
      </c>
      <c r="AL5" s="43" t="str">
        <f>IF($A5=AL$1, IF(ROW(AL5)=2, "+", IF(COUNTIF($B5:AK5, "X")=0, "+", "-")), IF(MOD($A5, AL$1)=0, "X", "O"))</f>
        <v>O</v>
      </c>
      <c r="AM5" s="43" t="str">
        <f>IF($A5=AM$1, IF(ROW(AM5)=2, "+", IF(COUNTIF($B5:AL5, "X")=0, "+", "-")), IF(MOD($A5, AM$1)=0, "X", "O"))</f>
        <v>O</v>
      </c>
      <c r="AN5" s="43" t="str">
        <f>IF($A5=AN$1, IF(ROW(AN5)=2, "+", IF(COUNTIF($B5:AM5, "X")=0, "+", "-")), IF(MOD($A5, AN$1)=0, "X", "O"))</f>
        <v>O</v>
      </c>
      <c r="AO5" s="43" t="str">
        <f>IF($A5=AO$1, IF(ROW(AO5)=2, "+", IF(COUNTIF($B5:AN5, "X")=0, "+", "-")), IF(MOD($A5, AO$1)=0, "X", "O"))</f>
        <v>O</v>
      </c>
      <c r="AP5" s="43" t="str">
        <f>IF($A5=AP$1, IF(ROW(AP5)=2, "+", IF(COUNTIF($B5:AO5, "X")=0, "+", "-")), IF(MOD($A5, AP$1)=0, "X", "O"))</f>
        <v>O</v>
      </c>
      <c r="AQ5" s="43" t="str">
        <f>IF($A5=AQ$1, IF(ROW(AQ5)=2, "+", IF(COUNTIF($B5:AP5, "X")=0, "+", "-")), IF(MOD($A5, AQ$1)=0, "X", "O"))</f>
        <v>O</v>
      </c>
      <c r="AR5" s="43" t="str">
        <f>IF($A5=AR$1, IF(ROW(AR5)=2, "+", IF(COUNTIF($B5:AQ5, "X")=0, "+", "-")), IF(MOD($A5, AR$1)=0, "X", "O"))</f>
        <v>O</v>
      </c>
      <c r="AS5" s="43" t="str">
        <f>IF($A5=AS$1, IF(ROW(AS5)=2, "+", IF(COUNTIF($B5:AR5, "X")=0, "+", "-")), IF(MOD($A5, AS$1)=0, "X", "O"))</f>
        <v>O</v>
      </c>
      <c r="AT5" s="43" t="str">
        <f>IF($A5=AT$1, IF(ROW(AT5)=2, "+", IF(COUNTIF($B5:AS5, "X")=0, "+", "-")), IF(MOD($A5, AT$1)=0, "X", "O"))</f>
        <v>O</v>
      </c>
      <c r="AU5" s="43" t="str">
        <f>IF($A5=AU$1, IF(ROW(AU5)=2, "+", IF(COUNTIF($B5:AT5, "X")=0, "+", "-")), IF(MOD($A5, AU$1)=0, "X", "O"))</f>
        <v>O</v>
      </c>
      <c r="AV5" s="43" t="str">
        <f>IF($A5=AV$1, IF(ROW(AV5)=2, "+", IF(COUNTIF($B5:AU5, "X")=0, "+", "-")), IF(MOD($A5, AV$1)=0, "X", "O"))</f>
        <v>O</v>
      </c>
      <c r="AW5" s="43" t="str">
        <f>IF($A5=AW$1, IF(ROW(AW5)=2, "+", IF(COUNTIF($B5:AV5, "X")=0, "+", "-")), IF(MOD($A5, AW$1)=0, "X", "O"))</f>
        <v>O</v>
      </c>
      <c r="AX5" s="43" t="str">
        <f>IF($A5=AX$1, IF(ROW(AX5)=2, "+", IF(COUNTIF($B5:AW5, "X")=0, "+", "-")), IF(MOD($A5, AX$1)=0, "X", "O"))</f>
        <v>O</v>
      </c>
      <c r="AY5" s="43" t="str">
        <f>IF($A5=AY$1, IF(ROW(AY5)=2, "+", IF(COUNTIF($B5:AX5, "X")=0, "+", "-")), IF(MOD($A5, AY$1)=0, "X", "O"))</f>
        <v>O</v>
      </c>
      <c r="AZ5" s="43" t="str">
        <f>IF($A5=AZ$1, IF(ROW(AZ5)=2, "+", IF(COUNTIF($B5:AY5, "X")=0, "+", "-")), IF(MOD($A5, AZ$1)=0, "X", "O"))</f>
        <v>O</v>
      </c>
      <c r="BA5" s="43" t="str">
        <f>IF($A5=BA$1, IF(ROW(BA5)=2, "+", IF(COUNTIF($B5:AZ5, "X")=0, "+", "-")), IF(MOD($A5, BA$1)=0, "X", "O"))</f>
        <v>O</v>
      </c>
      <c r="BB5" s="43" t="str">
        <f>IF($A5=BB$1, IF(ROW(BB5)=2, "+", IF(COUNTIF($B5:BA5, "X")=0, "+", "-")), IF(MOD($A5, BB$1)=0, "X", "O"))</f>
        <v>O</v>
      </c>
      <c r="BC5" s="43" t="str">
        <f>IF($A5=BC$1, IF(ROW(BC5)=2, "+", IF(COUNTIF($B5:BB5, "X")=0, "+", "-")), IF(MOD($A5, BC$1)=0, "X", "O"))</f>
        <v>O</v>
      </c>
      <c r="BD5" s="43" t="str">
        <f>IF($A5=BD$1, IF(ROW(BD5)=2, "+", IF(COUNTIF($B5:BC5, "X")=0, "+", "-")), IF(MOD($A5, BD$1)=0, "X", "O"))</f>
        <v>O</v>
      </c>
      <c r="BE5" s="43" t="str">
        <f>IF($A5=BE$1, IF(ROW(BE5)=2, "+", IF(COUNTIF($B5:BD5, "X")=0, "+", "-")), IF(MOD($A5, BE$1)=0, "X", "O"))</f>
        <v>O</v>
      </c>
      <c r="BF5" s="43" t="str">
        <f>IF($A5=BF$1, IF(ROW(BF5)=2, "+", IF(COUNTIF($B5:BE5, "X")=0, "+", "-")), IF(MOD($A5, BF$1)=0, "X", "O"))</f>
        <v>O</v>
      </c>
      <c r="BG5" s="43" t="str">
        <f>IF($A5=BG$1, IF(ROW(BG5)=2, "+", IF(COUNTIF($B5:BF5, "X")=0, "+", "-")), IF(MOD($A5, BG$1)=0, "X", "O"))</f>
        <v>O</v>
      </c>
      <c r="BH5" s="43" t="str">
        <f>IF($A5=BH$1, IF(ROW(BH5)=2, "+", IF(COUNTIF($B5:BG5, "X")=0, "+", "-")), IF(MOD($A5, BH$1)=0, "X", "O"))</f>
        <v>O</v>
      </c>
    </row>
    <row r="6" spans="1:62" x14ac:dyDescent="0.25">
      <c r="A6">
        <v>6</v>
      </c>
      <c r="B6" s="43" t="str">
        <f>IF($A6=B$1, IF(ROW(B6)=2, "+", IF(COUNTIF(A6:$B6, "X")=0, "+", "-")), IF(MOD($A6, B$1)=0, "X", "O"))</f>
        <v>X</v>
      </c>
      <c r="C6" s="43" t="str">
        <f>IF($A6=C$1, IF(ROW(C6)=2, "+", IF(COUNTIF(B6:$B6, "X")=0, "+", "-")), IF(MOD($A6, C$1)=0, "X", "O"))</f>
        <v>X</v>
      </c>
      <c r="D6" s="43" t="str">
        <f>IF($A6=D$1, IF(ROW(D6)=2, "+", IF(COUNTIF($B6:C6, "X")=0, "+", "-")), IF(MOD($A6, D$1)=0, "X", "O"))</f>
        <v>O</v>
      </c>
      <c r="E6" s="43" t="str">
        <f>IF($A6=E$1, IF(ROW(E6)=2, "+", IF(COUNTIF($B6:D6, "X")=0, "+", "-")), IF(MOD($A6, E$1)=0, "X", "O"))</f>
        <v>O</v>
      </c>
      <c r="F6" s="43" t="str">
        <f>IF($A6=F$1, IF(ROW(F6)=2, "+", IF(COUNTIF($B6:E6, "X")=0, "+", "-")), IF(MOD($A6, F$1)=0, "X", "O"))</f>
        <v>-</v>
      </c>
      <c r="G6" s="43" t="str">
        <f>IF($A6=G$1, IF(ROW(G6)=2, "+", IF(COUNTIF($B6:F6, "X")=0, "+", "-")), IF(MOD($A6, G$1)=0, "X", "O"))</f>
        <v>O</v>
      </c>
      <c r="H6" s="43" t="str">
        <f>IF($A6=H$1, IF(ROW(H6)=2, "+", IF(COUNTIF($B6:G6, "X")=0, "+", "-")), IF(MOD($A6, H$1)=0, "X", "O"))</f>
        <v>O</v>
      </c>
      <c r="I6" s="43" t="str">
        <f>IF($A6=I$1, IF(ROW(I6)=2, "+", IF(COUNTIF($B6:H6, "X")=0, "+", "-")), IF(MOD($A6, I$1)=0, "X", "O"))</f>
        <v>O</v>
      </c>
      <c r="J6" s="43" t="str">
        <f>IF($A6=J$1, IF(ROW(J6)=2, "+", IF(COUNTIF($B6:I6, "X")=0, "+", "-")), IF(MOD($A6, J$1)=0, "X", "O"))</f>
        <v>O</v>
      </c>
      <c r="K6" s="43" t="str">
        <f>IF($A6=K$1, IF(ROW(K6)=2, "+", IF(COUNTIF($B6:J6, "X")=0, "+", "-")), IF(MOD($A6, K$1)=0, "X", "O"))</f>
        <v>O</v>
      </c>
      <c r="L6" s="43" t="str">
        <f>IF($A6=L$1, IF(ROW(L6)=2, "+", IF(COUNTIF($B6:K6, "X")=0, "+", "-")), IF(MOD($A6, L$1)=0, "X", "O"))</f>
        <v>O</v>
      </c>
      <c r="M6" s="43" t="str">
        <f>IF($A6=M$1, IF(ROW(M6)=2, "+", IF(COUNTIF($B6:L6, "X")=0, "+", "-")), IF(MOD($A6, M$1)=0, "X", "O"))</f>
        <v>O</v>
      </c>
      <c r="N6" s="43" t="str">
        <f>IF($A6=N$1, IF(ROW(N6)=2, "+", IF(COUNTIF($B6:M6, "X")=0, "+", "-")), IF(MOD($A6, N$1)=0, "X", "O"))</f>
        <v>O</v>
      </c>
      <c r="O6" s="43" t="str">
        <f>IF($A6=O$1, IF(ROW(O6)=2, "+", IF(COUNTIF($B6:N6, "X")=0, "+", "-")), IF(MOD($A6, O$1)=0, "X", "O"))</f>
        <v>O</v>
      </c>
      <c r="P6" s="43" t="str">
        <f>IF($A6=P$1, IF(ROW(P6)=2, "+", IF(COUNTIF($B6:O6, "X")=0, "+", "-")), IF(MOD($A6, P$1)=0, "X", "O"))</f>
        <v>O</v>
      </c>
      <c r="Q6" s="43" t="str">
        <f>IF($A6=Q$1, IF(ROW(Q6)=2, "+", IF(COUNTIF($B6:P6, "X")=0, "+", "-")), IF(MOD($A6, Q$1)=0, "X", "O"))</f>
        <v>O</v>
      </c>
      <c r="R6" s="43" t="str">
        <f>IF($A6=R$1, IF(ROW(R6)=2, "+", IF(COUNTIF($B6:Q6, "X")=0, "+", "-")), IF(MOD($A6, R$1)=0, "X", "O"))</f>
        <v>O</v>
      </c>
      <c r="S6" s="43" t="str">
        <f>IF($A6=S$1, IF(ROW(S6)=2, "+", IF(COUNTIF($B6:R6, "X")=0, "+", "-")), IF(MOD($A6, S$1)=0, "X", "O"))</f>
        <v>O</v>
      </c>
      <c r="T6" s="43" t="str">
        <f>IF($A6=T$1, IF(ROW(T6)=2, "+", IF(COUNTIF($B6:S6, "X")=0, "+", "-")), IF(MOD($A6, T$1)=0, "X", "O"))</f>
        <v>O</v>
      </c>
      <c r="U6" s="43" t="str">
        <f>IF($A6=U$1, IF(ROW(U6)=2, "+", IF(COUNTIF($B6:T6, "X")=0, "+", "-")), IF(MOD($A6, U$1)=0, "X", "O"))</f>
        <v>O</v>
      </c>
      <c r="V6" s="43" t="str">
        <f>IF($A6=V$1, IF(ROW(V6)=2, "+", IF(COUNTIF($B6:U6, "X")=0, "+", "-")), IF(MOD($A6, V$1)=0, "X", "O"))</f>
        <v>O</v>
      </c>
      <c r="W6" s="43" t="str">
        <f>IF($A6=W$1, IF(ROW(W6)=2, "+", IF(COUNTIF($B6:V6, "X")=0, "+", "-")), IF(MOD($A6, W$1)=0, "X", "O"))</f>
        <v>O</v>
      </c>
      <c r="X6" s="43" t="str">
        <f>IF($A6=X$1, IF(ROW(X6)=2, "+", IF(COUNTIF($B6:W6, "X")=0, "+", "-")), IF(MOD($A6, X$1)=0, "X", "O"))</f>
        <v>O</v>
      </c>
      <c r="Y6" s="43" t="str">
        <f>IF($A6=Y$1, IF(ROW(Y6)=2, "+", IF(COUNTIF($B6:X6, "X")=0, "+", "-")), IF(MOD($A6, Y$1)=0, "X", "O"))</f>
        <v>O</v>
      </c>
      <c r="Z6" s="43" t="str">
        <f>IF($A6=Z$1, IF(ROW(Z6)=2, "+", IF(COUNTIF($B6:Y6, "X")=0, "+", "-")), IF(MOD($A6, Z$1)=0, "X", "O"))</f>
        <v>O</v>
      </c>
      <c r="AA6" s="43" t="str">
        <f>IF($A6=AA$1, IF(ROW(AA6)=2, "+", IF(COUNTIF($B6:Z6, "X")=0, "+", "-")), IF(MOD($A6, AA$1)=0, "X", "O"))</f>
        <v>O</v>
      </c>
      <c r="AB6" s="43" t="str">
        <f>IF($A6=AB$1, IF(ROW(AB6)=2, "+", IF(COUNTIF($B6:AA6, "X")=0, "+", "-")), IF(MOD($A6, AB$1)=0, "X", "O"))</f>
        <v>O</v>
      </c>
      <c r="AC6" s="43" t="str">
        <f>IF($A6=AC$1, IF(ROW(AC6)=2, "+", IF(COUNTIF($B6:AB6, "X")=0, "+", "-")), IF(MOD($A6, AC$1)=0, "X", "O"))</f>
        <v>O</v>
      </c>
      <c r="AD6" s="43" t="str">
        <f>IF($A6=AD$1, IF(ROW(AD6)=2, "+", IF(COUNTIF($B6:AC6, "X")=0, "+", "-")), IF(MOD($A6, AD$1)=0, "X", "O"))</f>
        <v>O</v>
      </c>
      <c r="AE6" s="43" t="str">
        <f>IF($A6=AE$1, IF(ROW(AE6)=2, "+", IF(COUNTIF($B6:AD6, "X")=0, "+", "-")), IF(MOD($A6, AE$1)=0, "X", "O"))</f>
        <v>O</v>
      </c>
      <c r="AF6" s="43" t="str">
        <f>IF($A6=AF$1, IF(ROW(AF6)=2, "+", IF(COUNTIF($B6:AE6, "X")=0, "+", "-")), IF(MOD($A6, AF$1)=0, "X", "O"))</f>
        <v>O</v>
      </c>
      <c r="AG6" s="43" t="str">
        <f>IF($A6=AG$1, IF(ROW(AG6)=2, "+", IF(COUNTIF($B6:AF6, "X")=0, "+", "-")), IF(MOD($A6, AG$1)=0, "X", "O"))</f>
        <v>O</v>
      </c>
      <c r="AH6" s="43" t="str">
        <f>IF($A6=AH$1, IF(ROW(AH6)=2, "+", IF(COUNTIF($B6:AG6, "X")=0, "+", "-")), IF(MOD($A6, AH$1)=0, "X", "O"))</f>
        <v>O</v>
      </c>
      <c r="AI6" s="43" t="str">
        <f>IF($A6=AI$1, IF(ROW(AI6)=2, "+", IF(COUNTIF($B6:AH6, "X")=0, "+", "-")), IF(MOD($A6, AI$1)=0, "X", "O"))</f>
        <v>O</v>
      </c>
      <c r="AJ6" s="43" t="str">
        <f>IF($A6=AJ$1, IF(ROW(AJ6)=2, "+", IF(COUNTIF($B6:AI6, "X")=0, "+", "-")), IF(MOD($A6, AJ$1)=0, "X", "O"))</f>
        <v>O</v>
      </c>
      <c r="AK6" s="43" t="str">
        <f>IF($A6=AK$1, IF(ROW(AK6)=2, "+", IF(COUNTIF($B6:AJ6, "X")=0, "+", "-")), IF(MOD($A6, AK$1)=0, "X", "O"))</f>
        <v>O</v>
      </c>
      <c r="AL6" s="43" t="str">
        <f>IF($A6=AL$1, IF(ROW(AL6)=2, "+", IF(COUNTIF($B6:AK6, "X")=0, "+", "-")), IF(MOD($A6, AL$1)=0, "X", "O"))</f>
        <v>O</v>
      </c>
      <c r="AM6" s="43" t="str">
        <f>IF($A6=AM$1, IF(ROW(AM6)=2, "+", IF(COUNTIF($B6:AL6, "X")=0, "+", "-")), IF(MOD($A6, AM$1)=0, "X", "O"))</f>
        <v>O</v>
      </c>
      <c r="AN6" s="43" t="str">
        <f>IF($A6=AN$1, IF(ROW(AN6)=2, "+", IF(COUNTIF($B6:AM6, "X")=0, "+", "-")), IF(MOD($A6, AN$1)=0, "X", "O"))</f>
        <v>O</v>
      </c>
      <c r="AO6" s="43" t="str">
        <f>IF($A6=AO$1, IF(ROW(AO6)=2, "+", IF(COUNTIF($B6:AN6, "X")=0, "+", "-")), IF(MOD($A6, AO$1)=0, "X", "O"))</f>
        <v>O</v>
      </c>
      <c r="AP6" s="43" t="str">
        <f>IF($A6=AP$1, IF(ROW(AP6)=2, "+", IF(COUNTIF($B6:AO6, "X")=0, "+", "-")), IF(MOD($A6, AP$1)=0, "X", "O"))</f>
        <v>O</v>
      </c>
      <c r="AQ6" s="43" t="str">
        <f>IF($A6=AQ$1, IF(ROW(AQ6)=2, "+", IF(COUNTIF($B6:AP6, "X")=0, "+", "-")), IF(MOD($A6, AQ$1)=0, "X", "O"))</f>
        <v>O</v>
      </c>
      <c r="AR6" s="43" t="str">
        <f>IF($A6=AR$1, IF(ROW(AR6)=2, "+", IF(COUNTIF($B6:AQ6, "X")=0, "+", "-")), IF(MOD($A6, AR$1)=0, "X", "O"))</f>
        <v>O</v>
      </c>
      <c r="AS6" s="43" t="str">
        <f>IF($A6=AS$1, IF(ROW(AS6)=2, "+", IF(COUNTIF($B6:AR6, "X")=0, "+", "-")), IF(MOD($A6, AS$1)=0, "X", "O"))</f>
        <v>O</v>
      </c>
      <c r="AT6" s="43" t="str">
        <f>IF($A6=AT$1, IF(ROW(AT6)=2, "+", IF(COUNTIF($B6:AS6, "X")=0, "+", "-")), IF(MOD($A6, AT$1)=0, "X", "O"))</f>
        <v>O</v>
      </c>
      <c r="AU6" s="43" t="str">
        <f>IF($A6=AU$1, IF(ROW(AU6)=2, "+", IF(COUNTIF($B6:AT6, "X")=0, "+", "-")), IF(MOD($A6, AU$1)=0, "X", "O"))</f>
        <v>O</v>
      </c>
      <c r="AV6" s="43" t="str">
        <f>IF($A6=AV$1, IF(ROW(AV6)=2, "+", IF(COUNTIF($B6:AU6, "X")=0, "+", "-")), IF(MOD($A6, AV$1)=0, "X", "O"))</f>
        <v>O</v>
      </c>
      <c r="AW6" s="43" t="str">
        <f>IF($A6=AW$1, IF(ROW(AW6)=2, "+", IF(COUNTIF($B6:AV6, "X")=0, "+", "-")), IF(MOD($A6, AW$1)=0, "X", "O"))</f>
        <v>O</v>
      </c>
      <c r="AX6" s="43" t="str">
        <f>IF($A6=AX$1, IF(ROW(AX6)=2, "+", IF(COUNTIF($B6:AW6, "X")=0, "+", "-")), IF(MOD($A6, AX$1)=0, "X", "O"))</f>
        <v>O</v>
      </c>
      <c r="AY6" s="43" t="str">
        <f>IF($A6=AY$1, IF(ROW(AY6)=2, "+", IF(COUNTIF($B6:AX6, "X")=0, "+", "-")), IF(MOD($A6, AY$1)=0, "X", "O"))</f>
        <v>O</v>
      </c>
      <c r="AZ6" s="43" t="str">
        <f>IF($A6=AZ$1, IF(ROW(AZ6)=2, "+", IF(COUNTIF($B6:AY6, "X")=0, "+", "-")), IF(MOD($A6, AZ$1)=0, "X", "O"))</f>
        <v>O</v>
      </c>
      <c r="BA6" s="43" t="str">
        <f>IF($A6=BA$1, IF(ROW(BA6)=2, "+", IF(COUNTIF($B6:AZ6, "X")=0, "+", "-")), IF(MOD($A6, BA$1)=0, "X", "O"))</f>
        <v>O</v>
      </c>
      <c r="BB6" s="43" t="str">
        <f>IF($A6=BB$1, IF(ROW(BB6)=2, "+", IF(COUNTIF($B6:BA6, "X")=0, "+", "-")), IF(MOD($A6, BB$1)=0, "X", "O"))</f>
        <v>O</v>
      </c>
      <c r="BC6" s="43" t="str">
        <f>IF($A6=BC$1, IF(ROW(BC6)=2, "+", IF(COUNTIF($B6:BB6, "X")=0, "+", "-")), IF(MOD($A6, BC$1)=0, "X", "O"))</f>
        <v>O</v>
      </c>
      <c r="BD6" s="43" t="str">
        <f>IF($A6=BD$1, IF(ROW(BD6)=2, "+", IF(COUNTIF($B6:BC6, "X")=0, "+", "-")), IF(MOD($A6, BD$1)=0, "X", "O"))</f>
        <v>O</v>
      </c>
      <c r="BE6" s="43" t="str">
        <f>IF($A6=BE$1, IF(ROW(BE6)=2, "+", IF(COUNTIF($B6:BD6, "X")=0, "+", "-")), IF(MOD($A6, BE$1)=0, "X", "O"))</f>
        <v>O</v>
      </c>
      <c r="BF6" s="43" t="str">
        <f>IF($A6=BF$1, IF(ROW(BF6)=2, "+", IF(COUNTIF($B6:BE6, "X")=0, "+", "-")), IF(MOD($A6, BF$1)=0, "X", "O"))</f>
        <v>O</v>
      </c>
      <c r="BG6" s="43" t="str">
        <f>IF($A6=BG$1, IF(ROW(BG6)=2, "+", IF(COUNTIF($B6:BF6, "X")=0, "+", "-")), IF(MOD($A6, BG$1)=0, "X", "O"))</f>
        <v>O</v>
      </c>
      <c r="BH6" s="43" t="str">
        <f>IF($A6=BH$1, IF(ROW(BH6)=2, "+", IF(COUNTIF($B6:BG6, "X")=0, "+", "-")), IF(MOD($A6, BH$1)=0, "X", "O"))</f>
        <v>O</v>
      </c>
    </row>
    <row r="7" spans="1:62" x14ac:dyDescent="0.25">
      <c r="A7">
        <v>7</v>
      </c>
      <c r="B7" s="43" t="str">
        <f>IF($A7=B$1, IF(ROW(B7)=2, "+", IF(COUNTIF(A7:$B7, "X")=0, "+", "-")), IF(MOD($A7, B$1)=0, "X", "O"))</f>
        <v>O</v>
      </c>
      <c r="C7" s="43" t="str">
        <f>IF($A7=C$1, IF(ROW(C7)=2, "+", IF(COUNTIF(B7:$B7, "X")=0, "+", "-")), IF(MOD($A7, C$1)=0, "X", "O"))</f>
        <v>O</v>
      </c>
      <c r="D7" s="43" t="str">
        <f>IF($A7=D$1, IF(ROW(D7)=2, "+", IF(COUNTIF($B7:C7, "X")=0, "+", "-")), IF(MOD($A7, D$1)=0, "X", "O"))</f>
        <v>O</v>
      </c>
      <c r="E7" s="43" t="str">
        <f>IF($A7=E$1, IF(ROW(E7)=2, "+", IF(COUNTIF($B7:D7, "X")=0, "+", "-")), IF(MOD($A7, E$1)=0, "X", "O"))</f>
        <v>O</v>
      </c>
      <c r="F7" s="43" t="str">
        <f>IF($A7=F$1, IF(ROW(F7)=2, "+", IF(COUNTIF($B7:E7, "X")=0, "+", "-")), IF(MOD($A7, F$1)=0, "X", "O"))</f>
        <v>O</v>
      </c>
      <c r="G7" s="43" t="str">
        <f>IF($A7=G$1, IF(ROW(G7)=2, "+", IF(COUNTIF($B7:F7, "X")=0, "+", "-")), IF(MOD($A7, G$1)=0, "X", "O"))</f>
        <v>+</v>
      </c>
      <c r="H7" s="43" t="str">
        <f>IF($A7=H$1, IF(ROW(H7)=2, "+", IF(COUNTIF($B7:G7, "X")=0, "+", "-")), IF(MOD($A7, H$1)=0, "X", "O"))</f>
        <v>O</v>
      </c>
      <c r="I7" s="43" t="str">
        <f>IF($A7=I$1, IF(ROW(I7)=2, "+", IF(COUNTIF($B7:H7, "X")=0, "+", "-")), IF(MOD($A7, I$1)=0, "X", "O"))</f>
        <v>O</v>
      </c>
      <c r="J7" s="43" t="str">
        <f>IF($A7=J$1, IF(ROW(J7)=2, "+", IF(COUNTIF($B7:I7, "X")=0, "+", "-")), IF(MOD($A7, J$1)=0, "X", "O"))</f>
        <v>O</v>
      </c>
      <c r="K7" s="43" t="str">
        <f>IF($A7=K$1, IF(ROW(K7)=2, "+", IF(COUNTIF($B7:J7, "X")=0, "+", "-")), IF(MOD($A7, K$1)=0, "X", "O"))</f>
        <v>O</v>
      </c>
      <c r="L7" s="43" t="str">
        <f>IF($A7=L$1, IF(ROW(L7)=2, "+", IF(COUNTIF($B7:K7, "X")=0, "+", "-")), IF(MOD($A7, L$1)=0, "X", "O"))</f>
        <v>O</v>
      </c>
      <c r="M7" s="43" t="str">
        <f>IF($A7=M$1, IF(ROW(M7)=2, "+", IF(COUNTIF($B7:L7, "X")=0, "+", "-")), IF(MOD($A7, M$1)=0, "X", "O"))</f>
        <v>O</v>
      </c>
      <c r="N7" s="43" t="str">
        <f>IF($A7=N$1, IF(ROW(N7)=2, "+", IF(COUNTIF($B7:M7, "X")=0, "+", "-")), IF(MOD($A7, N$1)=0, "X", "O"))</f>
        <v>O</v>
      </c>
      <c r="O7" s="43" t="str">
        <f>IF($A7=O$1, IF(ROW(O7)=2, "+", IF(COUNTIF($B7:N7, "X")=0, "+", "-")), IF(MOD($A7, O$1)=0, "X", "O"))</f>
        <v>O</v>
      </c>
      <c r="P7" s="43" t="str">
        <f>IF($A7=P$1, IF(ROW(P7)=2, "+", IF(COUNTIF($B7:O7, "X")=0, "+", "-")), IF(MOD($A7, P$1)=0, "X", "O"))</f>
        <v>O</v>
      </c>
      <c r="Q7" s="43" t="str">
        <f>IF($A7=Q$1, IF(ROW(Q7)=2, "+", IF(COUNTIF($B7:P7, "X")=0, "+", "-")), IF(MOD($A7, Q$1)=0, "X", "O"))</f>
        <v>O</v>
      </c>
      <c r="R7" s="43" t="str">
        <f>IF($A7=R$1, IF(ROW(R7)=2, "+", IF(COUNTIF($B7:Q7, "X")=0, "+", "-")), IF(MOD($A7, R$1)=0, "X", "O"))</f>
        <v>O</v>
      </c>
      <c r="S7" s="43" t="str">
        <f>IF($A7=S$1, IF(ROW(S7)=2, "+", IF(COUNTIF($B7:R7, "X")=0, "+", "-")), IF(MOD($A7, S$1)=0, "X", "O"))</f>
        <v>O</v>
      </c>
      <c r="T7" s="43" t="str">
        <f>IF($A7=T$1, IF(ROW(T7)=2, "+", IF(COUNTIF($B7:S7, "X")=0, "+", "-")), IF(MOD($A7, T$1)=0, "X", "O"))</f>
        <v>O</v>
      </c>
      <c r="U7" s="43" t="str">
        <f>IF($A7=U$1, IF(ROW(U7)=2, "+", IF(COUNTIF($B7:T7, "X")=0, "+", "-")), IF(MOD($A7, U$1)=0, "X", "O"))</f>
        <v>O</v>
      </c>
      <c r="V7" s="43" t="str">
        <f>IF($A7=V$1, IF(ROW(V7)=2, "+", IF(COUNTIF($B7:U7, "X")=0, "+", "-")), IF(MOD($A7, V$1)=0, "X", "O"))</f>
        <v>O</v>
      </c>
      <c r="W7" s="43" t="str">
        <f>IF($A7=W$1, IF(ROW(W7)=2, "+", IF(COUNTIF($B7:V7, "X")=0, "+", "-")), IF(MOD($A7, W$1)=0, "X", "O"))</f>
        <v>O</v>
      </c>
      <c r="X7" s="43" t="str">
        <f>IF($A7=X$1, IF(ROW(X7)=2, "+", IF(COUNTIF($B7:W7, "X")=0, "+", "-")), IF(MOD($A7, X$1)=0, "X", "O"))</f>
        <v>O</v>
      </c>
      <c r="Y7" s="43" t="str">
        <f>IF($A7=Y$1, IF(ROW(Y7)=2, "+", IF(COUNTIF($B7:X7, "X")=0, "+", "-")), IF(MOD($A7, Y$1)=0, "X", "O"))</f>
        <v>O</v>
      </c>
      <c r="Z7" s="43" t="str">
        <f>IF($A7=Z$1, IF(ROW(Z7)=2, "+", IF(COUNTIF($B7:Y7, "X")=0, "+", "-")), IF(MOD($A7, Z$1)=0, "X", "O"))</f>
        <v>O</v>
      </c>
      <c r="AA7" s="43" t="str">
        <f>IF($A7=AA$1, IF(ROW(AA7)=2, "+", IF(COUNTIF($B7:Z7, "X")=0, "+", "-")), IF(MOD($A7, AA$1)=0, "X", "O"))</f>
        <v>O</v>
      </c>
      <c r="AB7" s="43" t="str">
        <f>IF($A7=AB$1, IF(ROW(AB7)=2, "+", IF(COUNTIF($B7:AA7, "X")=0, "+", "-")), IF(MOD($A7, AB$1)=0, "X", "O"))</f>
        <v>O</v>
      </c>
      <c r="AC7" s="43" t="str">
        <f>IF($A7=AC$1, IF(ROW(AC7)=2, "+", IF(COUNTIF($B7:AB7, "X")=0, "+", "-")), IF(MOD($A7, AC$1)=0, "X", "O"))</f>
        <v>O</v>
      </c>
      <c r="AD7" s="43" t="str">
        <f>IF($A7=AD$1, IF(ROW(AD7)=2, "+", IF(COUNTIF($B7:AC7, "X")=0, "+", "-")), IF(MOD($A7, AD$1)=0, "X", "O"))</f>
        <v>O</v>
      </c>
      <c r="AE7" s="43" t="str">
        <f>IF($A7=AE$1, IF(ROW(AE7)=2, "+", IF(COUNTIF($B7:AD7, "X")=0, "+", "-")), IF(MOD($A7, AE$1)=0, "X", "O"))</f>
        <v>O</v>
      </c>
      <c r="AF7" s="43" t="str">
        <f>IF($A7=AF$1, IF(ROW(AF7)=2, "+", IF(COUNTIF($B7:AE7, "X")=0, "+", "-")), IF(MOD($A7, AF$1)=0, "X", "O"))</f>
        <v>O</v>
      </c>
      <c r="AG7" s="43" t="str">
        <f>IF($A7=AG$1, IF(ROW(AG7)=2, "+", IF(COUNTIF($B7:AF7, "X")=0, "+", "-")), IF(MOD($A7, AG$1)=0, "X", "O"))</f>
        <v>O</v>
      </c>
      <c r="AH7" s="43" t="str">
        <f>IF($A7=AH$1, IF(ROW(AH7)=2, "+", IF(COUNTIF($B7:AG7, "X")=0, "+", "-")), IF(MOD($A7, AH$1)=0, "X", "O"))</f>
        <v>O</v>
      </c>
      <c r="AI7" s="43" t="str">
        <f>IF($A7=AI$1, IF(ROW(AI7)=2, "+", IF(COUNTIF($B7:AH7, "X")=0, "+", "-")), IF(MOD($A7, AI$1)=0, "X", "O"))</f>
        <v>O</v>
      </c>
      <c r="AJ7" s="43" t="str">
        <f>IF($A7=AJ$1, IF(ROW(AJ7)=2, "+", IF(COUNTIF($B7:AI7, "X")=0, "+", "-")), IF(MOD($A7, AJ$1)=0, "X", "O"))</f>
        <v>O</v>
      </c>
      <c r="AK7" s="43" t="str">
        <f>IF($A7=AK$1, IF(ROW(AK7)=2, "+", IF(COUNTIF($B7:AJ7, "X")=0, "+", "-")), IF(MOD($A7, AK$1)=0, "X", "O"))</f>
        <v>O</v>
      </c>
      <c r="AL7" s="43" t="str">
        <f>IF($A7=AL$1, IF(ROW(AL7)=2, "+", IF(COUNTIF($B7:AK7, "X")=0, "+", "-")), IF(MOD($A7, AL$1)=0, "X", "O"))</f>
        <v>O</v>
      </c>
      <c r="AM7" s="43" t="str">
        <f>IF($A7=AM$1, IF(ROW(AM7)=2, "+", IF(COUNTIF($B7:AL7, "X")=0, "+", "-")), IF(MOD($A7, AM$1)=0, "X", "O"))</f>
        <v>O</v>
      </c>
      <c r="AN7" s="43" t="str">
        <f>IF($A7=AN$1, IF(ROW(AN7)=2, "+", IF(COUNTIF($B7:AM7, "X")=0, "+", "-")), IF(MOD($A7, AN$1)=0, "X", "O"))</f>
        <v>O</v>
      </c>
      <c r="AO7" s="43" t="str">
        <f>IF($A7=AO$1, IF(ROW(AO7)=2, "+", IF(COUNTIF($B7:AN7, "X")=0, "+", "-")), IF(MOD($A7, AO$1)=0, "X", "O"))</f>
        <v>O</v>
      </c>
      <c r="AP7" s="43" t="str">
        <f>IF($A7=AP$1, IF(ROW(AP7)=2, "+", IF(COUNTIF($B7:AO7, "X")=0, "+", "-")), IF(MOD($A7, AP$1)=0, "X", "O"))</f>
        <v>O</v>
      </c>
      <c r="AQ7" s="43" t="str">
        <f>IF($A7=AQ$1, IF(ROW(AQ7)=2, "+", IF(COUNTIF($B7:AP7, "X")=0, "+", "-")), IF(MOD($A7, AQ$1)=0, "X", "O"))</f>
        <v>O</v>
      </c>
      <c r="AR7" s="43" t="str">
        <f>IF($A7=AR$1, IF(ROW(AR7)=2, "+", IF(COUNTIF($B7:AQ7, "X")=0, "+", "-")), IF(MOD($A7, AR$1)=0, "X", "O"))</f>
        <v>O</v>
      </c>
      <c r="AS7" s="43" t="str">
        <f>IF($A7=AS$1, IF(ROW(AS7)=2, "+", IF(COUNTIF($B7:AR7, "X")=0, "+", "-")), IF(MOD($A7, AS$1)=0, "X", "O"))</f>
        <v>O</v>
      </c>
      <c r="AT7" s="43" t="str">
        <f>IF($A7=AT$1, IF(ROW(AT7)=2, "+", IF(COUNTIF($B7:AS7, "X")=0, "+", "-")), IF(MOD($A7, AT$1)=0, "X", "O"))</f>
        <v>O</v>
      </c>
      <c r="AU7" s="43" t="str">
        <f>IF($A7=AU$1, IF(ROW(AU7)=2, "+", IF(COUNTIF($B7:AT7, "X")=0, "+", "-")), IF(MOD($A7, AU$1)=0, "X", "O"))</f>
        <v>O</v>
      </c>
      <c r="AV7" s="43" t="str">
        <f>IF($A7=AV$1, IF(ROW(AV7)=2, "+", IF(COUNTIF($B7:AU7, "X")=0, "+", "-")), IF(MOD($A7, AV$1)=0, "X", "O"))</f>
        <v>O</v>
      </c>
      <c r="AW7" s="43" t="str">
        <f>IF($A7=AW$1, IF(ROW(AW7)=2, "+", IF(COUNTIF($B7:AV7, "X")=0, "+", "-")), IF(MOD($A7, AW$1)=0, "X", "O"))</f>
        <v>O</v>
      </c>
      <c r="AX7" s="43" t="str">
        <f>IF($A7=AX$1, IF(ROW(AX7)=2, "+", IF(COUNTIF($B7:AW7, "X")=0, "+", "-")), IF(MOD($A7, AX$1)=0, "X", "O"))</f>
        <v>O</v>
      </c>
      <c r="AY7" s="43" t="str">
        <f>IF($A7=AY$1, IF(ROW(AY7)=2, "+", IF(COUNTIF($B7:AX7, "X")=0, "+", "-")), IF(MOD($A7, AY$1)=0, "X", "O"))</f>
        <v>O</v>
      </c>
      <c r="AZ7" s="43" t="str">
        <f>IF($A7=AZ$1, IF(ROW(AZ7)=2, "+", IF(COUNTIF($B7:AY7, "X")=0, "+", "-")), IF(MOD($A7, AZ$1)=0, "X", "O"))</f>
        <v>O</v>
      </c>
      <c r="BA7" s="43" t="str">
        <f>IF($A7=BA$1, IF(ROW(BA7)=2, "+", IF(COUNTIF($B7:AZ7, "X")=0, "+", "-")), IF(MOD($A7, BA$1)=0, "X", "O"))</f>
        <v>O</v>
      </c>
      <c r="BB7" s="43" t="str">
        <f>IF($A7=BB$1, IF(ROW(BB7)=2, "+", IF(COUNTIF($B7:BA7, "X")=0, "+", "-")), IF(MOD($A7, BB$1)=0, "X", "O"))</f>
        <v>O</v>
      </c>
      <c r="BC7" s="43" t="str">
        <f>IF($A7=BC$1, IF(ROW(BC7)=2, "+", IF(COUNTIF($B7:BB7, "X")=0, "+", "-")), IF(MOD($A7, BC$1)=0, "X", "O"))</f>
        <v>O</v>
      </c>
      <c r="BD7" s="43" t="str">
        <f>IF($A7=BD$1, IF(ROW(BD7)=2, "+", IF(COUNTIF($B7:BC7, "X")=0, "+", "-")), IF(MOD($A7, BD$1)=0, "X", "O"))</f>
        <v>O</v>
      </c>
      <c r="BE7" s="43" t="str">
        <f>IF($A7=BE$1, IF(ROW(BE7)=2, "+", IF(COUNTIF($B7:BD7, "X")=0, "+", "-")), IF(MOD($A7, BE$1)=0, "X", "O"))</f>
        <v>O</v>
      </c>
      <c r="BF7" s="43" t="str">
        <f>IF($A7=BF$1, IF(ROW(BF7)=2, "+", IF(COUNTIF($B7:BE7, "X")=0, "+", "-")), IF(MOD($A7, BF$1)=0, "X", "O"))</f>
        <v>O</v>
      </c>
      <c r="BG7" s="43" t="str">
        <f>IF($A7=BG$1, IF(ROW(BG7)=2, "+", IF(COUNTIF($B7:BF7, "X")=0, "+", "-")), IF(MOD($A7, BG$1)=0, "X", "O"))</f>
        <v>O</v>
      </c>
      <c r="BH7" s="43" t="str">
        <f>IF($A7=BH$1, IF(ROW(BH7)=2, "+", IF(COUNTIF($B7:BG7, "X")=0, "+", "-")), IF(MOD($A7, BH$1)=0, "X", "O"))</f>
        <v>O</v>
      </c>
    </row>
    <row r="8" spans="1:62" x14ac:dyDescent="0.25">
      <c r="A8">
        <v>8</v>
      </c>
      <c r="B8" s="43" t="str">
        <f>IF($A8=B$1, IF(ROW(B8)=2, "+", IF(COUNTIF(A8:$B8, "X")=0, "+", "-")), IF(MOD($A8, B$1)=0, "X", "O"))</f>
        <v>X</v>
      </c>
      <c r="C8" s="43" t="str">
        <f>IF($A8=C$1, IF(ROW(C8)=2, "+", IF(COUNTIF(B8:$B8, "X")=0, "+", "-")), IF(MOD($A8, C$1)=0, "X", "O"))</f>
        <v>O</v>
      </c>
      <c r="D8" s="43" t="str">
        <f>IF($A8=D$1, IF(ROW(D8)=2, "+", IF(COUNTIF($B8:C8, "X")=0, "+", "-")), IF(MOD($A8, D$1)=0, "X", "O"))</f>
        <v>X</v>
      </c>
      <c r="E8" s="43" t="str">
        <f>IF($A8=E$1, IF(ROW(E8)=2, "+", IF(COUNTIF($B8:D8, "X")=0, "+", "-")), IF(MOD($A8, E$1)=0, "X", "O"))</f>
        <v>O</v>
      </c>
      <c r="F8" s="43" t="str">
        <f>IF($A8=F$1, IF(ROW(F8)=2, "+", IF(COUNTIF($B8:E8, "X")=0, "+", "-")), IF(MOD($A8, F$1)=0, "X", "O"))</f>
        <v>O</v>
      </c>
      <c r="G8" s="43" t="str">
        <f>IF($A8=G$1, IF(ROW(G8)=2, "+", IF(COUNTIF($B8:F8, "X")=0, "+", "-")), IF(MOD($A8, G$1)=0, "X", "O"))</f>
        <v>O</v>
      </c>
      <c r="H8" s="43" t="str">
        <f>IF($A8=H$1, IF(ROW(H8)=2, "+", IF(COUNTIF($B8:G8, "X")=0, "+", "-")), IF(MOD($A8, H$1)=0, "X", "O"))</f>
        <v>-</v>
      </c>
      <c r="I8" s="43" t="str">
        <f>IF($A8=I$1, IF(ROW(I8)=2, "+", IF(COUNTIF($B8:H8, "X")=0, "+", "-")), IF(MOD($A8, I$1)=0, "X", "O"))</f>
        <v>O</v>
      </c>
      <c r="J8" s="43" t="str">
        <f>IF($A8=J$1, IF(ROW(J8)=2, "+", IF(COUNTIF($B8:I8, "X")=0, "+", "-")), IF(MOD($A8, J$1)=0, "X", "O"))</f>
        <v>O</v>
      </c>
      <c r="K8" s="43" t="str">
        <f>IF($A8=K$1, IF(ROW(K8)=2, "+", IF(COUNTIF($B8:J8, "X")=0, "+", "-")), IF(MOD($A8, K$1)=0, "X", "O"))</f>
        <v>O</v>
      </c>
      <c r="L8" s="43" t="str">
        <f>IF($A8=L$1, IF(ROW(L8)=2, "+", IF(COUNTIF($B8:K8, "X")=0, "+", "-")), IF(MOD($A8, L$1)=0, "X", "O"))</f>
        <v>O</v>
      </c>
      <c r="M8" s="43" t="str">
        <f>IF($A8=M$1, IF(ROW(M8)=2, "+", IF(COUNTIF($B8:L8, "X")=0, "+", "-")), IF(MOD($A8, M$1)=0, "X", "O"))</f>
        <v>O</v>
      </c>
      <c r="N8" s="43" t="str">
        <f>IF($A8=N$1, IF(ROW(N8)=2, "+", IF(COUNTIF($B8:M8, "X")=0, "+", "-")), IF(MOD($A8, N$1)=0, "X", "O"))</f>
        <v>O</v>
      </c>
      <c r="O8" s="43" t="str">
        <f>IF($A8=O$1, IF(ROW(O8)=2, "+", IF(COUNTIF($B8:N8, "X")=0, "+", "-")), IF(MOD($A8, O$1)=0, "X", "O"))</f>
        <v>O</v>
      </c>
      <c r="P8" s="43" t="str">
        <f>IF($A8=P$1, IF(ROW(P8)=2, "+", IF(COUNTIF($B8:O8, "X")=0, "+", "-")), IF(MOD($A8, P$1)=0, "X", "O"))</f>
        <v>O</v>
      </c>
      <c r="Q8" s="43" t="str">
        <f>IF($A8=Q$1, IF(ROW(Q8)=2, "+", IF(COUNTIF($B8:P8, "X")=0, "+", "-")), IF(MOD($A8, Q$1)=0, "X", "O"))</f>
        <v>O</v>
      </c>
      <c r="R8" s="43" t="str">
        <f>IF($A8=R$1, IF(ROW(R8)=2, "+", IF(COUNTIF($B8:Q8, "X")=0, "+", "-")), IF(MOD($A8, R$1)=0, "X", "O"))</f>
        <v>O</v>
      </c>
      <c r="S8" s="43" t="str">
        <f>IF($A8=S$1, IF(ROW(S8)=2, "+", IF(COUNTIF($B8:R8, "X")=0, "+", "-")), IF(MOD($A8, S$1)=0, "X", "O"))</f>
        <v>O</v>
      </c>
      <c r="T8" s="43" t="str">
        <f>IF($A8=T$1, IF(ROW(T8)=2, "+", IF(COUNTIF($B8:S8, "X")=0, "+", "-")), IF(MOD($A8, T$1)=0, "X", "O"))</f>
        <v>O</v>
      </c>
      <c r="U8" s="43" t="str">
        <f>IF($A8=U$1, IF(ROW(U8)=2, "+", IF(COUNTIF($B8:T8, "X")=0, "+", "-")), IF(MOD($A8, U$1)=0, "X", "O"))</f>
        <v>O</v>
      </c>
      <c r="V8" s="43" t="str">
        <f>IF($A8=V$1, IF(ROW(V8)=2, "+", IF(COUNTIF($B8:U8, "X")=0, "+", "-")), IF(MOD($A8, V$1)=0, "X", "O"))</f>
        <v>O</v>
      </c>
      <c r="W8" s="43" t="str">
        <f>IF($A8=W$1, IF(ROW(W8)=2, "+", IF(COUNTIF($B8:V8, "X")=0, "+", "-")), IF(MOD($A8, W$1)=0, "X", "O"))</f>
        <v>O</v>
      </c>
      <c r="X8" s="43" t="str">
        <f>IF($A8=X$1, IF(ROW(X8)=2, "+", IF(COUNTIF($B8:W8, "X")=0, "+", "-")), IF(MOD($A8, X$1)=0, "X", "O"))</f>
        <v>O</v>
      </c>
      <c r="Y8" s="43" t="str">
        <f>IF($A8=Y$1, IF(ROW(Y8)=2, "+", IF(COUNTIF($B8:X8, "X")=0, "+", "-")), IF(MOD($A8, Y$1)=0, "X", "O"))</f>
        <v>O</v>
      </c>
      <c r="Z8" s="43" t="str">
        <f>IF($A8=Z$1, IF(ROW(Z8)=2, "+", IF(COUNTIF($B8:Y8, "X")=0, "+", "-")), IF(MOD($A8, Z$1)=0, "X", "O"))</f>
        <v>O</v>
      </c>
      <c r="AA8" s="43" t="str">
        <f>IF($A8=AA$1, IF(ROW(AA8)=2, "+", IF(COUNTIF($B8:Z8, "X")=0, "+", "-")), IF(MOD($A8, AA$1)=0, "X", "O"))</f>
        <v>O</v>
      </c>
      <c r="AB8" s="43" t="str">
        <f>IF($A8=AB$1, IF(ROW(AB8)=2, "+", IF(COUNTIF($B8:AA8, "X")=0, "+", "-")), IF(MOD($A8, AB$1)=0, "X", "O"))</f>
        <v>O</v>
      </c>
      <c r="AC8" s="43" t="str">
        <f>IF($A8=AC$1, IF(ROW(AC8)=2, "+", IF(COUNTIF($B8:AB8, "X")=0, "+", "-")), IF(MOD($A8, AC$1)=0, "X", "O"))</f>
        <v>O</v>
      </c>
      <c r="AD8" s="43" t="str">
        <f>IF($A8=AD$1, IF(ROW(AD8)=2, "+", IF(COUNTIF($B8:AC8, "X")=0, "+", "-")), IF(MOD($A8, AD$1)=0, "X", "O"))</f>
        <v>O</v>
      </c>
      <c r="AE8" s="43" t="str">
        <f>IF($A8=AE$1, IF(ROW(AE8)=2, "+", IF(COUNTIF($B8:AD8, "X")=0, "+", "-")), IF(MOD($A8, AE$1)=0, "X", "O"))</f>
        <v>O</v>
      </c>
      <c r="AF8" s="43" t="str">
        <f>IF($A8=AF$1, IF(ROW(AF8)=2, "+", IF(COUNTIF($B8:AE8, "X")=0, "+", "-")), IF(MOD($A8, AF$1)=0, "X", "O"))</f>
        <v>O</v>
      </c>
      <c r="AG8" s="43" t="str">
        <f>IF($A8=AG$1, IF(ROW(AG8)=2, "+", IF(COUNTIF($B8:AF8, "X")=0, "+", "-")), IF(MOD($A8, AG$1)=0, "X", "O"))</f>
        <v>O</v>
      </c>
      <c r="AH8" s="43" t="str">
        <f>IF($A8=AH$1, IF(ROW(AH8)=2, "+", IF(COUNTIF($B8:AG8, "X")=0, "+", "-")), IF(MOD($A8, AH$1)=0, "X", "O"))</f>
        <v>O</v>
      </c>
      <c r="AI8" s="43" t="str">
        <f>IF($A8=AI$1, IF(ROW(AI8)=2, "+", IF(COUNTIF($B8:AH8, "X")=0, "+", "-")), IF(MOD($A8, AI$1)=0, "X", "O"))</f>
        <v>O</v>
      </c>
      <c r="AJ8" s="43" t="str">
        <f>IF($A8=AJ$1, IF(ROW(AJ8)=2, "+", IF(COUNTIF($B8:AI8, "X")=0, "+", "-")), IF(MOD($A8, AJ$1)=0, "X", "O"))</f>
        <v>O</v>
      </c>
      <c r="AK8" s="43" t="str">
        <f>IF($A8=AK$1, IF(ROW(AK8)=2, "+", IF(COUNTIF($B8:AJ8, "X")=0, "+", "-")), IF(MOD($A8, AK$1)=0, "X", "O"))</f>
        <v>O</v>
      </c>
      <c r="AL8" s="43" t="str">
        <f>IF($A8=AL$1, IF(ROW(AL8)=2, "+", IF(COUNTIF($B8:AK8, "X")=0, "+", "-")), IF(MOD($A8, AL$1)=0, "X", "O"))</f>
        <v>O</v>
      </c>
      <c r="AM8" s="43" t="str">
        <f>IF($A8=AM$1, IF(ROW(AM8)=2, "+", IF(COUNTIF($B8:AL8, "X")=0, "+", "-")), IF(MOD($A8, AM$1)=0, "X", "O"))</f>
        <v>O</v>
      </c>
      <c r="AN8" s="43" t="str">
        <f>IF($A8=AN$1, IF(ROW(AN8)=2, "+", IF(COUNTIF($B8:AM8, "X")=0, "+", "-")), IF(MOD($A8, AN$1)=0, "X", "O"))</f>
        <v>O</v>
      </c>
      <c r="AO8" s="43" t="str">
        <f>IF($A8=AO$1, IF(ROW(AO8)=2, "+", IF(COUNTIF($B8:AN8, "X")=0, "+", "-")), IF(MOD($A8, AO$1)=0, "X", "O"))</f>
        <v>O</v>
      </c>
      <c r="AP8" s="43" t="str">
        <f>IF($A8=AP$1, IF(ROW(AP8)=2, "+", IF(COUNTIF($B8:AO8, "X")=0, "+", "-")), IF(MOD($A8, AP$1)=0, "X", "O"))</f>
        <v>O</v>
      </c>
      <c r="AQ8" s="43" t="str">
        <f>IF($A8=AQ$1, IF(ROW(AQ8)=2, "+", IF(COUNTIF($B8:AP8, "X")=0, "+", "-")), IF(MOD($A8, AQ$1)=0, "X", "O"))</f>
        <v>O</v>
      </c>
      <c r="AR8" s="43" t="str">
        <f>IF($A8=AR$1, IF(ROW(AR8)=2, "+", IF(COUNTIF($B8:AQ8, "X")=0, "+", "-")), IF(MOD($A8, AR$1)=0, "X", "O"))</f>
        <v>O</v>
      </c>
      <c r="AS8" s="43" t="str">
        <f>IF($A8=AS$1, IF(ROW(AS8)=2, "+", IF(COUNTIF($B8:AR8, "X")=0, "+", "-")), IF(MOD($A8, AS$1)=0, "X", "O"))</f>
        <v>O</v>
      </c>
      <c r="AT8" s="43" t="str">
        <f>IF($A8=AT$1, IF(ROW(AT8)=2, "+", IF(COUNTIF($B8:AS8, "X")=0, "+", "-")), IF(MOD($A8, AT$1)=0, "X", "O"))</f>
        <v>O</v>
      </c>
      <c r="AU8" s="43" t="str">
        <f>IF($A8=AU$1, IF(ROW(AU8)=2, "+", IF(COUNTIF($B8:AT8, "X")=0, "+", "-")), IF(MOD($A8, AU$1)=0, "X", "O"))</f>
        <v>O</v>
      </c>
      <c r="AV8" s="43" t="str">
        <f>IF($A8=AV$1, IF(ROW(AV8)=2, "+", IF(COUNTIF($B8:AU8, "X")=0, "+", "-")), IF(MOD($A8, AV$1)=0, "X", "O"))</f>
        <v>O</v>
      </c>
      <c r="AW8" s="43" t="str">
        <f>IF($A8=AW$1, IF(ROW(AW8)=2, "+", IF(COUNTIF($B8:AV8, "X")=0, "+", "-")), IF(MOD($A8, AW$1)=0, "X", "O"))</f>
        <v>O</v>
      </c>
      <c r="AX8" s="43" t="str">
        <f>IF($A8=AX$1, IF(ROW(AX8)=2, "+", IF(COUNTIF($B8:AW8, "X")=0, "+", "-")), IF(MOD($A8, AX$1)=0, "X", "O"))</f>
        <v>O</v>
      </c>
      <c r="AY8" s="43" t="str">
        <f>IF($A8=AY$1, IF(ROW(AY8)=2, "+", IF(COUNTIF($B8:AX8, "X")=0, "+", "-")), IF(MOD($A8, AY$1)=0, "X", "O"))</f>
        <v>O</v>
      </c>
      <c r="AZ8" s="43" t="str">
        <f>IF($A8=AZ$1, IF(ROW(AZ8)=2, "+", IF(COUNTIF($B8:AY8, "X")=0, "+", "-")), IF(MOD($A8, AZ$1)=0, "X", "O"))</f>
        <v>O</v>
      </c>
      <c r="BA8" s="43" t="str">
        <f>IF($A8=BA$1, IF(ROW(BA8)=2, "+", IF(COUNTIF($B8:AZ8, "X")=0, "+", "-")), IF(MOD($A8, BA$1)=0, "X", "O"))</f>
        <v>O</v>
      </c>
      <c r="BB8" s="43" t="str">
        <f>IF($A8=BB$1, IF(ROW(BB8)=2, "+", IF(COUNTIF($B8:BA8, "X")=0, "+", "-")), IF(MOD($A8, BB$1)=0, "X", "O"))</f>
        <v>O</v>
      </c>
      <c r="BC8" s="43" t="str">
        <f>IF($A8=BC$1, IF(ROW(BC8)=2, "+", IF(COUNTIF($B8:BB8, "X")=0, "+", "-")), IF(MOD($A8, BC$1)=0, "X", "O"))</f>
        <v>O</v>
      </c>
      <c r="BD8" s="43" t="str">
        <f>IF($A8=BD$1, IF(ROW(BD8)=2, "+", IF(COUNTIF($B8:BC8, "X")=0, "+", "-")), IF(MOD($A8, BD$1)=0, "X", "O"))</f>
        <v>O</v>
      </c>
      <c r="BE8" s="43" t="str">
        <f>IF($A8=BE$1, IF(ROW(BE8)=2, "+", IF(COUNTIF($B8:BD8, "X")=0, "+", "-")), IF(MOD($A8, BE$1)=0, "X", "O"))</f>
        <v>O</v>
      </c>
      <c r="BF8" s="43" t="str">
        <f>IF($A8=BF$1, IF(ROW(BF8)=2, "+", IF(COUNTIF($B8:BE8, "X")=0, "+", "-")), IF(MOD($A8, BF$1)=0, "X", "O"))</f>
        <v>O</v>
      </c>
      <c r="BG8" s="43" t="str">
        <f>IF($A8=BG$1, IF(ROW(BG8)=2, "+", IF(COUNTIF($B8:BF8, "X")=0, "+", "-")), IF(MOD($A8, BG$1)=0, "X", "O"))</f>
        <v>O</v>
      </c>
      <c r="BH8" s="43" t="str">
        <f>IF($A8=BH$1, IF(ROW(BH8)=2, "+", IF(COUNTIF($B8:BG8, "X")=0, "+", "-")), IF(MOD($A8, BH$1)=0, "X", "O"))</f>
        <v>O</v>
      </c>
    </row>
    <row r="9" spans="1:62" x14ac:dyDescent="0.25">
      <c r="A9">
        <v>9</v>
      </c>
      <c r="B9" s="43" t="str">
        <f>IF($A9=B$1, IF(ROW(B9)=2, "+", IF(COUNTIF(A9:$B9, "X")=0, "+", "-")), IF(MOD($A9, B$1)=0, "X", "O"))</f>
        <v>O</v>
      </c>
      <c r="C9" s="43" t="str">
        <f>IF($A9=C$1, IF(ROW(C9)=2, "+", IF(COUNTIF(B9:$B9, "X")=0, "+", "-")), IF(MOD($A9, C$1)=0, "X", "O"))</f>
        <v>X</v>
      </c>
      <c r="D9" s="43" t="str">
        <f>IF($A9=D$1, IF(ROW(D9)=2, "+", IF(COUNTIF($B9:C9, "X")=0, "+", "-")), IF(MOD($A9, D$1)=0, "X", "O"))</f>
        <v>O</v>
      </c>
      <c r="E9" s="43" t="str">
        <f>IF($A9=E$1, IF(ROW(E9)=2, "+", IF(COUNTIF($B9:D9, "X")=0, "+", "-")), IF(MOD($A9, E$1)=0, "X", "O"))</f>
        <v>O</v>
      </c>
      <c r="F9" s="43" t="str">
        <f>IF($A9=F$1, IF(ROW(F9)=2, "+", IF(COUNTIF($B9:E9, "X")=0, "+", "-")), IF(MOD($A9, F$1)=0, "X", "O"))</f>
        <v>O</v>
      </c>
      <c r="G9" s="43" t="str">
        <f>IF($A9=G$1, IF(ROW(G9)=2, "+", IF(COUNTIF($B9:F9, "X")=0, "+", "-")), IF(MOD($A9, G$1)=0, "X", "O"))</f>
        <v>O</v>
      </c>
      <c r="H9" s="43" t="str">
        <f>IF($A9=H$1, IF(ROW(H9)=2, "+", IF(COUNTIF($B9:G9, "X")=0, "+", "-")), IF(MOD($A9, H$1)=0, "X", "O"))</f>
        <v>O</v>
      </c>
      <c r="I9" s="43" t="str">
        <f>IF($A9=I$1, IF(ROW(I9)=2, "+", IF(COUNTIF($B9:H9, "X")=0, "+", "-")), IF(MOD($A9, I$1)=0, "X", "O"))</f>
        <v>-</v>
      </c>
      <c r="J9" s="43" t="str">
        <f>IF($A9=J$1, IF(ROW(J9)=2, "+", IF(COUNTIF($B9:I9, "X")=0, "+", "-")), IF(MOD($A9, J$1)=0, "X", "O"))</f>
        <v>O</v>
      </c>
      <c r="K9" s="43" t="str">
        <f>IF($A9=K$1, IF(ROW(K9)=2, "+", IF(COUNTIF($B9:J9, "X")=0, "+", "-")), IF(MOD($A9, K$1)=0, "X", "O"))</f>
        <v>O</v>
      </c>
      <c r="L9" s="43" t="str">
        <f>IF($A9=L$1, IF(ROW(L9)=2, "+", IF(COUNTIF($B9:K9, "X")=0, "+", "-")), IF(MOD($A9, L$1)=0, "X", "O"))</f>
        <v>O</v>
      </c>
      <c r="M9" s="43" t="str">
        <f>IF($A9=M$1, IF(ROW(M9)=2, "+", IF(COUNTIF($B9:L9, "X")=0, "+", "-")), IF(MOD($A9, M$1)=0, "X", "O"))</f>
        <v>O</v>
      </c>
      <c r="N9" s="43" t="str">
        <f>IF($A9=N$1, IF(ROW(N9)=2, "+", IF(COUNTIF($B9:M9, "X")=0, "+", "-")), IF(MOD($A9, N$1)=0, "X", "O"))</f>
        <v>O</v>
      </c>
      <c r="O9" s="43" t="str">
        <f>IF($A9=O$1, IF(ROW(O9)=2, "+", IF(COUNTIF($B9:N9, "X")=0, "+", "-")), IF(MOD($A9, O$1)=0, "X", "O"))</f>
        <v>O</v>
      </c>
      <c r="P9" s="43" t="str">
        <f>IF($A9=P$1, IF(ROW(P9)=2, "+", IF(COUNTIF($B9:O9, "X")=0, "+", "-")), IF(MOD($A9, P$1)=0, "X", "O"))</f>
        <v>O</v>
      </c>
      <c r="Q9" s="43" t="str">
        <f>IF($A9=Q$1, IF(ROW(Q9)=2, "+", IF(COUNTIF($B9:P9, "X")=0, "+", "-")), IF(MOD($A9, Q$1)=0, "X", "O"))</f>
        <v>O</v>
      </c>
      <c r="R9" s="43" t="str">
        <f>IF($A9=R$1, IF(ROW(R9)=2, "+", IF(COUNTIF($B9:Q9, "X")=0, "+", "-")), IF(MOD($A9, R$1)=0, "X", "O"))</f>
        <v>O</v>
      </c>
      <c r="S9" s="43" t="str">
        <f>IF($A9=S$1, IF(ROW(S9)=2, "+", IF(COUNTIF($B9:R9, "X")=0, "+", "-")), IF(MOD($A9, S$1)=0, "X", "O"))</f>
        <v>O</v>
      </c>
      <c r="T9" s="43" t="str">
        <f>IF($A9=T$1, IF(ROW(T9)=2, "+", IF(COUNTIF($B9:S9, "X")=0, "+", "-")), IF(MOD($A9, T$1)=0, "X", "O"))</f>
        <v>O</v>
      </c>
      <c r="U9" s="43" t="str">
        <f>IF($A9=U$1, IF(ROW(U9)=2, "+", IF(COUNTIF($B9:T9, "X")=0, "+", "-")), IF(MOD($A9, U$1)=0, "X", "O"))</f>
        <v>O</v>
      </c>
      <c r="V9" s="43" t="str">
        <f>IF($A9=V$1, IF(ROW(V9)=2, "+", IF(COUNTIF($B9:U9, "X")=0, "+", "-")), IF(MOD($A9, V$1)=0, "X", "O"))</f>
        <v>O</v>
      </c>
      <c r="W9" s="43" t="str">
        <f>IF($A9=W$1, IF(ROW(W9)=2, "+", IF(COUNTIF($B9:V9, "X")=0, "+", "-")), IF(MOD($A9, W$1)=0, "X", "O"))</f>
        <v>O</v>
      </c>
      <c r="X9" s="43" t="str">
        <f>IF($A9=X$1, IF(ROW(X9)=2, "+", IF(COUNTIF($B9:W9, "X")=0, "+", "-")), IF(MOD($A9, X$1)=0, "X", "O"))</f>
        <v>O</v>
      </c>
      <c r="Y9" s="43" t="str">
        <f>IF($A9=Y$1, IF(ROW(Y9)=2, "+", IF(COUNTIF($B9:X9, "X")=0, "+", "-")), IF(MOD($A9, Y$1)=0, "X", "O"))</f>
        <v>O</v>
      </c>
      <c r="Z9" s="43" t="str">
        <f>IF($A9=Z$1, IF(ROW(Z9)=2, "+", IF(COUNTIF($B9:Y9, "X")=0, "+", "-")), IF(MOD($A9, Z$1)=0, "X", "O"))</f>
        <v>O</v>
      </c>
      <c r="AA9" s="43" t="str">
        <f>IF($A9=AA$1, IF(ROW(AA9)=2, "+", IF(COUNTIF($B9:Z9, "X")=0, "+", "-")), IF(MOD($A9, AA$1)=0, "X", "O"))</f>
        <v>O</v>
      </c>
      <c r="AB9" s="43" t="str">
        <f>IF($A9=AB$1, IF(ROW(AB9)=2, "+", IF(COUNTIF($B9:AA9, "X")=0, "+", "-")), IF(MOD($A9, AB$1)=0, "X", "O"))</f>
        <v>O</v>
      </c>
      <c r="AC9" s="43" t="str">
        <f>IF($A9=AC$1, IF(ROW(AC9)=2, "+", IF(COUNTIF($B9:AB9, "X")=0, "+", "-")), IF(MOD($A9, AC$1)=0, "X", "O"))</f>
        <v>O</v>
      </c>
      <c r="AD9" s="43" t="str">
        <f>IF($A9=AD$1, IF(ROW(AD9)=2, "+", IF(COUNTIF($B9:AC9, "X")=0, "+", "-")), IF(MOD($A9, AD$1)=0, "X", "O"))</f>
        <v>O</v>
      </c>
      <c r="AE9" s="43" t="str">
        <f>IF($A9=AE$1, IF(ROW(AE9)=2, "+", IF(COUNTIF($B9:AD9, "X")=0, "+", "-")), IF(MOD($A9, AE$1)=0, "X", "O"))</f>
        <v>O</v>
      </c>
      <c r="AF9" s="43" t="str">
        <f>IF($A9=AF$1, IF(ROW(AF9)=2, "+", IF(COUNTIF($B9:AE9, "X")=0, "+", "-")), IF(MOD($A9, AF$1)=0, "X", "O"))</f>
        <v>O</v>
      </c>
      <c r="AG9" s="43" t="str">
        <f>IF($A9=AG$1, IF(ROW(AG9)=2, "+", IF(COUNTIF($B9:AF9, "X")=0, "+", "-")), IF(MOD($A9, AG$1)=0, "X", "O"))</f>
        <v>O</v>
      </c>
      <c r="AH9" s="43" t="str">
        <f>IF($A9=AH$1, IF(ROW(AH9)=2, "+", IF(COUNTIF($B9:AG9, "X")=0, "+", "-")), IF(MOD($A9, AH$1)=0, "X", "O"))</f>
        <v>O</v>
      </c>
      <c r="AI9" s="43" t="str">
        <f>IF($A9=AI$1, IF(ROW(AI9)=2, "+", IF(COUNTIF($B9:AH9, "X")=0, "+", "-")), IF(MOD($A9, AI$1)=0, "X", "O"))</f>
        <v>O</v>
      </c>
      <c r="AJ9" s="43" t="str">
        <f>IF($A9=AJ$1, IF(ROW(AJ9)=2, "+", IF(COUNTIF($B9:AI9, "X")=0, "+", "-")), IF(MOD($A9, AJ$1)=0, "X", "O"))</f>
        <v>O</v>
      </c>
      <c r="AK9" s="43" t="str">
        <f>IF($A9=AK$1, IF(ROW(AK9)=2, "+", IF(COUNTIF($B9:AJ9, "X")=0, "+", "-")), IF(MOD($A9, AK$1)=0, "X", "O"))</f>
        <v>O</v>
      </c>
      <c r="AL9" s="43" t="str">
        <f>IF($A9=AL$1, IF(ROW(AL9)=2, "+", IF(COUNTIF($B9:AK9, "X")=0, "+", "-")), IF(MOD($A9, AL$1)=0, "X", "O"))</f>
        <v>O</v>
      </c>
      <c r="AM9" s="43" t="str">
        <f>IF($A9=AM$1, IF(ROW(AM9)=2, "+", IF(COUNTIF($B9:AL9, "X")=0, "+", "-")), IF(MOD($A9, AM$1)=0, "X", "O"))</f>
        <v>O</v>
      </c>
      <c r="AN9" s="43" t="str">
        <f>IF($A9=AN$1, IF(ROW(AN9)=2, "+", IF(COUNTIF($B9:AM9, "X")=0, "+", "-")), IF(MOD($A9, AN$1)=0, "X", "O"))</f>
        <v>O</v>
      </c>
      <c r="AO9" s="43" t="str">
        <f>IF($A9=AO$1, IF(ROW(AO9)=2, "+", IF(COUNTIF($B9:AN9, "X")=0, "+", "-")), IF(MOD($A9, AO$1)=0, "X", "O"))</f>
        <v>O</v>
      </c>
      <c r="AP9" s="43" t="str">
        <f>IF($A9=AP$1, IF(ROW(AP9)=2, "+", IF(COUNTIF($B9:AO9, "X")=0, "+", "-")), IF(MOD($A9, AP$1)=0, "X", "O"))</f>
        <v>O</v>
      </c>
      <c r="AQ9" s="43" t="str">
        <f>IF($A9=AQ$1, IF(ROW(AQ9)=2, "+", IF(COUNTIF($B9:AP9, "X")=0, "+", "-")), IF(MOD($A9, AQ$1)=0, "X", "O"))</f>
        <v>O</v>
      </c>
      <c r="AR9" s="43" t="str">
        <f>IF($A9=AR$1, IF(ROW(AR9)=2, "+", IF(COUNTIF($B9:AQ9, "X")=0, "+", "-")), IF(MOD($A9, AR$1)=0, "X", "O"))</f>
        <v>O</v>
      </c>
      <c r="AS9" s="43" t="str">
        <f>IF($A9=AS$1, IF(ROW(AS9)=2, "+", IF(COUNTIF($B9:AR9, "X")=0, "+", "-")), IF(MOD($A9, AS$1)=0, "X", "O"))</f>
        <v>O</v>
      </c>
      <c r="AT9" s="43" t="str">
        <f>IF($A9=AT$1, IF(ROW(AT9)=2, "+", IF(COUNTIF($B9:AS9, "X")=0, "+", "-")), IF(MOD($A9, AT$1)=0, "X", "O"))</f>
        <v>O</v>
      </c>
      <c r="AU9" s="43" t="str">
        <f>IF($A9=AU$1, IF(ROW(AU9)=2, "+", IF(COUNTIF($B9:AT9, "X")=0, "+", "-")), IF(MOD($A9, AU$1)=0, "X", "O"))</f>
        <v>O</v>
      </c>
      <c r="AV9" s="43" t="str">
        <f>IF($A9=AV$1, IF(ROW(AV9)=2, "+", IF(COUNTIF($B9:AU9, "X")=0, "+", "-")), IF(MOD($A9, AV$1)=0, "X", "O"))</f>
        <v>O</v>
      </c>
      <c r="AW9" s="43" t="str">
        <f>IF($A9=AW$1, IF(ROW(AW9)=2, "+", IF(COUNTIF($B9:AV9, "X")=0, "+", "-")), IF(MOD($A9, AW$1)=0, "X", "O"))</f>
        <v>O</v>
      </c>
      <c r="AX9" s="43" t="str">
        <f>IF($A9=AX$1, IF(ROW(AX9)=2, "+", IF(COUNTIF($B9:AW9, "X")=0, "+", "-")), IF(MOD($A9, AX$1)=0, "X", "O"))</f>
        <v>O</v>
      </c>
      <c r="AY9" s="43" t="str">
        <f>IF($A9=AY$1, IF(ROW(AY9)=2, "+", IF(COUNTIF($B9:AX9, "X")=0, "+", "-")), IF(MOD($A9, AY$1)=0, "X", "O"))</f>
        <v>O</v>
      </c>
      <c r="AZ9" s="43" t="str">
        <f>IF($A9=AZ$1, IF(ROW(AZ9)=2, "+", IF(COUNTIF($B9:AY9, "X")=0, "+", "-")), IF(MOD($A9, AZ$1)=0, "X", "O"))</f>
        <v>O</v>
      </c>
      <c r="BA9" s="43" t="str">
        <f>IF($A9=BA$1, IF(ROW(BA9)=2, "+", IF(COUNTIF($B9:AZ9, "X")=0, "+", "-")), IF(MOD($A9, BA$1)=0, "X", "O"))</f>
        <v>O</v>
      </c>
      <c r="BB9" s="43" t="str">
        <f>IF($A9=BB$1, IF(ROW(BB9)=2, "+", IF(COUNTIF($B9:BA9, "X")=0, "+", "-")), IF(MOD($A9, BB$1)=0, "X", "O"))</f>
        <v>O</v>
      </c>
      <c r="BC9" s="43" t="str">
        <f>IF($A9=BC$1, IF(ROW(BC9)=2, "+", IF(COUNTIF($B9:BB9, "X")=0, "+", "-")), IF(MOD($A9, BC$1)=0, "X", "O"))</f>
        <v>O</v>
      </c>
      <c r="BD9" s="43" t="str">
        <f>IF($A9=BD$1, IF(ROW(BD9)=2, "+", IF(COUNTIF($B9:BC9, "X")=0, "+", "-")), IF(MOD($A9, BD$1)=0, "X", "O"))</f>
        <v>O</v>
      </c>
      <c r="BE9" s="43" t="str">
        <f>IF($A9=BE$1, IF(ROW(BE9)=2, "+", IF(COUNTIF($B9:BD9, "X")=0, "+", "-")), IF(MOD($A9, BE$1)=0, "X", "O"))</f>
        <v>O</v>
      </c>
      <c r="BF9" s="43" t="str">
        <f>IF($A9=BF$1, IF(ROW(BF9)=2, "+", IF(COUNTIF($B9:BE9, "X")=0, "+", "-")), IF(MOD($A9, BF$1)=0, "X", "O"))</f>
        <v>O</v>
      </c>
      <c r="BG9" s="43" t="str">
        <f>IF($A9=BG$1, IF(ROW(BG9)=2, "+", IF(COUNTIF($B9:BF9, "X")=0, "+", "-")), IF(MOD($A9, BG$1)=0, "X", "O"))</f>
        <v>O</v>
      </c>
      <c r="BH9" s="43" t="str">
        <f>IF($A9=BH$1, IF(ROW(BH9)=2, "+", IF(COUNTIF($B9:BG9, "X")=0, "+", "-")), IF(MOD($A9, BH$1)=0, "X", "O"))</f>
        <v>O</v>
      </c>
    </row>
    <row r="10" spans="1:62" x14ac:dyDescent="0.25">
      <c r="A10">
        <v>10</v>
      </c>
      <c r="B10" s="43" t="str">
        <f>IF($A10=B$1, IF(ROW(B10)=2, "+", IF(COUNTIF(A10:$B10, "X")=0, "+", "-")), IF(MOD($A10, B$1)=0, "X", "O"))</f>
        <v>X</v>
      </c>
      <c r="C10" s="43" t="str">
        <f>IF($A10=C$1, IF(ROW(C10)=2, "+", IF(COUNTIF(B10:$B10, "X")=0, "+", "-")), IF(MOD($A10, C$1)=0, "X", "O"))</f>
        <v>O</v>
      </c>
      <c r="D10" s="43" t="str">
        <f>IF($A10=D$1, IF(ROW(D10)=2, "+", IF(COUNTIF($B10:C10, "X")=0, "+", "-")), IF(MOD($A10, D$1)=0, "X", "O"))</f>
        <v>O</v>
      </c>
      <c r="E10" s="43" t="str">
        <f>IF($A10=E$1, IF(ROW(E10)=2, "+", IF(COUNTIF($B10:D10, "X")=0, "+", "-")), IF(MOD($A10, E$1)=0, "X", "O"))</f>
        <v>X</v>
      </c>
      <c r="F10" s="43" t="str">
        <f>IF($A10=F$1, IF(ROW(F10)=2, "+", IF(COUNTIF($B10:E10, "X")=0, "+", "-")), IF(MOD($A10, F$1)=0, "X", "O"))</f>
        <v>O</v>
      </c>
      <c r="G10" s="43" t="str">
        <f>IF($A10=G$1, IF(ROW(G10)=2, "+", IF(COUNTIF($B10:F10, "X")=0, "+", "-")), IF(MOD($A10, G$1)=0, "X", "O"))</f>
        <v>O</v>
      </c>
      <c r="H10" s="43" t="str">
        <f>IF($A10=H$1, IF(ROW(H10)=2, "+", IF(COUNTIF($B10:G10, "X")=0, "+", "-")), IF(MOD($A10, H$1)=0, "X", "O"))</f>
        <v>O</v>
      </c>
      <c r="I10" s="43" t="str">
        <f>IF($A10=I$1, IF(ROW(I10)=2, "+", IF(COUNTIF($B10:H10, "X")=0, "+", "-")), IF(MOD($A10, I$1)=0, "X", "O"))</f>
        <v>O</v>
      </c>
      <c r="J10" s="43" t="str">
        <f>IF($A10=J$1, IF(ROW(J10)=2, "+", IF(COUNTIF($B10:I10, "X")=0, "+", "-")), IF(MOD($A10, J$1)=0, "X", "O"))</f>
        <v>-</v>
      </c>
      <c r="K10" s="43" t="str">
        <f>IF($A10=K$1, IF(ROW(K10)=2, "+", IF(COUNTIF($B10:J10, "X")=0, "+", "-")), IF(MOD($A10, K$1)=0, "X", "O"))</f>
        <v>O</v>
      </c>
      <c r="L10" s="43" t="str">
        <f>IF($A10=L$1, IF(ROW(L10)=2, "+", IF(COUNTIF($B10:K10, "X")=0, "+", "-")), IF(MOD($A10, L$1)=0, "X", "O"))</f>
        <v>O</v>
      </c>
      <c r="M10" s="43" t="str">
        <f>IF($A10=M$1, IF(ROW(M10)=2, "+", IF(COUNTIF($B10:L10, "X")=0, "+", "-")), IF(MOD($A10, M$1)=0, "X", "O"))</f>
        <v>O</v>
      </c>
      <c r="N10" s="43" t="str">
        <f>IF($A10=N$1, IF(ROW(N10)=2, "+", IF(COUNTIF($B10:M10, "X")=0, "+", "-")), IF(MOD($A10, N$1)=0, "X", "O"))</f>
        <v>O</v>
      </c>
      <c r="O10" s="43" t="str">
        <f>IF($A10=O$1, IF(ROW(O10)=2, "+", IF(COUNTIF($B10:N10, "X")=0, "+", "-")), IF(MOD($A10, O$1)=0, "X", "O"))</f>
        <v>O</v>
      </c>
      <c r="P10" s="43" t="str">
        <f>IF($A10=P$1, IF(ROW(P10)=2, "+", IF(COUNTIF($B10:O10, "X")=0, "+", "-")), IF(MOD($A10, P$1)=0, "X", "O"))</f>
        <v>O</v>
      </c>
      <c r="Q10" s="43" t="str">
        <f>IF($A10=Q$1, IF(ROW(Q10)=2, "+", IF(COUNTIF($B10:P10, "X")=0, "+", "-")), IF(MOD($A10, Q$1)=0, "X", "O"))</f>
        <v>O</v>
      </c>
      <c r="R10" s="43" t="str">
        <f>IF($A10=R$1, IF(ROW(R10)=2, "+", IF(COUNTIF($B10:Q10, "X")=0, "+", "-")), IF(MOD($A10, R$1)=0, "X", "O"))</f>
        <v>O</v>
      </c>
      <c r="S10" s="43" t="str">
        <f>IF($A10=S$1, IF(ROW(S10)=2, "+", IF(COUNTIF($B10:R10, "X")=0, "+", "-")), IF(MOD($A10, S$1)=0, "X", "O"))</f>
        <v>O</v>
      </c>
      <c r="T10" s="43" t="str">
        <f>IF($A10=T$1, IF(ROW(T10)=2, "+", IF(COUNTIF($B10:S10, "X")=0, "+", "-")), IF(MOD($A10, T$1)=0, "X", "O"))</f>
        <v>O</v>
      </c>
      <c r="U10" s="43" t="str">
        <f>IF($A10=U$1, IF(ROW(U10)=2, "+", IF(COUNTIF($B10:T10, "X")=0, "+", "-")), IF(MOD($A10, U$1)=0, "X", "O"))</f>
        <v>O</v>
      </c>
      <c r="V10" s="43" t="str">
        <f>IF($A10=V$1, IF(ROW(V10)=2, "+", IF(COUNTIF($B10:U10, "X")=0, "+", "-")), IF(MOD($A10, V$1)=0, "X", "O"))</f>
        <v>O</v>
      </c>
      <c r="W10" s="43" t="str">
        <f>IF($A10=W$1, IF(ROW(W10)=2, "+", IF(COUNTIF($B10:V10, "X")=0, "+", "-")), IF(MOD($A10, W$1)=0, "X", "O"))</f>
        <v>O</v>
      </c>
      <c r="X10" s="43" t="str">
        <f>IF($A10=X$1, IF(ROW(X10)=2, "+", IF(COUNTIF($B10:W10, "X")=0, "+", "-")), IF(MOD($A10, X$1)=0, "X", "O"))</f>
        <v>O</v>
      </c>
      <c r="Y10" s="43" t="str">
        <f>IF($A10=Y$1, IF(ROW(Y10)=2, "+", IF(COUNTIF($B10:X10, "X")=0, "+", "-")), IF(MOD($A10, Y$1)=0, "X", "O"))</f>
        <v>O</v>
      </c>
      <c r="Z10" s="43" t="str">
        <f>IF($A10=Z$1, IF(ROW(Z10)=2, "+", IF(COUNTIF($B10:Y10, "X")=0, "+", "-")), IF(MOD($A10, Z$1)=0, "X", "O"))</f>
        <v>O</v>
      </c>
      <c r="AA10" s="43" t="str">
        <f>IF($A10=AA$1, IF(ROW(AA10)=2, "+", IF(COUNTIF($B10:Z10, "X")=0, "+", "-")), IF(MOD($A10, AA$1)=0, "X", "O"))</f>
        <v>O</v>
      </c>
      <c r="AB10" s="43" t="str">
        <f>IF($A10=AB$1, IF(ROW(AB10)=2, "+", IF(COUNTIF($B10:AA10, "X")=0, "+", "-")), IF(MOD($A10, AB$1)=0, "X", "O"))</f>
        <v>O</v>
      </c>
      <c r="AC10" s="43" t="str">
        <f>IF($A10=AC$1, IF(ROW(AC10)=2, "+", IF(COUNTIF($B10:AB10, "X")=0, "+", "-")), IF(MOD($A10, AC$1)=0, "X", "O"))</f>
        <v>O</v>
      </c>
      <c r="AD10" s="43" t="str">
        <f>IF($A10=AD$1, IF(ROW(AD10)=2, "+", IF(COUNTIF($B10:AC10, "X")=0, "+", "-")), IF(MOD($A10, AD$1)=0, "X", "O"))</f>
        <v>O</v>
      </c>
      <c r="AE10" s="43" t="str">
        <f>IF($A10=AE$1, IF(ROW(AE10)=2, "+", IF(COUNTIF($B10:AD10, "X")=0, "+", "-")), IF(MOD($A10, AE$1)=0, "X", "O"))</f>
        <v>O</v>
      </c>
      <c r="AF10" s="43" t="str">
        <f>IF($A10=AF$1, IF(ROW(AF10)=2, "+", IF(COUNTIF($B10:AE10, "X")=0, "+", "-")), IF(MOD($A10, AF$1)=0, "X", "O"))</f>
        <v>O</v>
      </c>
      <c r="AG10" s="43" t="str">
        <f>IF($A10=AG$1, IF(ROW(AG10)=2, "+", IF(COUNTIF($B10:AF10, "X")=0, "+", "-")), IF(MOD($A10, AG$1)=0, "X", "O"))</f>
        <v>O</v>
      </c>
      <c r="AH10" s="43" t="str">
        <f>IF($A10=AH$1, IF(ROW(AH10)=2, "+", IF(COUNTIF($B10:AG10, "X")=0, "+", "-")), IF(MOD($A10, AH$1)=0, "X", "O"))</f>
        <v>O</v>
      </c>
      <c r="AI10" s="43" t="str">
        <f>IF($A10=AI$1, IF(ROW(AI10)=2, "+", IF(COUNTIF($B10:AH10, "X")=0, "+", "-")), IF(MOD($A10, AI$1)=0, "X", "O"))</f>
        <v>O</v>
      </c>
      <c r="AJ10" s="43" t="str">
        <f>IF($A10=AJ$1, IF(ROW(AJ10)=2, "+", IF(COUNTIF($B10:AI10, "X")=0, "+", "-")), IF(MOD($A10, AJ$1)=0, "X", "O"))</f>
        <v>O</v>
      </c>
      <c r="AK10" s="43" t="str">
        <f>IF($A10=AK$1, IF(ROW(AK10)=2, "+", IF(COUNTIF($B10:AJ10, "X")=0, "+", "-")), IF(MOD($A10, AK$1)=0, "X", "O"))</f>
        <v>O</v>
      </c>
      <c r="AL10" s="43" t="str">
        <f>IF($A10=AL$1, IF(ROW(AL10)=2, "+", IF(COUNTIF($B10:AK10, "X")=0, "+", "-")), IF(MOD($A10, AL$1)=0, "X", "O"))</f>
        <v>O</v>
      </c>
      <c r="AM10" s="43" t="str">
        <f>IF($A10=AM$1, IF(ROW(AM10)=2, "+", IF(COUNTIF($B10:AL10, "X")=0, "+", "-")), IF(MOD($A10, AM$1)=0, "X", "O"))</f>
        <v>O</v>
      </c>
      <c r="AN10" s="43" t="str">
        <f>IF($A10=AN$1, IF(ROW(AN10)=2, "+", IF(COUNTIF($B10:AM10, "X")=0, "+", "-")), IF(MOD($A10, AN$1)=0, "X", "O"))</f>
        <v>O</v>
      </c>
      <c r="AO10" s="43" t="str">
        <f>IF($A10=AO$1, IF(ROW(AO10)=2, "+", IF(COUNTIF($B10:AN10, "X")=0, "+", "-")), IF(MOD($A10, AO$1)=0, "X", "O"))</f>
        <v>O</v>
      </c>
      <c r="AP10" s="43" t="str">
        <f>IF($A10=AP$1, IF(ROW(AP10)=2, "+", IF(COUNTIF($B10:AO10, "X")=0, "+", "-")), IF(MOD($A10, AP$1)=0, "X", "O"))</f>
        <v>O</v>
      </c>
      <c r="AQ10" s="43" t="str">
        <f>IF($A10=AQ$1, IF(ROW(AQ10)=2, "+", IF(COUNTIF($B10:AP10, "X")=0, "+", "-")), IF(MOD($A10, AQ$1)=0, "X", "O"))</f>
        <v>O</v>
      </c>
      <c r="AR10" s="43" t="str">
        <f>IF($A10=AR$1, IF(ROW(AR10)=2, "+", IF(COUNTIF($B10:AQ10, "X")=0, "+", "-")), IF(MOD($A10, AR$1)=0, "X", "O"))</f>
        <v>O</v>
      </c>
      <c r="AS10" s="43" t="str">
        <f>IF($A10=AS$1, IF(ROW(AS10)=2, "+", IF(COUNTIF($B10:AR10, "X")=0, "+", "-")), IF(MOD($A10, AS$1)=0, "X", "O"))</f>
        <v>O</v>
      </c>
      <c r="AT10" s="43" t="str">
        <f>IF($A10=AT$1, IF(ROW(AT10)=2, "+", IF(COUNTIF($B10:AS10, "X")=0, "+", "-")), IF(MOD($A10, AT$1)=0, "X", "O"))</f>
        <v>O</v>
      </c>
      <c r="AU10" s="43" t="str">
        <f>IF($A10=AU$1, IF(ROW(AU10)=2, "+", IF(COUNTIF($B10:AT10, "X")=0, "+", "-")), IF(MOD($A10, AU$1)=0, "X", "O"))</f>
        <v>O</v>
      </c>
      <c r="AV10" s="43" t="str">
        <f>IF($A10=AV$1, IF(ROW(AV10)=2, "+", IF(COUNTIF($B10:AU10, "X")=0, "+", "-")), IF(MOD($A10, AV$1)=0, "X", "O"))</f>
        <v>O</v>
      </c>
      <c r="AW10" s="43" t="str">
        <f>IF($A10=AW$1, IF(ROW(AW10)=2, "+", IF(COUNTIF($B10:AV10, "X")=0, "+", "-")), IF(MOD($A10, AW$1)=0, "X", "O"))</f>
        <v>O</v>
      </c>
      <c r="AX10" s="43" t="str">
        <f>IF($A10=AX$1, IF(ROW(AX10)=2, "+", IF(COUNTIF($B10:AW10, "X")=0, "+", "-")), IF(MOD($A10, AX$1)=0, "X", "O"))</f>
        <v>O</v>
      </c>
      <c r="AY10" s="43" t="str">
        <f>IF($A10=AY$1, IF(ROW(AY10)=2, "+", IF(COUNTIF($B10:AX10, "X")=0, "+", "-")), IF(MOD($A10, AY$1)=0, "X", "O"))</f>
        <v>O</v>
      </c>
      <c r="AZ10" s="43" t="str">
        <f>IF($A10=AZ$1, IF(ROW(AZ10)=2, "+", IF(COUNTIF($B10:AY10, "X")=0, "+", "-")), IF(MOD($A10, AZ$1)=0, "X", "O"))</f>
        <v>O</v>
      </c>
      <c r="BA10" s="43" t="str">
        <f>IF($A10=BA$1, IF(ROW(BA10)=2, "+", IF(COUNTIF($B10:AZ10, "X")=0, "+", "-")), IF(MOD($A10, BA$1)=0, "X", "O"))</f>
        <v>O</v>
      </c>
      <c r="BB10" s="43" t="str">
        <f>IF($A10=BB$1, IF(ROW(BB10)=2, "+", IF(COUNTIF($B10:BA10, "X")=0, "+", "-")), IF(MOD($A10, BB$1)=0, "X", "O"))</f>
        <v>O</v>
      </c>
      <c r="BC10" s="43" t="str">
        <f>IF($A10=BC$1, IF(ROW(BC10)=2, "+", IF(COUNTIF($B10:BB10, "X")=0, "+", "-")), IF(MOD($A10, BC$1)=0, "X", "O"))</f>
        <v>O</v>
      </c>
      <c r="BD10" s="43" t="str">
        <f>IF($A10=BD$1, IF(ROW(BD10)=2, "+", IF(COUNTIF($B10:BC10, "X")=0, "+", "-")), IF(MOD($A10, BD$1)=0, "X", "O"))</f>
        <v>O</v>
      </c>
      <c r="BE10" s="43" t="str">
        <f>IF($A10=BE$1, IF(ROW(BE10)=2, "+", IF(COUNTIF($B10:BD10, "X")=0, "+", "-")), IF(MOD($A10, BE$1)=0, "X", "O"))</f>
        <v>O</v>
      </c>
      <c r="BF10" s="43" t="str">
        <f>IF($A10=BF$1, IF(ROW(BF10)=2, "+", IF(COUNTIF($B10:BE10, "X")=0, "+", "-")), IF(MOD($A10, BF$1)=0, "X", "O"))</f>
        <v>O</v>
      </c>
      <c r="BG10" s="43" t="str">
        <f>IF($A10=BG$1, IF(ROW(BG10)=2, "+", IF(COUNTIF($B10:BF10, "X")=0, "+", "-")), IF(MOD($A10, BG$1)=0, "X", "O"))</f>
        <v>O</v>
      </c>
      <c r="BH10" s="43" t="str">
        <f>IF($A10=BH$1, IF(ROW(BH10)=2, "+", IF(COUNTIF($B10:BG10, "X")=0, "+", "-")), IF(MOD($A10, BH$1)=0, "X", "O"))</f>
        <v>O</v>
      </c>
    </row>
    <row r="11" spans="1:62" x14ac:dyDescent="0.25">
      <c r="A11">
        <v>11</v>
      </c>
      <c r="B11" s="43" t="str">
        <f>IF($A11=B$1, IF(ROW(B11)=2, "+", IF(COUNTIF(A11:$B11, "X")=0, "+", "-")), IF(MOD($A11, B$1)=0, "X", "O"))</f>
        <v>O</v>
      </c>
      <c r="C11" s="43" t="str">
        <f>IF($A11=C$1, IF(ROW(C11)=2, "+", IF(COUNTIF(B11:$B11, "X")=0, "+", "-")), IF(MOD($A11, C$1)=0, "X", "O"))</f>
        <v>O</v>
      </c>
      <c r="D11" s="43" t="str">
        <f>IF($A11=D$1, IF(ROW(D11)=2, "+", IF(COUNTIF($B11:C11, "X")=0, "+", "-")), IF(MOD($A11, D$1)=0, "X", "O"))</f>
        <v>O</v>
      </c>
      <c r="E11" s="43" t="str">
        <f>IF($A11=E$1, IF(ROW(E11)=2, "+", IF(COUNTIF($B11:D11, "X")=0, "+", "-")), IF(MOD($A11, E$1)=0, "X", "O"))</f>
        <v>O</v>
      </c>
      <c r="F11" s="43" t="str">
        <f>IF($A11=F$1, IF(ROW(F11)=2, "+", IF(COUNTIF($B11:E11, "X")=0, "+", "-")), IF(MOD($A11, F$1)=0, "X", "O"))</f>
        <v>O</v>
      </c>
      <c r="G11" s="43" t="str">
        <f>IF($A11=G$1, IF(ROW(G11)=2, "+", IF(COUNTIF($B11:F11, "X")=0, "+", "-")), IF(MOD($A11, G$1)=0, "X", "O"))</f>
        <v>O</v>
      </c>
      <c r="H11" s="43" t="str">
        <f>IF($A11=H$1, IF(ROW(H11)=2, "+", IF(COUNTIF($B11:G11, "X")=0, "+", "-")), IF(MOD($A11, H$1)=0, "X", "O"))</f>
        <v>O</v>
      </c>
      <c r="I11" s="43" t="str">
        <f>IF($A11=I$1, IF(ROW(I11)=2, "+", IF(COUNTIF($B11:H11, "X")=0, "+", "-")), IF(MOD($A11, I$1)=0, "X", "O"))</f>
        <v>O</v>
      </c>
      <c r="J11" s="43" t="str">
        <f>IF($A11=J$1, IF(ROW(J11)=2, "+", IF(COUNTIF($B11:I11, "X")=0, "+", "-")), IF(MOD($A11, J$1)=0, "X", "O"))</f>
        <v>O</v>
      </c>
      <c r="K11" s="43" t="str">
        <f>IF($A11=K$1, IF(ROW(K11)=2, "+", IF(COUNTIF($B11:J11, "X")=0, "+", "-")), IF(MOD($A11, K$1)=0, "X", "O"))</f>
        <v>+</v>
      </c>
      <c r="L11" s="43" t="str">
        <f>IF($A11=L$1, IF(ROW(L11)=2, "+", IF(COUNTIF($B11:K11, "X")=0, "+", "-")), IF(MOD($A11, L$1)=0, "X", "O"))</f>
        <v>O</v>
      </c>
      <c r="M11" s="43" t="str">
        <f>IF($A11=M$1, IF(ROW(M11)=2, "+", IF(COUNTIF($B11:L11, "X")=0, "+", "-")), IF(MOD($A11, M$1)=0, "X", "O"))</f>
        <v>O</v>
      </c>
      <c r="N11" s="43" t="str">
        <f>IF($A11=N$1, IF(ROW(N11)=2, "+", IF(COUNTIF($B11:M11, "X")=0, "+", "-")), IF(MOD($A11, N$1)=0, "X", "O"))</f>
        <v>O</v>
      </c>
      <c r="O11" s="43" t="str">
        <f>IF($A11=O$1, IF(ROW(O11)=2, "+", IF(COUNTIF($B11:N11, "X")=0, "+", "-")), IF(MOD($A11, O$1)=0, "X", "O"))</f>
        <v>O</v>
      </c>
      <c r="P11" s="43" t="str">
        <f>IF($A11=P$1, IF(ROW(P11)=2, "+", IF(COUNTIF($B11:O11, "X")=0, "+", "-")), IF(MOD($A11, P$1)=0, "X", "O"))</f>
        <v>O</v>
      </c>
      <c r="Q11" s="43" t="str">
        <f>IF($A11=Q$1, IF(ROW(Q11)=2, "+", IF(COUNTIF($B11:P11, "X")=0, "+", "-")), IF(MOD($A11, Q$1)=0, "X", "O"))</f>
        <v>O</v>
      </c>
      <c r="R11" s="43" t="str">
        <f>IF($A11=R$1, IF(ROW(R11)=2, "+", IF(COUNTIF($B11:Q11, "X")=0, "+", "-")), IF(MOD($A11, R$1)=0, "X", "O"))</f>
        <v>O</v>
      </c>
      <c r="S11" s="43" t="str">
        <f>IF($A11=S$1, IF(ROW(S11)=2, "+", IF(COUNTIF($B11:R11, "X")=0, "+", "-")), IF(MOD($A11, S$1)=0, "X", "O"))</f>
        <v>O</v>
      </c>
      <c r="T11" s="43" t="str">
        <f>IF($A11=T$1, IF(ROW(T11)=2, "+", IF(COUNTIF($B11:S11, "X")=0, "+", "-")), IF(MOD($A11, T$1)=0, "X", "O"))</f>
        <v>O</v>
      </c>
      <c r="U11" s="43" t="str">
        <f>IF($A11=U$1, IF(ROW(U11)=2, "+", IF(COUNTIF($B11:T11, "X")=0, "+", "-")), IF(MOD($A11, U$1)=0, "X", "O"))</f>
        <v>O</v>
      </c>
      <c r="V11" s="43" t="str">
        <f>IF($A11=V$1, IF(ROW(V11)=2, "+", IF(COUNTIF($B11:U11, "X")=0, "+", "-")), IF(MOD($A11, V$1)=0, "X", "O"))</f>
        <v>O</v>
      </c>
      <c r="W11" s="43" t="str">
        <f>IF($A11=W$1, IF(ROW(W11)=2, "+", IF(COUNTIF($B11:V11, "X")=0, "+", "-")), IF(MOD($A11, W$1)=0, "X", "O"))</f>
        <v>O</v>
      </c>
      <c r="X11" s="43" t="str">
        <f>IF($A11=X$1, IF(ROW(X11)=2, "+", IF(COUNTIF($B11:W11, "X")=0, "+", "-")), IF(MOD($A11, X$1)=0, "X", "O"))</f>
        <v>O</v>
      </c>
      <c r="Y11" s="43" t="str">
        <f>IF($A11=Y$1, IF(ROW(Y11)=2, "+", IF(COUNTIF($B11:X11, "X")=0, "+", "-")), IF(MOD($A11, Y$1)=0, "X", "O"))</f>
        <v>O</v>
      </c>
      <c r="Z11" s="43" t="str">
        <f>IF($A11=Z$1, IF(ROW(Z11)=2, "+", IF(COUNTIF($B11:Y11, "X")=0, "+", "-")), IF(MOD($A11, Z$1)=0, "X", "O"))</f>
        <v>O</v>
      </c>
      <c r="AA11" s="43" t="str">
        <f>IF($A11=AA$1, IF(ROW(AA11)=2, "+", IF(COUNTIF($B11:Z11, "X")=0, "+", "-")), IF(MOD($A11, AA$1)=0, "X", "O"))</f>
        <v>O</v>
      </c>
      <c r="AB11" s="43" t="str">
        <f>IF($A11=AB$1, IF(ROW(AB11)=2, "+", IF(COUNTIF($B11:AA11, "X")=0, "+", "-")), IF(MOD($A11, AB$1)=0, "X", "O"))</f>
        <v>O</v>
      </c>
      <c r="AC11" s="43" t="str">
        <f>IF($A11=AC$1, IF(ROW(AC11)=2, "+", IF(COUNTIF($B11:AB11, "X")=0, "+", "-")), IF(MOD($A11, AC$1)=0, "X", "O"))</f>
        <v>O</v>
      </c>
      <c r="AD11" s="43" t="str">
        <f>IF($A11=AD$1, IF(ROW(AD11)=2, "+", IF(COUNTIF($B11:AC11, "X")=0, "+", "-")), IF(MOD($A11, AD$1)=0, "X", "O"))</f>
        <v>O</v>
      </c>
      <c r="AE11" s="43" t="str">
        <f>IF($A11=AE$1, IF(ROW(AE11)=2, "+", IF(COUNTIF($B11:AD11, "X")=0, "+", "-")), IF(MOD($A11, AE$1)=0, "X", "O"))</f>
        <v>O</v>
      </c>
      <c r="AF11" s="43" t="str">
        <f>IF($A11=AF$1, IF(ROW(AF11)=2, "+", IF(COUNTIF($B11:AE11, "X")=0, "+", "-")), IF(MOD($A11, AF$1)=0, "X", "O"))</f>
        <v>O</v>
      </c>
      <c r="AG11" s="43" t="str">
        <f>IF($A11=AG$1, IF(ROW(AG11)=2, "+", IF(COUNTIF($B11:AF11, "X")=0, "+", "-")), IF(MOD($A11, AG$1)=0, "X", "O"))</f>
        <v>O</v>
      </c>
      <c r="AH11" s="43" t="str">
        <f>IF($A11=AH$1, IF(ROW(AH11)=2, "+", IF(COUNTIF($B11:AG11, "X")=0, "+", "-")), IF(MOD($A11, AH$1)=0, "X", "O"))</f>
        <v>O</v>
      </c>
      <c r="AI11" s="43" t="str">
        <f>IF($A11=AI$1, IF(ROW(AI11)=2, "+", IF(COUNTIF($B11:AH11, "X")=0, "+", "-")), IF(MOD($A11, AI$1)=0, "X", "O"))</f>
        <v>O</v>
      </c>
      <c r="AJ11" s="43" t="str">
        <f>IF($A11=AJ$1, IF(ROW(AJ11)=2, "+", IF(COUNTIF($B11:AI11, "X")=0, "+", "-")), IF(MOD($A11, AJ$1)=0, "X", "O"))</f>
        <v>O</v>
      </c>
      <c r="AK11" s="43" t="str">
        <f>IF($A11=AK$1, IF(ROW(AK11)=2, "+", IF(COUNTIF($B11:AJ11, "X")=0, "+", "-")), IF(MOD($A11, AK$1)=0, "X", "O"))</f>
        <v>O</v>
      </c>
      <c r="AL11" s="43" t="str">
        <f>IF($A11=AL$1, IF(ROW(AL11)=2, "+", IF(COUNTIF($B11:AK11, "X")=0, "+", "-")), IF(MOD($A11, AL$1)=0, "X", "O"))</f>
        <v>O</v>
      </c>
      <c r="AM11" s="43" t="str">
        <f>IF($A11=AM$1, IF(ROW(AM11)=2, "+", IF(COUNTIF($B11:AL11, "X")=0, "+", "-")), IF(MOD($A11, AM$1)=0, "X", "O"))</f>
        <v>O</v>
      </c>
      <c r="AN11" s="43" t="str">
        <f>IF($A11=AN$1, IF(ROW(AN11)=2, "+", IF(COUNTIF($B11:AM11, "X")=0, "+", "-")), IF(MOD($A11, AN$1)=0, "X", "O"))</f>
        <v>O</v>
      </c>
      <c r="AO11" s="43" t="str">
        <f>IF($A11=AO$1, IF(ROW(AO11)=2, "+", IF(COUNTIF($B11:AN11, "X")=0, "+", "-")), IF(MOD($A11, AO$1)=0, "X", "O"))</f>
        <v>O</v>
      </c>
      <c r="AP11" s="43" t="str">
        <f>IF($A11=AP$1, IF(ROW(AP11)=2, "+", IF(COUNTIF($B11:AO11, "X")=0, "+", "-")), IF(MOD($A11, AP$1)=0, "X", "O"))</f>
        <v>O</v>
      </c>
      <c r="AQ11" s="43" t="str">
        <f>IF($A11=AQ$1, IF(ROW(AQ11)=2, "+", IF(COUNTIF($B11:AP11, "X")=0, "+", "-")), IF(MOD($A11, AQ$1)=0, "X", "O"))</f>
        <v>O</v>
      </c>
      <c r="AR11" s="43" t="str">
        <f>IF($A11=AR$1, IF(ROW(AR11)=2, "+", IF(COUNTIF($B11:AQ11, "X")=0, "+", "-")), IF(MOD($A11, AR$1)=0, "X", "O"))</f>
        <v>O</v>
      </c>
      <c r="AS11" s="43" t="str">
        <f>IF($A11=AS$1, IF(ROW(AS11)=2, "+", IF(COUNTIF($B11:AR11, "X")=0, "+", "-")), IF(MOD($A11, AS$1)=0, "X", "O"))</f>
        <v>O</v>
      </c>
      <c r="AT11" s="43" t="str">
        <f>IF($A11=AT$1, IF(ROW(AT11)=2, "+", IF(COUNTIF($B11:AS11, "X")=0, "+", "-")), IF(MOD($A11, AT$1)=0, "X", "O"))</f>
        <v>O</v>
      </c>
      <c r="AU11" s="43" t="str">
        <f>IF($A11=AU$1, IF(ROW(AU11)=2, "+", IF(COUNTIF($B11:AT11, "X")=0, "+", "-")), IF(MOD($A11, AU$1)=0, "X", "O"))</f>
        <v>O</v>
      </c>
      <c r="AV11" s="43" t="str">
        <f>IF($A11=AV$1, IF(ROW(AV11)=2, "+", IF(COUNTIF($B11:AU11, "X")=0, "+", "-")), IF(MOD($A11, AV$1)=0, "X", "O"))</f>
        <v>O</v>
      </c>
      <c r="AW11" s="43" t="str">
        <f>IF($A11=AW$1, IF(ROW(AW11)=2, "+", IF(COUNTIF($B11:AV11, "X")=0, "+", "-")), IF(MOD($A11, AW$1)=0, "X", "O"))</f>
        <v>O</v>
      </c>
      <c r="AX11" s="43" t="str">
        <f>IF($A11=AX$1, IF(ROW(AX11)=2, "+", IF(COUNTIF($B11:AW11, "X")=0, "+", "-")), IF(MOD($A11, AX$1)=0, "X", "O"))</f>
        <v>O</v>
      </c>
      <c r="AY11" s="43" t="str">
        <f>IF($A11=AY$1, IF(ROW(AY11)=2, "+", IF(COUNTIF($B11:AX11, "X")=0, "+", "-")), IF(MOD($A11, AY$1)=0, "X", "O"))</f>
        <v>O</v>
      </c>
      <c r="AZ11" s="43" t="str">
        <f>IF($A11=AZ$1, IF(ROW(AZ11)=2, "+", IF(COUNTIF($B11:AY11, "X")=0, "+", "-")), IF(MOD($A11, AZ$1)=0, "X", "O"))</f>
        <v>O</v>
      </c>
      <c r="BA11" s="43" t="str">
        <f>IF($A11=BA$1, IF(ROW(BA11)=2, "+", IF(COUNTIF($B11:AZ11, "X")=0, "+", "-")), IF(MOD($A11, BA$1)=0, "X", "O"))</f>
        <v>O</v>
      </c>
      <c r="BB11" s="43" t="str">
        <f>IF($A11=BB$1, IF(ROW(BB11)=2, "+", IF(COUNTIF($B11:BA11, "X")=0, "+", "-")), IF(MOD($A11, BB$1)=0, "X", "O"))</f>
        <v>O</v>
      </c>
      <c r="BC11" s="43" t="str">
        <f>IF($A11=BC$1, IF(ROW(BC11)=2, "+", IF(COUNTIF($B11:BB11, "X")=0, "+", "-")), IF(MOD($A11, BC$1)=0, "X", "O"))</f>
        <v>O</v>
      </c>
      <c r="BD11" s="43" t="str">
        <f>IF($A11=BD$1, IF(ROW(BD11)=2, "+", IF(COUNTIF($B11:BC11, "X")=0, "+", "-")), IF(MOD($A11, BD$1)=0, "X", "O"))</f>
        <v>O</v>
      </c>
      <c r="BE11" s="43" t="str">
        <f>IF($A11=BE$1, IF(ROW(BE11)=2, "+", IF(COUNTIF($B11:BD11, "X")=0, "+", "-")), IF(MOD($A11, BE$1)=0, "X", "O"))</f>
        <v>O</v>
      </c>
      <c r="BF11" s="43" t="str">
        <f>IF($A11=BF$1, IF(ROW(BF11)=2, "+", IF(COUNTIF($B11:BE11, "X")=0, "+", "-")), IF(MOD($A11, BF$1)=0, "X", "O"))</f>
        <v>O</v>
      </c>
      <c r="BG11" s="43" t="str">
        <f>IF($A11=BG$1, IF(ROW(BG11)=2, "+", IF(COUNTIF($B11:BF11, "X")=0, "+", "-")), IF(MOD($A11, BG$1)=0, "X", "O"))</f>
        <v>O</v>
      </c>
      <c r="BH11" s="43" t="str">
        <f>IF($A11=BH$1, IF(ROW(BH11)=2, "+", IF(COUNTIF($B11:BG11, "X")=0, "+", "-")), IF(MOD($A11, BH$1)=0, "X", "O"))</f>
        <v>O</v>
      </c>
    </row>
    <row r="12" spans="1:62" x14ac:dyDescent="0.25">
      <c r="A12">
        <v>12</v>
      </c>
      <c r="B12" s="43" t="str">
        <f>IF($A12=B$1, IF(ROW(B12)=2, "+", IF(COUNTIF(A12:$B12, "X")=0, "+", "-")), IF(MOD($A12, B$1)=0, "X", "O"))</f>
        <v>X</v>
      </c>
      <c r="C12" s="43" t="str">
        <f>IF($A12=C$1, IF(ROW(C12)=2, "+", IF(COUNTIF(B12:$B12, "X")=0, "+", "-")), IF(MOD($A12, C$1)=0, "X", "O"))</f>
        <v>X</v>
      </c>
      <c r="D12" s="43" t="str">
        <f>IF($A12=D$1, IF(ROW(D12)=2, "+", IF(COUNTIF($B12:C12, "X")=0, "+", "-")), IF(MOD($A12, D$1)=0, "X", "O"))</f>
        <v>X</v>
      </c>
      <c r="E12" s="43" t="str">
        <f>IF($A12=E$1, IF(ROW(E12)=2, "+", IF(COUNTIF($B12:D12, "X")=0, "+", "-")), IF(MOD($A12, E$1)=0, "X", "O"))</f>
        <v>O</v>
      </c>
      <c r="F12" s="43" t="str">
        <f>IF($A12=F$1, IF(ROW(F12)=2, "+", IF(COUNTIF($B12:E12, "X")=0, "+", "-")), IF(MOD($A12, F$1)=0, "X", "O"))</f>
        <v>X</v>
      </c>
      <c r="G12" s="43" t="str">
        <f>IF($A12=G$1, IF(ROW(G12)=2, "+", IF(COUNTIF($B12:F12, "X")=0, "+", "-")), IF(MOD($A12, G$1)=0, "X", "O"))</f>
        <v>O</v>
      </c>
      <c r="H12" s="43" t="str">
        <f>IF($A12=H$1, IF(ROW(H12)=2, "+", IF(COUNTIF($B12:G12, "X")=0, "+", "-")), IF(MOD($A12, H$1)=0, "X", "O"))</f>
        <v>O</v>
      </c>
      <c r="I12" s="43" t="str">
        <f>IF($A12=I$1, IF(ROW(I12)=2, "+", IF(COUNTIF($B12:H12, "X")=0, "+", "-")), IF(MOD($A12, I$1)=0, "X", "O"))</f>
        <v>O</v>
      </c>
      <c r="J12" s="43" t="str">
        <f>IF($A12=J$1, IF(ROW(J12)=2, "+", IF(COUNTIF($B12:I12, "X")=0, "+", "-")), IF(MOD($A12, J$1)=0, "X", "O"))</f>
        <v>O</v>
      </c>
      <c r="K12" s="43" t="str">
        <f>IF($A12=K$1, IF(ROW(K12)=2, "+", IF(COUNTIF($B12:J12, "X")=0, "+", "-")), IF(MOD($A12, K$1)=0, "X", "O"))</f>
        <v>O</v>
      </c>
      <c r="L12" s="43" t="str">
        <f>IF($A12=L$1, IF(ROW(L12)=2, "+", IF(COUNTIF($B12:K12, "X")=0, "+", "-")), IF(MOD($A12, L$1)=0, "X", "O"))</f>
        <v>-</v>
      </c>
      <c r="M12" s="43" t="str">
        <f>IF($A12=M$1, IF(ROW(M12)=2, "+", IF(COUNTIF($B12:L12, "X")=0, "+", "-")), IF(MOD($A12, M$1)=0, "X", "O"))</f>
        <v>O</v>
      </c>
      <c r="N12" s="43" t="str">
        <f>IF($A12=N$1, IF(ROW(N12)=2, "+", IF(COUNTIF($B12:M12, "X")=0, "+", "-")), IF(MOD($A12, N$1)=0, "X", "O"))</f>
        <v>O</v>
      </c>
      <c r="O12" s="43" t="str">
        <f>IF($A12=O$1, IF(ROW(O12)=2, "+", IF(COUNTIF($B12:N12, "X")=0, "+", "-")), IF(MOD($A12, O$1)=0, "X", "O"))</f>
        <v>O</v>
      </c>
      <c r="P12" s="43" t="str">
        <f>IF($A12=P$1, IF(ROW(P12)=2, "+", IF(COUNTIF($B12:O12, "X")=0, "+", "-")), IF(MOD($A12, P$1)=0, "X", "O"))</f>
        <v>O</v>
      </c>
      <c r="Q12" s="43" t="str">
        <f>IF($A12=Q$1, IF(ROW(Q12)=2, "+", IF(COUNTIF($B12:P12, "X")=0, "+", "-")), IF(MOD($A12, Q$1)=0, "X", "O"))</f>
        <v>O</v>
      </c>
      <c r="R12" s="43" t="str">
        <f>IF($A12=R$1, IF(ROW(R12)=2, "+", IF(COUNTIF($B12:Q12, "X")=0, "+", "-")), IF(MOD($A12, R$1)=0, "X", "O"))</f>
        <v>O</v>
      </c>
      <c r="S12" s="43" t="str">
        <f>IF($A12=S$1, IF(ROW(S12)=2, "+", IF(COUNTIF($B12:R12, "X")=0, "+", "-")), IF(MOD($A12, S$1)=0, "X", "O"))</f>
        <v>O</v>
      </c>
      <c r="T12" s="43" t="str">
        <f>IF($A12=T$1, IF(ROW(T12)=2, "+", IF(COUNTIF($B12:S12, "X")=0, "+", "-")), IF(MOD($A12, T$1)=0, "X", "O"))</f>
        <v>O</v>
      </c>
      <c r="U12" s="43" t="str">
        <f>IF($A12=U$1, IF(ROW(U12)=2, "+", IF(COUNTIF($B12:T12, "X")=0, "+", "-")), IF(MOD($A12, U$1)=0, "X", "O"))</f>
        <v>O</v>
      </c>
      <c r="V12" s="43" t="str">
        <f>IF($A12=V$1, IF(ROW(V12)=2, "+", IF(COUNTIF($B12:U12, "X")=0, "+", "-")), IF(MOD($A12, V$1)=0, "X", "O"))</f>
        <v>O</v>
      </c>
      <c r="W12" s="43" t="str">
        <f>IF($A12=W$1, IF(ROW(W12)=2, "+", IF(COUNTIF($B12:V12, "X")=0, "+", "-")), IF(MOD($A12, W$1)=0, "X", "O"))</f>
        <v>O</v>
      </c>
      <c r="X12" s="43" t="str">
        <f>IF($A12=X$1, IF(ROW(X12)=2, "+", IF(COUNTIF($B12:W12, "X")=0, "+", "-")), IF(MOD($A12, X$1)=0, "X", "O"))</f>
        <v>O</v>
      </c>
      <c r="Y12" s="43" t="str">
        <f>IF($A12=Y$1, IF(ROW(Y12)=2, "+", IF(COUNTIF($B12:X12, "X")=0, "+", "-")), IF(MOD($A12, Y$1)=0, "X", "O"))</f>
        <v>O</v>
      </c>
      <c r="Z12" s="43" t="str">
        <f>IF($A12=Z$1, IF(ROW(Z12)=2, "+", IF(COUNTIF($B12:Y12, "X")=0, "+", "-")), IF(MOD($A12, Z$1)=0, "X", "O"))</f>
        <v>O</v>
      </c>
      <c r="AA12" s="43" t="str">
        <f>IF($A12=AA$1, IF(ROW(AA12)=2, "+", IF(COUNTIF($B12:Z12, "X")=0, "+", "-")), IF(MOD($A12, AA$1)=0, "X", "O"))</f>
        <v>O</v>
      </c>
      <c r="AB12" s="43" t="str">
        <f>IF($A12=AB$1, IF(ROW(AB12)=2, "+", IF(COUNTIF($B12:AA12, "X")=0, "+", "-")), IF(MOD($A12, AB$1)=0, "X", "O"))</f>
        <v>O</v>
      </c>
      <c r="AC12" s="43" t="str">
        <f>IF($A12=AC$1, IF(ROW(AC12)=2, "+", IF(COUNTIF($B12:AB12, "X")=0, "+", "-")), IF(MOD($A12, AC$1)=0, "X", "O"))</f>
        <v>O</v>
      </c>
      <c r="AD12" s="43" t="str">
        <f>IF($A12=AD$1, IF(ROW(AD12)=2, "+", IF(COUNTIF($B12:AC12, "X")=0, "+", "-")), IF(MOD($A12, AD$1)=0, "X", "O"))</f>
        <v>O</v>
      </c>
      <c r="AE12" s="43" t="str">
        <f>IF($A12=AE$1, IF(ROW(AE12)=2, "+", IF(COUNTIF($B12:AD12, "X")=0, "+", "-")), IF(MOD($A12, AE$1)=0, "X", "O"))</f>
        <v>O</v>
      </c>
      <c r="AF12" s="43" t="str">
        <f>IF($A12=AF$1, IF(ROW(AF12)=2, "+", IF(COUNTIF($B12:AE12, "X")=0, "+", "-")), IF(MOD($A12, AF$1)=0, "X", "O"))</f>
        <v>O</v>
      </c>
      <c r="AG12" s="43" t="str">
        <f>IF($A12=AG$1, IF(ROW(AG12)=2, "+", IF(COUNTIF($B12:AF12, "X")=0, "+", "-")), IF(MOD($A12, AG$1)=0, "X", "O"))</f>
        <v>O</v>
      </c>
      <c r="AH12" s="43" t="str">
        <f>IF($A12=AH$1, IF(ROW(AH12)=2, "+", IF(COUNTIF($B12:AG12, "X")=0, "+", "-")), IF(MOD($A12, AH$1)=0, "X", "O"))</f>
        <v>O</v>
      </c>
      <c r="AI12" s="43" t="str">
        <f>IF($A12=AI$1, IF(ROW(AI12)=2, "+", IF(COUNTIF($B12:AH12, "X")=0, "+", "-")), IF(MOD($A12, AI$1)=0, "X", "O"))</f>
        <v>O</v>
      </c>
      <c r="AJ12" s="43" t="str">
        <f>IF($A12=AJ$1, IF(ROW(AJ12)=2, "+", IF(COUNTIF($B12:AI12, "X")=0, "+", "-")), IF(MOD($A12, AJ$1)=0, "X", "O"))</f>
        <v>O</v>
      </c>
      <c r="AK12" s="43" t="str">
        <f>IF($A12=AK$1, IF(ROW(AK12)=2, "+", IF(COUNTIF($B12:AJ12, "X")=0, "+", "-")), IF(MOD($A12, AK$1)=0, "X", "O"))</f>
        <v>O</v>
      </c>
      <c r="AL12" s="43" t="str">
        <f>IF($A12=AL$1, IF(ROW(AL12)=2, "+", IF(COUNTIF($B12:AK12, "X")=0, "+", "-")), IF(MOD($A12, AL$1)=0, "X", "O"))</f>
        <v>O</v>
      </c>
      <c r="AM12" s="43" t="str">
        <f>IF($A12=AM$1, IF(ROW(AM12)=2, "+", IF(COUNTIF($B12:AL12, "X")=0, "+", "-")), IF(MOD($A12, AM$1)=0, "X", "O"))</f>
        <v>O</v>
      </c>
      <c r="AN12" s="43" t="str">
        <f>IF($A12=AN$1, IF(ROW(AN12)=2, "+", IF(COUNTIF($B12:AM12, "X")=0, "+", "-")), IF(MOD($A12, AN$1)=0, "X", "O"))</f>
        <v>O</v>
      </c>
      <c r="AO12" s="43" t="str">
        <f>IF($A12=AO$1, IF(ROW(AO12)=2, "+", IF(COUNTIF($B12:AN12, "X")=0, "+", "-")), IF(MOD($A12, AO$1)=0, "X", "O"))</f>
        <v>O</v>
      </c>
      <c r="AP12" s="43" t="str">
        <f>IF($A12=AP$1, IF(ROW(AP12)=2, "+", IF(COUNTIF($B12:AO12, "X")=0, "+", "-")), IF(MOD($A12, AP$1)=0, "X", "O"))</f>
        <v>O</v>
      </c>
      <c r="AQ12" s="43" t="str">
        <f>IF($A12=AQ$1, IF(ROW(AQ12)=2, "+", IF(COUNTIF($B12:AP12, "X")=0, "+", "-")), IF(MOD($A12, AQ$1)=0, "X", "O"))</f>
        <v>O</v>
      </c>
      <c r="AR12" s="43" t="str">
        <f>IF($A12=AR$1, IF(ROW(AR12)=2, "+", IF(COUNTIF($B12:AQ12, "X")=0, "+", "-")), IF(MOD($A12, AR$1)=0, "X", "O"))</f>
        <v>O</v>
      </c>
      <c r="AS12" s="43" t="str">
        <f>IF($A12=AS$1, IF(ROW(AS12)=2, "+", IF(COUNTIF($B12:AR12, "X")=0, "+", "-")), IF(MOD($A12, AS$1)=0, "X", "O"))</f>
        <v>O</v>
      </c>
      <c r="AT12" s="43" t="str">
        <f>IF($A12=AT$1, IF(ROW(AT12)=2, "+", IF(COUNTIF($B12:AS12, "X")=0, "+", "-")), IF(MOD($A12, AT$1)=0, "X", "O"))</f>
        <v>O</v>
      </c>
      <c r="AU12" s="43" t="str">
        <f>IF($A12=AU$1, IF(ROW(AU12)=2, "+", IF(COUNTIF($B12:AT12, "X")=0, "+", "-")), IF(MOD($A12, AU$1)=0, "X", "O"))</f>
        <v>O</v>
      </c>
      <c r="AV12" s="43" t="str">
        <f>IF($A12=AV$1, IF(ROW(AV12)=2, "+", IF(COUNTIF($B12:AU12, "X")=0, "+", "-")), IF(MOD($A12, AV$1)=0, "X", "O"))</f>
        <v>O</v>
      </c>
      <c r="AW12" s="43" t="str">
        <f>IF($A12=AW$1, IF(ROW(AW12)=2, "+", IF(COUNTIF($B12:AV12, "X")=0, "+", "-")), IF(MOD($A12, AW$1)=0, "X", "O"))</f>
        <v>O</v>
      </c>
      <c r="AX12" s="43" t="str">
        <f>IF($A12=AX$1, IF(ROW(AX12)=2, "+", IF(COUNTIF($B12:AW12, "X")=0, "+", "-")), IF(MOD($A12, AX$1)=0, "X", "O"))</f>
        <v>O</v>
      </c>
      <c r="AY12" s="43" t="str">
        <f>IF($A12=AY$1, IF(ROW(AY12)=2, "+", IF(COUNTIF($B12:AX12, "X")=0, "+", "-")), IF(MOD($A12, AY$1)=0, "X", "O"))</f>
        <v>O</v>
      </c>
      <c r="AZ12" s="43" t="str">
        <f>IF($A12=AZ$1, IF(ROW(AZ12)=2, "+", IF(COUNTIF($B12:AY12, "X")=0, "+", "-")), IF(MOD($A12, AZ$1)=0, "X", "O"))</f>
        <v>O</v>
      </c>
      <c r="BA12" s="43" t="str">
        <f>IF($A12=BA$1, IF(ROW(BA12)=2, "+", IF(COUNTIF($B12:AZ12, "X")=0, "+", "-")), IF(MOD($A12, BA$1)=0, "X", "O"))</f>
        <v>O</v>
      </c>
      <c r="BB12" s="43" t="str">
        <f>IF($A12=BB$1, IF(ROW(BB12)=2, "+", IF(COUNTIF($B12:BA12, "X")=0, "+", "-")), IF(MOD($A12, BB$1)=0, "X", "O"))</f>
        <v>O</v>
      </c>
      <c r="BC12" s="43" t="str">
        <f>IF($A12=BC$1, IF(ROW(BC12)=2, "+", IF(COUNTIF($B12:BB12, "X")=0, "+", "-")), IF(MOD($A12, BC$1)=0, "X", "O"))</f>
        <v>O</v>
      </c>
      <c r="BD12" s="43" t="str">
        <f>IF($A12=BD$1, IF(ROW(BD12)=2, "+", IF(COUNTIF($B12:BC12, "X")=0, "+", "-")), IF(MOD($A12, BD$1)=0, "X", "O"))</f>
        <v>O</v>
      </c>
      <c r="BE12" s="43" t="str">
        <f>IF($A12=BE$1, IF(ROW(BE12)=2, "+", IF(COUNTIF($B12:BD12, "X")=0, "+", "-")), IF(MOD($A12, BE$1)=0, "X", "O"))</f>
        <v>O</v>
      </c>
      <c r="BF12" s="43" t="str">
        <f>IF($A12=BF$1, IF(ROW(BF12)=2, "+", IF(COUNTIF($B12:BE12, "X")=0, "+", "-")), IF(MOD($A12, BF$1)=0, "X", "O"))</f>
        <v>O</v>
      </c>
      <c r="BG12" s="43" t="str">
        <f>IF($A12=BG$1, IF(ROW(BG12)=2, "+", IF(COUNTIF($B12:BF12, "X")=0, "+", "-")), IF(MOD($A12, BG$1)=0, "X", "O"))</f>
        <v>O</v>
      </c>
      <c r="BH12" s="43" t="str">
        <f>IF($A12=BH$1, IF(ROW(BH12)=2, "+", IF(COUNTIF($B12:BG12, "X")=0, "+", "-")), IF(MOD($A12, BH$1)=0, "X", "O"))</f>
        <v>O</v>
      </c>
    </row>
    <row r="13" spans="1:62" x14ac:dyDescent="0.25">
      <c r="A13">
        <v>13</v>
      </c>
      <c r="B13" s="43" t="str">
        <f>IF($A13=B$1, IF(ROW(B13)=2, "+", IF(COUNTIF(A13:$B13, "X")=0, "+", "-")), IF(MOD($A13, B$1)=0, "X", "O"))</f>
        <v>O</v>
      </c>
      <c r="C13" s="43" t="str">
        <f>IF($A13=C$1, IF(ROW(C13)=2, "+", IF(COUNTIF(B13:$B13, "X")=0, "+", "-")), IF(MOD($A13, C$1)=0, "X", "O"))</f>
        <v>O</v>
      </c>
      <c r="D13" s="43" t="str">
        <f>IF($A13=D$1, IF(ROW(D13)=2, "+", IF(COUNTIF($B13:C13, "X")=0, "+", "-")), IF(MOD($A13, D$1)=0, "X", "O"))</f>
        <v>O</v>
      </c>
      <c r="E13" s="43" t="str">
        <f>IF($A13=E$1, IF(ROW(E13)=2, "+", IF(COUNTIF($B13:D13, "X")=0, "+", "-")), IF(MOD($A13, E$1)=0, "X", "O"))</f>
        <v>O</v>
      </c>
      <c r="F13" s="43" t="str">
        <f>IF($A13=F$1, IF(ROW(F13)=2, "+", IF(COUNTIF($B13:E13, "X")=0, "+", "-")), IF(MOD($A13, F$1)=0, "X", "O"))</f>
        <v>O</v>
      </c>
      <c r="G13" s="43" t="str">
        <f>IF($A13=G$1, IF(ROW(G13)=2, "+", IF(COUNTIF($B13:F13, "X")=0, "+", "-")), IF(MOD($A13, G$1)=0, "X", "O"))</f>
        <v>O</v>
      </c>
      <c r="H13" s="43" t="str">
        <f>IF($A13=H$1, IF(ROW(H13)=2, "+", IF(COUNTIF($B13:G13, "X")=0, "+", "-")), IF(MOD($A13, H$1)=0, "X", "O"))</f>
        <v>O</v>
      </c>
      <c r="I13" s="43" t="str">
        <f>IF($A13=I$1, IF(ROW(I13)=2, "+", IF(COUNTIF($B13:H13, "X")=0, "+", "-")), IF(MOD($A13, I$1)=0, "X", "O"))</f>
        <v>O</v>
      </c>
      <c r="J13" s="43" t="str">
        <f>IF($A13=J$1, IF(ROW(J13)=2, "+", IF(COUNTIF($B13:I13, "X")=0, "+", "-")), IF(MOD($A13, J$1)=0, "X", "O"))</f>
        <v>O</v>
      </c>
      <c r="K13" s="43" t="str">
        <f>IF($A13=K$1, IF(ROW(K13)=2, "+", IF(COUNTIF($B13:J13, "X")=0, "+", "-")), IF(MOD($A13, K$1)=0, "X", "O"))</f>
        <v>O</v>
      </c>
      <c r="L13" s="43" t="str">
        <f>IF($A13=L$1, IF(ROW(L13)=2, "+", IF(COUNTIF($B13:K13, "X")=0, "+", "-")), IF(MOD($A13, L$1)=0, "X", "O"))</f>
        <v>O</v>
      </c>
      <c r="M13" s="43" t="str">
        <f>IF($A13=M$1, IF(ROW(M13)=2, "+", IF(COUNTIF($B13:L13, "X")=0, "+", "-")), IF(MOD($A13, M$1)=0, "X", "O"))</f>
        <v>+</v>
      </c>
      <c r="N13" s="43" t="str">
        <f>IF($A13=N$1, IF(ROW(N13)=2, "+", IF(COUNTIF($B13:M13, "X")=0, "+", "-")), IF(MOD($A13, N$1)=0, "X", "O"))</f>
        <v>O</v>
      </c>
      <c r="O13" s="43" t="str">
        <f>IF($A13=O$1, IF(ROW(O13)=2, "+", IF(COUNTIF($B13:N13, "X")=0, "+", "-")), IF(MOD($A13, O$1)=0, "X", "O"))</f>
        <v>O</v>
      </c>
      <c r="P13" s="43" t="str">
        <f>IF($A13=P$1, IF(ROW(P13)=2, "+", IF(COUNTIF($B13:O13, "X")=0, "+", "-")), IF(MOD($A13, P$1)=0, "X", "O"))</f>
        <v>O</v>
      </c>
      <c r="Q13" s="43" t="str">
        <f>IF($A13=Q$1, IF(ROW(Q13)=2, "+", IF(COUNTIF($B13:P13, "X")=0, "+", "-")), IF(MOD($A13, Q$1)=0, "X", "O"))</f>
        <v>O</v>
      </c>
      <c r="R13" s="43" t="str">
        <f>IF($A13=R$1, IF(ROW(R13)=2, "+", IF(COUNTIF($B13:Q13, "X")=0, "+", "-")), IF(MOD($A13, R$1)=0, "X", "O"))</f>
        <v>O</v>
      </c>
      <c r="S13" s="43" t="str">
        <f>IF($A13=S$1, IF(ROW(S13)=2, "+", IF(COUNTIF($B13:R13, "X")=0, "+", "-")), IF(MOD($A13, S$1)=0, "X", "O"))</f>
        <v>O</v>
      </c>
      <c r="T13" s="43" t="str">
        <f>IF($A13=T$1, IF(ROW(T13)=2, "+", IF(COUNTIF($B13:S13, "X")=0, "+", "-")), IF(MOD($A13, T$1)=0, "X", "O"))</f>
        <v>O</v>
      </c>
      <c r="U13" s="43" t="str">
        <f>IF($A13=U$1, IF(ROW(U13)=2, "+", IF(COUNTIF($B13:T13, "X")=0, "+", "-")), IF(MOD($A13, U$1)=0, "X", "O"))</f>
        <v>O</v>
      </c>
      <c r="V13" s="43" t="str">
        <f>IF($A13=V$1, IF(ROW(V13)=2, "+", IF(COUNTIF($B13:U13, "X")=0, "+", "-")), IF(MOD($A13, V$1)=0, "X", "O"))</f>
        <v>O</v>
      </c>
      <c r="W13" s="43" t="str">
        <f>IF($A13=W$1, IF(ROW(W13)=2, "+", IF(COUNTIF($B13:V13, "X")=0, "+", "-")), IF(MOD($A13, W$1)=0, "X", "O"))</f>
        <v>O</v>
      </c>
      <c r="X13" s="43" t="str">
        <f>IF($A13=X$1, IF(ROW(X13)=2, "+", IF(COUNTIF($B13:W13, "X")=0, "+", "-")), IF(MOD($A13, X$1)=0, "X", "O"))</f>
        <v>O</v>
      </c>
      <c r="Y13" s="43" t="str">
        <f>IF($A13=Y$1, IF(ROW(Y13)=2, "+", IF(COUNTIF($B13:X13, "X")=0, "+", "-")), IF(MOD($A13, Y$1)=0, "X", "O"))</f>
        <v>O</v>
      </c>
      <c r="Z13" s="43" t="str">
        <f>IF($A13=Z$1, IF(ROW(Z13)=2, "+", IF(COUNTIF($B13:Y13, "X")=0, "+", "-")), IF(MOD($A13, Z$1)=0, "X", "O"))</f>
        <v>O</v>
      </c>
      <c r="AA13" s="43" t="str">
        <f>IF($A13=AA$1, IF(ROW(AA13)=2, "+", IF(COUNTIF($B13:Z13, "X")=0, "+", "-")), IF(MOD($A13, AA$1)=0, "X", "O"))</f>
        <v>O</v>
      </c>
      <c r="AB13" s="43" t="str">
        <f>IF($A13=AB$1, IF(ROW(AB13)=2, "+", IF(COUNTIF($B13:AA13, "X")=0, "+", "-")), IF(MOD($A13, AB$1)=0, "X", "O"))</f>
        <v>O</v>
      </c>
      <c r="AC13" s="43" t="str">
        <f>IF($A13=AC$1, IF(ROW(AC13)=2, "+", IF(COUNTIF($B13:AB13, "X")=0, "+", "-")), IF(MOD($A13, AC$1)=0, "X", "O"))</f>
        <v>O</v>
      </c>
      <c r="AD13" s="43" t="str">
        <f>IF($A13=AD$1, IF(ROW(AD13)=2, "+", IF(COUNTIF($B13:AC13, "X")=0, "+", "-")), IF(MOD($A13, AD$1)=0, "X", "O"))</f>
        <v>O</v>
      </c>
      <c r="AE13" s="43" t="str">
        <f>IF($A13=AE$1, IF(ROW(AE13)=2, "+", IF(COUNTIF($B13:AD13, "X")=0, "+", "-")), IF(MOD($A13, AE$1)=0, "X", "O"))</f>
        <v>O</v>
      </c>
      <c r="AF13" s="43" t="str">
        <f>IF($A13=AF$1, IF(ROW(AF13)=2, "+", IF(COUNTIF($B13:AE13, "X")=0, "+", "-")), IF(MOD($A13, AF$1)=0, "X", "O"))</f>
        <v>O</v>
      </c>
      <c r="AG13" s="43" t="str">
        <f>IF($A13=AG$1, IF(ROW(AG13)=2, "+", IF(COUNTIF($B13:AF13, "X")=0, "+", "-")), IF(MOD($A13, AG$1)=0, "X", "O"))</f>
        <v>O</v>
      </c>
      <c r="AH13" s="43" t="str">
        <f>IF($A13=AH$1, IF(ROW(AH13)=2, "+", IF(COUNTIF($B13:AG13, "X")=0, "+", "-")), IF(MOD($A13, AH$1)=0, "X", "O"))</f>
        <v>O</v>
      </c>
      <c r="AI13" s="43" t="str">
        <f>IF($A13=AI$1, IF(ROW(AI13)=2, "+", IF(COUNTIF($B13:AH13, "X")=0, "+", "-")), IF(MOD($A13, AI$1)=0, "X", "O"))</f>
        <v>O</v>
      </c>
      <c r="AJ13" s="43" t="str">
        <f>IF($A13=AJ$1, IF(ROW(AJ13)=2, "+", IF(COUNTIF($B13:AI13, "X")=0, "+", "-")), IF(MOD($A13, AJ$1)=0, "X", "O"))</f>
        <v>O</v>
      </c>
      <c r="AK13" s="43" t="str">
        <f>IF($A13=AK$1, IF(ROW(AK13)=2, "+", IF(COUNTIF($B13:AJ13, "X")=0, "+", "-")), IF(MOD($A13, AK$1)=0, "X", "O"))</f>
        <v>O</v>
      </c>
      <c r="AL13" s="43" t="str">
        <f>IF($A13=AL$1, IF(ROW(AL13)=2, "+", IF(COUNTIF($B13:AK13, "X")=0, "+", "-")), IF(MOD($A13, AL$1)=0, "X", "O"))</f>
        <v>O</v>
      </c>
      <c r="AM13" s="43" t="str">
        <f>IF($A13=AM$1, IF(ROW(AM13)=2, "+", IF(COUNTIF($B13:AL13, "X")=0, "+", "-")), IF(MOD($A13, AM$1)=0, "X", "O"))</f>
        <v>O</v>
      </c>
      <c r="AN13" s="43" t="str">
        <f>IF($A13=AN$1, IF(ROW(AN13)=2, "+", IF(COUNTIF($B13:AM13, "X")=0, "+", "-")), IF(MOD($A13, AN$1)=0, "X", "O"))</f>
        <v>O</v>
      </c>
      <c r="AO13" s="43" t="str">
        <f>IF($A13=AO$1, IF(ROW(AO13)=2, "+", IF(COUNTIF($B13:AN13, "X")=0, "+", "-")), IF(MOD($A13, AO$1)=0, "X", "O"))</f>
        <v>O</v>
      </c>
      <c r="AP13" s="43" t="str">
        <f>IF($A13=AP$1, IF(ROW(AP13)=2, "+", IF(COUNTIF($B13:AO13, "X")=0, "+", "-")), IF(MOD($A13, AP$1)=0, "X", "O"))</f>
        <v>O</v>
      </c>
      <c r="AQ13" s="43" t="str">
        <f>IF($A13=AQ$1, IF(ROW(AQ13)=2, "+", IF(COUNTIF($B13:AP13, "X")=0, "+", "-")), IF(MOD($A13, AQ$1)=0, "X", "O"))</f>
        <v>O</v>
      </c>
      <c r="AR13" s="43" t="str">
        <f>IF($A13=AR$1, IF(ROW(AR13)=2, "+", IF(COUNTIF($B13:AQ13, "X")=0, "+", "-")), IF(MOD($A13, AR$1)=0, "X", "O"))</f>
        <v>O</v>
      </c>
      <c r="AS13" s="43" t="str">
        <f>IF($A13=AS$1, IF(ROW(AS13)=2, "+", IF(COUNTIF($B13:AR13, "X")=0, "+", "-")), IF(MOD($A13, AS$1)=0, "X", "O"))</f>
        <v>O</v>
      </c>
      <c r="AT13" s="43" t="str">
        <f>IF($A13=AT$1, IF(ROW(AT13)=2, "+", IF(COUNTIF($B13:AS13, "X")=0, "+", "-")), IF(MOD($A13, AT$1)=0, "X", "O"))</f>
        <v>O</v>
      </c>
      <c r="AU13" s="43" t="str">
        <f>IF($A13=AU$1, IF(ROW(AU13)=2, "+", IF(COUNTIF($B13:AT13, "X")=0, "+", "-")), IF(MOD($A13, AU$1)=0, "X", "O"))</f>
        <v>O</v>
      </c>
      <c r="AV13" s="43" t="str">
        <f>IF($A13=AV$1, IF(ROW(AV13)=2, "+", IF(COUNTIF($B13:AU13, "X")=0, "+", "-")), IF(MOD($A13, AV$1)=0, "X", "O"))</f>
        <v>O</v>
      </c>
      <c r="AW13" s="43" t="str">
        <f>IF($A13=AW$1, IF(ROW(AW13)=2, "+", IF(COUNTIF($B13:AV13, "X")=0, "+", "-")), IF(MOD($A13, AW$1)=0, "X", "O"))</f>
        <v>O</v>
      </c>
      <c r="AX13" s="43" t="str">
        <f>IF($A13=AX$1, IF(ROW(AX13)=2, "+", IF(COUNTIF($B13:AW13, "X")=0, "+", "-")), IF(MOD($A13, AX$1)=0, "X", "O"))</f>
        <v>O</v>
      </c>
      <c r="AY13" s="43" t="str">
        <f>IF($A13=AY$1, IF(ROW(AY13)=2, "+", IF(COUNTIF($B13:AX13, "X")=0, "+", "-")), IF(MOD($A13, AY$1)=0, "X", "O"))</f>
        <v>O</v>
      </c>
      <c r="AZ13" s="43" t="str">
        <f>IF($A13=AZ$1, IF(ROW(AZ13)=2, "+", IF(COUNTIF($B13:AY13, "X")=0, "+", "-")), IF(MOD($A13, AZ$1)=0, "X", "O"))</f>
        <v>O</v>
      </c>
      <c r="BA13" s="43" t="str">
        <f>IF($A13=BA$1, IF(ROW(BA13)=2, "+", IF(COUNTIF($B13:AZ13, "X")=0, "+", "-")), IF(MOD($A13, BA$1)=0, "X", "O"))</f>
        <v>O</v>
      </c>
      <c r="BB13" s="43" t="str">
        <f>IF($A13=BB$1, IF(ROW(BB13)=2, "+", IF(COUNTIF($B13:BA13, "X")=0, "+", "-")), IF(MOD($A13, BB$1)=0, "X", "O"))</f>
        <v>O</v>
      </c>
      <c r="BC13" s="43" t="str">
        <f>IF($A13=BC$1, IF(ROW(BC13)=2, "+", IF(COUNTIF($B13:BB13, "X")=0, "+", "-")), IF(MOD($A13, BC$1)=0, "X", "O"))</f>
        <v>O</v>
      </c>
      <c r="BD13" s="43" t="str">
        <f>IF($A13=BD$1, IF(ROW(BD13)=2, "+", IF(COUNTIF($B13:BC13, "X")=0, "+", "-")), IF(MOD($A13, BD$1)=0, "X", "O"))</f>
        <v>O</v>
      </c>
      <c r="BE13" s="43" t="str">
        <f>IF($A13=BE$1, IF(ROW(BE13)=2, "+", IF(COUNTIF($B13:BD13, "X")=0, "+", "-")), IF(MOD($A13, BE$1)=0, "X", "O"))</f>
        <v>O</v>
      </c>
      <c r="BF13" s="43" t="str">
        <f>IF($A13=BF$1, IF(ROW(BF13)=2, "+", IF(COUNTIF($B13:BE13, "X")=0, "+", "-")), IF(MOD($A13, BF$1)=0, "X", "O"))</f>
        <v>O</v>
      </c>
      <c r="BG13" s="43" t="str">
        <f>IF($A13=BG$1, IF(ROW(BG13)=2, "+", IF(COUNTIF($B13:BF13, "X")=0, "+", "-")), IF(MOD($A13, BG$1)=0, "X", "O"))</f>
        <v>O</v>
      </c>
      <c r="BH13" s="43" t="str">
        <f>IF($A13=BH$1, IF(ROW(BH13)=2, "+", IF(COUNTIF($B13:BG13, "X")=0, "+", "-")), IF(MOD($A13, BH$1)=0, "X", "O"))</f>
        <v>O</v>
      </c>
    </row>
    <row r="14" spans="1:62" x14ac:dyDescent="0.25">
      <c r="A14">
        <v>14</v>
      </c>
      <c r="B14" s="43" t="str">
        <f>IF($A14=B$1, IF(ROW(B14)=2, "+", IF(COUNTIF(A14:$B14, "X")=0, "+", "-")), IF(MOD($A14, B$1)=0, "X", "O"))</f>
        <v>X</v>
      </c>
      <c r="C14" s="43" t="str">
        <f>IF($A14=C$1, IF(ROW(C14)=2, "+", IF(COUNTIF(B14:$B14, "X")=0, "+", "-")), IF(MOD($A14, C$1)=0, "X", "O"))</f>
        <v>O</v>
      </c>
      <c r="D14" s="43" t="str">
        <f>IF($A14=D$1, IF(ROW(D14)=2, "+", IF(COUNTIF($B14:C14, "X")=0, "+", "-")), IF(MOD($A14, D$1)=0, "X", "O"))</f>
        <v>O</v>
      </c>
      <c r="E14" s="43" t="str">
        <f>IF($A14=E$1, IF(ROW(E14)=2, "+", IF(COUNTIF($B14:D14, "X")=0, "+", "-")), IF(MOD($A14, E$1)=0, "X", "O"))</f>
        <v>O</v>
      </c>
      <c r="F14" s="43" t="str">
        <f>IF($A14=F$1, IF(ROW(F14)=2, "+", IF(COUNTIF($B14:E14, "X")=0, "+", "-")), IF(MOD($A14, F$1)=0, "X", "O"))</f>
        <v>O</v>
      </c>
      <c r="G14" s="43" t="str">
        <f>IF($A14=G$1, IF(ROW(G14)=2, "+", IF(COUNTIF($B14:F14, "X")=0, "+", "-")), IF(MOD($A14, G$1)=0, "X", "O"))</f>
        <v>X</v>
      </c>
      <c r="H14" s="43" t="str">
        <f>IF($A14=H$1, IF(ROW(H14)=2, "+", IF(COUNTIF($B14:G14, "X")=0, "+", "-")), IF(MOD($A14, H$1)=0, "X", "O"))</f>
        <v>O</v>
      </c>
      <c r="I14" s="43" t="str">
        <f>IF($A14=I$1, IF(ROW(I14)=2, "+", IF(COUNTIF($B14:H14, "X")=0, "+", "-")), IF(MOD($A14, I$1)=0, "X", "O"))</f>
        <v>O</v>
      </c>
      <c r="J14" s="43" t="str">
        <f>IF($A14=J$1, IF(ROW(J14)=2, "+", IF(COUNTIF($B14:I14, "X")=0, "+", "-")), IF(MOD($A14, J$1)=0, "X", "O"))</f>
        <v>O</v>
      </c>
      <c r="K14" s="43" t="str">
        <f>IF($A14=K$1, IF(ROW(K14)=2, "+", IF(COUNTIF($B14:J14, "X")=0, "+", "-")), IF(MOD($A14, K$1)=0, "X", "O"))</f>
        <v>O</v>
      </c>
      <c r="L14" s="43" t="str">
        <f>IF($A14=L$1, IF(ROW(L14)=2, "+", IF(COUNTIF($B14:K14, "X")=0, "+", "-")), IF(MOD($A14, L$1)=0, "X", "O"))</f>
        <v>O</v>
      </c>
      <c r="M14" s="43" t="str">
        <f>IF($A14=M$1, IF(ROW(M14)=2, "+", IF(COUNTIF($B14:L14, "X")=0, "+", "-")), IF(MOD($A14, M$1)=0, "X", "O"))</f>
        <v>O</v>
      </c>
      <c r="N14" s="43" t="str">
        <f>IF($A14=N$1, IF(ROW(N14)=2, "+", IF(COUNTIF($B14:M14, "X")=0, "+", "-")), IF(MOD($A14, N$1)=0, "X", "O"))</f>
        <v>-</v>
      </c>
      <c r="O14" s="43" t="str">
        <f>IF($A14=O$1, IF(ROW(O14)=2, "+", IF(COUNTIF($B14:N14, "X")=0, "+", "-")), IF(MOD($A14, O$1)=0, "X", "O"))</f>
        <v>O</v>
      </c>
      <c r="P14" s="43" t="str">
        <f>IF($A14=P$1, IF(ROW(P14)=2, "+", IF(COUNTIF($B14:O14, "X")=0, "+", "-")), IF(MOD($A14, P$1)=0, "X", "O"))</f>
        <v>O</v>
      </c>
      <c r="Q14" s="43" t="str">
        <f>IF($A14=Q$1, IF(ROW(Q14)=2, "+", IF(COUNTIF($B14:P14, "X")=0, "+", "-")), IF(MOD($A14, Q$1)=0, "X", "O"))</f>
        <v>O</v>
      </c>
      <c r="R14" s="43" t="str">
        <f>IF($A14=R$1, IF(ROW(R14)=2, "+", IF(COUNTIF($B14:Q14, "X")=0, "+", "-")), IF(MOD($A14, R$1)=0, "X", "O"))</f>
        <v>O</v>
      </c>
      <c r="S14" s="43" t="str">
        <f>IF($A14=S$1, IF(ROW(S14)=2, "+", IF(COUNTIF($B14:R14, "X")=0, "+", "-")), IF(MOD($A14, S$1)=0, "X", "O"))</f>
        <v>O</v>
      </c>
      <c r="T14" s="43" t="str">
        <f>IF($A14=T$1, IF(ROW(T14)=2, "+", IF(COUNTIF($B14:S14, "X")=0, "+", "-")), IF(MOD($A14, T$1)=0, "X", "O"))</f>
        <v>O</v>
      </c>
      <c r="U14" s="43" t="str">
        <f>IF($A14=U$1, IF(ROW(U14)=2, "+", IF(COUNTIF($B14:T14, "X")=0, "+", "-")), IF(MOD($A14, U$1)=0, "X", "O"))</f>
        <v>O</v>
      </c>
      <c r="V14" s="43" t="str">
        <f>IF($A14=V$1, IF(ROW(V14)=2, "+", IF(COUNTIF($B14:U14, "X")=0, "+", "-")), IF(MOD($A14, V$1)=0, "X", "O"))</f>
        <v>O</v>
      </c>
      <c r="W14" s="43" t="str">
        <f>IF($A14=W$1, IF(ROW(W14)=2, "+", IF(COUNTIF($B14:V14, "X")=0, "+", "-")), IF(MOD($A14, W$1)=0, "X", "O"))</f>
        <v>O</v>
      </c>
      <c r="X14" s="43" t="str">
        <f>IF($A14=X$1, IF(ROW(X14)=2, "+", IF(COUNTIF($B14:W14, "X")=0, "+", "-")), IF(MOD($A14, X$1)=0, "X", "O"))</f>
        <v>O</v>
      </c>
      <c r="Y14" s="43" t="str">
        <f>IF($A14=Y$1, IF(ROW(Y14)=2, "+", IF(COUNTIF($B14:X14, "X")=0, "+", "-")), IF(MOD($A14, Y$1)=0, "X", "O"))</f>
        <v>O</v>
      </c>
      <c r="Z14" s="43" t="str">
        <f>IF($A14=Z$1, IF(ROW(Z14)=2, "+", IF(COUNTIF($B14:Y14, "X")=0, "+", "-")), IF(MOD($A14, Z$1)=0, "X", "O"))</f>
        <v>O</v>
      </c>
      <c r="AA14" s="43" t="str">
        <f>IF($A14=AA$1, IF(ROW(AA14)=2, "+", IF(COUNTIF($B14:Z14, "X")=0, "+", "-")), IF(MOD($A14, AA$1)=0, "X", "O"))</f>
        <v>O</v>
      </c>
      <c r="AB14" s="43" t="str">
        <f>IF($A14=AB$1, IF(ROW(AB14)=2, "+", IF(COUNTIF($B14:AA14, "X")=0, "+", "-")), IF(MOD($A14, AB$1)=0, "X", "O"))</f>
        <v>O</v>
      </c>
      <c r="AC14" s="43" t="str">
        <f>IF($A14=AC$1, IF(ROW(AC14)=2, "+", IF(COUNTIF($B14:AB14, "X")=0, "+", "-")), IF(MOD($A14, AC$1)=0, "X", "O"))</f>
        <v>O</v>
      </c>
      <c r="AD14" s="43" t="str">
        <f>IF($A14=AD$1, IF(ROW(AD14)=2, "+", IF(COUNTIF($B14:AC14, "X")=0, "+", "-")), IF(MOD($A14, AD$1)=0, "X", "O"))</f>
        <v>O</v>
      </c>
      <c r="AE14" s="43" t="str">
        <f>IF($A14=AE$1, IF(ROW(AE14)=2, "+", IF(COUNTIF($B14:AD14, "X")=0, "+", "-")), IF(MOD($A14, AE$1)=0, "X", "O"))</f>
        <v>O</v>
      </c>
      <c r="AF14" s="43" t="str">
        <f>IF($A14=AF$1, IF(ROW(AF14)=2, "+", IF(COUNTIF($B14:AE14, "X")=0, "+", "-")), IF(MOD($A14, AF$1)=0, "X", "O"))</f>
        <v>O</v>
      </c>
      <c r="AG14" s="43" t="str">
        <f>IF($A14=AG$1, IF(ROW(AG14)=2, "+", IF(COUNTIF($B14:AF14, "X")=0, "+", "-")), IF(MOD($A14, AG$1)=0, "X", "O"))</f>
        <v>O</v>
      </c>
      <c r="AH14" s="43" t="str">
        <f>IF($A14=AH$1, IF(ROW(AH14)=2, "+", IF(COUNTIF($B14:AG14, "X")=0, "+", "-")), IF(MOD($A14, AH$1)=0, "X", "O"))</f>
        <v>O</v>
      </c>
      <c r="AI14" s="43" t="str">
        <f>IF($A14=AI$1, IF(ROW(AI14)=2, "+", IF(COUNTIF($B14:AH14, "X")=0, "+", "-")), IF(MOD($A14, AI$1)=0, "X", "O"))</f>
        <v>O</v>
      </c>
      <c r="AJ14" s="43" t="str">
        <f>IF($A14=AJ$1, IF(ROW(AJ14)=2, "+", IF(COUNTIF($B14:AI14, "X")=0, "+", "-")), IF(MOD($A14, AJ$1)=0, "X", "O"))</f>
        <v>O</v>
      </c>
      <c r="AK14" s="43" t="str">
        <f>IF($A14=AK$1, IF(ROW(AK14)=2, "+", IF(COUNTIF($B14:AJ14, "X")=0, "+", "-")), IF(MOD($A14, AK$1)=0, "X", "O"))</f>
        <v>O</v>
      </c>
      <c r="AL14" s="43" t="str">
        <f>IF($A14=AL$1, IF(ROW(AL14)=2, "+", IF(COUNTIF($B14:AK14, "X")=0, "+", "-")), IF(MOD($A14, AL$1)=0, "X", "O"))</f>
        <v>O</v>
      </c>
      <c r="AM14" s="43" t="str">
        <f>IF($A14=AM$1, IF(ROW(AM14)=2, "+", IF(COUNTIF($B14:AL14, "X")=0, "+", "-")), IF(MOD($A14, AM$1)=0, "X", "O"))</f>
        <v>O</v>
      </c>
      <c r="AN14" s="43" t="str">
        <f>IF($A14=AN$1, IF(ROW(AN14)=2, "+", IF(COUNTIF($B14:AM14, "X")=0, "+", "-")), IF(MOD($A14, AN$1)=0, "X", "O"))</f>
        <v>O</v>
      </c>
      <c r="AO14" s="43" t="str">
        <f>IF($A14=AO$1, IF(ROW(AO14)=2, "+", IF(COUNTIF($B14:AN14, "X")=0, "+", "-")), IF(MOD($A14, AO$1)=0, "X", "O"))</f>
        <v>O</v>
      </c>
      <c r="AP14" s="43" t="str">
        <f>IF($A14=AP$1, IF(ROW(AP14)=2, "+", IF(COUNTIF($B14:AO14, "X")=0, "+", "-")), IF(MOD($A14, AP$1)=0, "X", "O"))</f>
        <v>O</v>
      </c>
      <c r="AQ14" s="43" t="str">
        <f>IF($A14=AQ$1, IF(ROW(AQ14)=2, "+", IF(COUNTIF($B14:AP14, "X")=0, "+", "-")), IF(MOD($A14, AQ$1)=0, "X", "O"))</f>
        <v>O</v>
      </c>
      <c r="AR14" s="43" t="str">
        <f>IF($A14=AR$1, IF(ROW(AR14)=2, "+", IF(COUNTIF($B14:AQ14, "X")=0, "+", "-")), IF(MOD($A14, AR$1)=0, "X", "O"))</f>
        <v>O</v>
      </c>
      <c r="AS14" s="43" t="str">
        <f>IF($A14=AS$1, IF(ROW(AS14)=2, "+", IF(COUNTIF($B14:AR14, "X")=0, "+", "-")), IF(MOD($A14, AS$1)=0, "X", "O"))</f>
        <v>O</v>
      </c>
      <c r="AT14" s="43" t="str">
        <f>IF($A14=AT$1, IF(ROW(AT14)=2, "+", IF(COUNTIF($B14:AS14, "X")=0, "+", "-")), IF(MOD($A14, AT$1)=0, "X", "O"))</f>
        <v>O</v>
      </c>
      <c r="AU14" s="43" t="str">
        <f>IF($A14=AU$1, IF(ROW(AU14)=2, "+", IF(COUNTIF($B14:AT14, "X")=0, "+", "-")), IF(MOD($A14, AU$1)=0, "X", "O"))</f>
        <v>O</v>
      </c>
      <c r="AV14" s="43" t="str">
        <f>IF($A14=AV$1, IF(ROW(AV14)=2, "+", IF(COUNTIF($B14:AU14, "X")=0, "+", "-")), IF(MOD($A14, AV$1)=0, "X", "O"))</f>
        <v>O</v>
      </c>
      <c r="AW14" s="43" t="str">
        <f>IF($A14=AW$1, IF(ROW(AW14)=2, "+", IF(COUNTIF($B14:AV14, "X")=0, "+", "-")), IF(MOD($A14, AW$1)=0, "X", "O"))</f>
        <v>O</v>
      </c>
      <c r="AX14" s="43" t="str">
        <f>IF($A14=AX$1, IF(ROW(AX14)=2, "+", IF(COUNTIF($B14:AW14, "X")=0, "+", "-")), IF(MOD($A14, AX$1)=0, "X", "O"))</f>
        <v>O</v>
      </c>
      <c r="AY14" s="43" t="str">
        <f>IF($A14=AY$1, IF(ROW(AY14)=2, "+", IF(COUNTIF($B14:AX14, "X")=0, "+", "-")), IF(MOD($A14, AY$1)=0, "X", "O"))</f>
        <v>O</v>
      </c>
      <c r="AZ14" s="43" t="str">
        <f>IF($A14=AZ$1, IF(ROW(AZ14)=2, "+", IF(COUNTIF($B14:AY14, "X")=0, "+", "-")), IF(MOD($A14, AZ$1)=0, "X", "O"))</f>
        <v>O</v>
      </c>
      <c r="BA14" s="43" t="str">
        <f>IF($A14=BA$1, IF(ROW(BA14)=2, "+", IF(COUNTIF($B14:AZ14, "X")=0, "+", "-")), IF(MOD($A14, BA$1)=0, "X", "O"))</f>
        <v>O</v>
      </c>
      <c r="BB14" s="43" t="str">
        <f>IF($A14=BB$1, IF(ROW(BB14)=2, "+", IF(COUNTIF($B14:BA14, "X")=0, "+", "-")), IF(MOD($A14, BB$1)=0, "X", "O"))</f>
        <v>O</v>
      </c>
      <c r="BC14" s="43" t="str">
        <f>IF($A14=BC$1, IF(ROW(BC14)=2, "+", IF(COUNTIF($B14:BB14, "X")=0, "+", "-")), IF(MOD($A14, BC$1)=0, "X", "O"))</f>
        <v>O</v>
      </c>
      <c r="BD14" s="43" t="str">
        <f>IF($A14=BD$1, IF(ROW(BD14)=2, "+", IF(COUNTIF($B14:BC14, "X")=0, "+", "-")), IF(MOD($A14, BD$1)=0, "X", "O"))</f>
        <v>O</v>
      </c>
      <c r="BE14" s="43" t="str">
        <f>IF($A14=BE$1, IF(ROW(BE14)=2, "+", IF(COUNTIF($B14:BD14, "X")=0, "+", "-")), IF(MOD($A14, BE$1)=0, "X", "O"))</f>
        <v>O</v>
      </c>
      <c r="BF14" s="43" t="str">
        <f>IF($A14=BF$1, IF(ROW(BF14)=2, "+", IF(COUNTIF($B14:BE14, "X")=0, "+", "-")), IF(MOD($A14, BF$1)=0, "X", "O"))</f>
        <v>O</v>
      </c>
      <c r="BG14" s="43" t="str">
        <f>IF($A14=BG$1, IF(ROW(BG14)=2, "+", IF(COUNTIF($B14:BF14, "X")=0, "+", "-")), IF(MOD($A14, BG$1)=0, "X", "O"))</f>
        <v>O</v>
      </c>
      <c r="BH14" s="43" t="str">
        <f>IF($A14=BH$1, IF(ROW(BH14)=2, "+", IF(COUNTIF($B14:BG14, "X")=0, "+", "-")), IF(MOD($A14, BH$1)=0, "X", "O"))</f>
        <v>O</v>
      </c>
    </row>
    <row r="15" spans="1:62" x14ac:dyDescent="0.25">
      <c r="A15">
        <v>15</v>
      </c>
      <c r="B15" s="43" t="str">
        <f>IF($A15=B$1, IF(ROW(B15)=2, "+", IF(COUNTIF(A15:$B15, "X")=0, "+", "-")), IF(MOD($A15, B$1)=0, "X", "O"))</f>
        <v>O</v>
      </c>
      <c r="C15" s="43" t="str">
        <f>IF($A15=C$1, IF(ROW(C15)=2, "+", IF(COUNTIF(B15:$B15, "X")=0, "+", "-")), IF(MOD($A15, C$1)=0, "X", "O"))</f>
        <v>X</v>
      </c>
      <c r="D15" s="43" t="str">
        <f>IF($A15=D$1, IF(ROW(D15)=2, "+", IF(COUNTIF($B15:C15, "X")=0, "+", "-")), IF(MOD($A15, D$1)=0, "X", "O"))</f>
        <v>O</v>
      </c>
      <c r="E15" s="43" t="str">
        <f>IF($A15=E$1, IF(ROW(E15)=2, "+", IF(COUNTIF($B15:D15, "X")=0, "+", "-")), IF(MOD($A15, E$1)=0, "X", "O"))</f>
        <v>X</v>
      </c>
      <c r="F15" s="43" t="str">
        <f>IF($A15=F$1, IF(ROW(F15)=2, "+", IF(COUNTIF($B15:E15, "X")=0, "+", "-")), IF(MOD($A15, F$1)=0, "X", "O"))</f>
        <v>O</v>
      </c>
      <c r="G15" s="43" t="str">
        <f>IF($A15=G$1, IF(ROW(G15)=2, "+", IF(COUNTIF($B15:F15, "X")=0, "+", "-")), IF(MOD($A15, G$1)=0, "X", "O"))</f>
        <v>O</v>
      </c>
      <c r="H15" s="43" t="str">
        <f>IF($A15=H$1, IF(ROW(H15)=2, "+", IF(COUNTIF($B15:G15, "X")=0, "+", "-")), IF(MOD($A15, H$1)=0, "X", "O"))</f>
        <v>O</v>
      </c>
      <c r="I15" s="43" t="str">
        <f>IF($A15=I$1, IF(ROW(I15)=2, "+", IF(COUNTIF($B15:H15, "X")=0, "+", "-")), IF(MOD($A15, I$1)=0, "X", "O"))</f>
        <v>O</v>
      </c>
      <c r="J15" s="43" t="str">
        <f>IF($A15=J$1, IF(ROW(J15)=2, "+", IF(COUNTIF($B15:I15, "X")=0, "+", "-")), IF(MOD($A15, J$1)=0, "X", "O"))</f>
        <v>O</v>
      </c>
      <c r="K15" s="43" t="str">
        <f>IF($A15=K$1, IF(ROW(K15)=2, "+", IF(COUNTIF($B15:J15, "X")=0, "+", "-")), IF(MOD($A15, K$1)=0, "X", "O"))</f>
        <v>O</v>
      </c>
      <c r="L15" s="43" t="str">
        <f>IF($A15=L$1, IF(ROW(L15)=2, "+", IF(COUNTIF($B15:K15, "X")=0, "+", "-")), IF(MOD($A15, L$1)=0, "X", "O"))</f>
        <v>O</v>
      </c>
      <c r="M15" s="43" t="str">
        <f>IF($A15=M$1, IF(ROW(M15)=2, "+", IF(COUNTIF($B15:L15, "X")=0, "+", "-")), IF(MOD($A15, M$1)=0, "X", "O"))</f>
        <v>O</v>
      </c>
      <c r="N15" s="43" t="str">
        <f>IF($A15=N$1, IF(ROW(N15)=2, "+", IF(COUNTIF($B15:M15, "X")=0, "+", "-")), IF(MOD($A15, N$1)=0, "X", "O"))</f>
        <v>O</v>
      </c>
      <c r="O15" s="43" t="str">
        <f>IF($A15=O$1, IF(ROW(O15)=2, "+", IF(COUNTIF($B15:N15, "X")=0, "+", "-")), IF(MOD($A15, O$1)=0, "X", "O"))</f>
        <v>-</v>
      </c>
      <c r="P15" s="43" t="str">
        <f>IF($A15=P$1, IF(ROW(P15)=2, "+", IF(COUNTIF($B15:O15, "X")=0, "+", "-")), IF(MOD($A15, P$1)=0, "X", "O"))</f>
        <v>O</v>
      </c>
      <c r="Q15" s="43" t="str">
        <f>IF($A15=Q$1, IF(ROW(Q15)=2, "+", IF(COUNTIF($B15:P15, "X")=0, "+", "-")), IF(MOD($A15, Q$1)=0, "X", "O"))</f>
        <v>O</v>
      </c>
      <c r="R15" s="43" t="str">
        <f>IF($A15=R$1, IF(ROW(R15)=2, "+", IF(COUNTIF($B15:Q15, "X")=0, "+", "-")), IF(MOD($A15, R$1)=0, "X", "O"))</f>
        <v>O</v>
      </c>
      <c r="S15" s="43" t="str">
        <f>IF($A15=S$1, IF(ROW(S15)=2, "+", IF(COUNTIF($B15:R15, "X")=0, "+", "-")), IF(MOD($A15, S$1)=0, "X", "O"))</f>
        <v>O</v>
      </c>
      <c r="T15" s="43" t="str">
        <f>IF($A15=T$1, IF(ROW(T15)=2, "+", IF(COUNTIF($B15:S15, "X")=0, "+", "-")), IF(MOD($A15, T$1)=0, "X", "O"))</f>
        <v>O</v>
      </c>
      <c r="U15" s="43" t="str">
        <f>IF($A15=U$1, IF(ROW(U15)=2, "+", IF(COUNTIF($B15:T15, "X")=0, "+", "-")), IF(MOD($A15, U$1)=0, "X", "O"))</f>
        <v>O</v>
      </c>
      <c r="V15" s="43" t="str">
        <f>IF($A15=V$1, IF(ROW(V15)=2, "+", IF(COUNTIF($B15:U15, "X")=0, "+", "-")), IF(MOD($A15, V$1)=0, "X", "O"))</f>
        <v>O</v>
      </c>
      <c r="W15" s="43" t="str">
        <f>IF($A15=W$1, IF(ROW(W15)=2, "+", IF(COUNTIF($B15:V15, "X")=0, "+", "-")), IF(MOD($A15, W$1)=0, "X", "O"))</f>
        <v>O</v>
      </c>
      <c r="X15" s="43" t="str">
        <f>IF($A15=X$1, IF(ROW(X15)=2, "+", IF(COUNTIF($B15:W15, "X")=0, "+", "-")), IF(MOD($A15, X$1)=0, "X", "O"))</f>
        <v>O</v>
      </c>
      <c r="Y15" s="43" t="str">
        <f>IF($A15=Y$1, IF(ROW(Y15)=2, "+", IF(COUNTIF($B15:X15, "X")=0, "+", "-")), IF(MOD($A15, Y$1)=0, "X", "O"))</f>
        <v>O</v>
      </c>
      <c r="Z15" s="43" t="str">
        <f>IF($A15=Z$1, IF(ROW(Z15)=2, "+", IF(COUNTIF($B15:Y15, "X")=0, "+", "-")), IF(MOD($A15, Z$1)=0, "X", "O"))</f>
        <v>O</v>
      </c>
      <c r="AA15" s="43" t="str">
        <f>IF($A15=AA$1, IF(ROW(AA15)=2, "+", IF(COUNTIF($B15:Z15, "X")=0, "+", "-")), IF(MOD($A15, AA$1)=0, "X", "O"))</f>
        <v>O</v>
      </c>
      <c r="AB15" s="43" t="str">
        <f>IF($A15=AB$1, IF(ROW(AB15)=2, "+", IF(COUNTIF($B15:AA15, "X")=0, "+", "-")), IF(MOD($A15, AB$1)=0, "X", "O"))</f>
        <v>O</v>
      </c>
      <c r="AC15" s="43" t="str">
        <f>IF($A15=AC$1, IF(ROW(AC15)=2, "+", IF(COUNTIF($B15:AB15, "X")=0, "+", "-")), IF(MOD($A15, AC$1)=0, "X", "O"))</f>
        <v>O</v>
      </c>
      <c r="AD15" s="43" t="str">
        <f>IF($A15=AD$1, IF(ROW(AD15)=2, "+", IF(COUNTIF($B15:AC15, "X")=0, "+", "-")), IF(MOD($A15, AD$1)=0, "X", "O"))</f>
        <v>O</v>
      </c>
      <c r="AE15" s="43" t="str">
        <f>IF($A15=AE$1, IF(ROW(AE15)=2, "+", IF(COUNTIF($B15:AD15, "X")=0, "+", "-")), IF(MOD($A15, AE$1)=0, "X", "O"))</f>
        <v>O</v>
      </c>
      <c r="AF15" s="43" t="str">
        <f>IF($A15=AF$1, IF(ROW(AF15)=2, "+", IF(COUNTIF($B15:AE15, "X")=0, "+", "-")), IF(MOD($A15, AF$1)=0, "X", "O"))</f>
        <v>O</v>
      </c>
      <c r="AG15" s="43" t="str">
        <f>IF($A15=AG$1, IF(ROW(AG15)=2, "+", IF(COUNTIF($B15:AF15, "X")=0, "+", "-")), IF(MOD($A15, AG$1)=0, "X", "O"))</f>
        <v>O</v>
      </c>
      <c r="AH15" s="43" t="str">
        <f>IF($A15=AH$1, IF(ROW(AH15)=2, "+", IF(COUNTIF($B15:AG15, "X")=0, "+", "-")), IF(MOD($A15, AH$1)=0, "X", "O"))</f>
        <v>O</v>
      </c>
      <c r="AI15" s="43" t="str">
        <f>IF($A15=AI$1, IF(ROW(AI15)=2, "+", IF(COUNTIF($B15:AH15, "X")=0, "+", "-")), IF(MOD($A15, AI$1)=0, "X", "O"))</f>
        <v>O</v>
      </c>
      <c r="AJ15" s="43" t="str">
        <f>IF($A15=AJ$1, IF(ROW(AJ15)=2, "+", IF(COUNTIF($B15:AI15, "X")=0, "+", "-")), IF(MOD($A15, AJ$1)=0, "X", "O"))</f>
        <v>O</v>
      </c>
      <c r="AK15" s="43" t="str">
        <f>IF($A15=AK$1, IF(ROW(AK15)=2, "+", IF(COUNTIF($B15:AJ15, "X")=0, "+", "-")), IF(MOD($A15, AK$1)=0, "X", "O"))</f>
        <v>O</v>
      </c>
      <c r="AL15" s="43" t="str">
        <f>IF($A15=AL$1, IF(ROW(AL15)=2, "+", IF(COUNTIF($B15:AK15, "X")=0, "+", "-")), IF(MOD($A15, AL$1)=0, "X", "O"))</f>
        <v>O</v>
      </c>
      <c r="AM15" s="43" t="str">
        <f>IF($A15=AM$1, IF(ROW(AM15)=2, "+", IF(COUNTIF($B15:AL15, "X")=0, "+", "-")), IF(MOD($A15, AM$1)=0, "X", "O"))</f>
        <v>O</v>
      </c>
      <c r="AN15" s="43" t="str">
        <f>IF($A15=AN$1, IF(ROW(AN15)=2, "+", IF(COUNTIF($B15:AM15, "X")=0, "+", "-")), IF(MOD($A15, AN$1)=0, "X", "O"))</f>
        <v>O</v>
      </c>
      <c r="AO15" s="43" t="str">
        <f>IF($A15=AO$1, IF(ROW(AO15)=2, "+", IF(COUNTIF($B15:AN15, "X")=0, "+", "-")), IF(MOD($A15, AO$1)=0, "X", "O"))</f>
        <v>O</v>
      </c>
      <c r="AP15" s="43" t="str">
        <f>IF($A15=AP$1, IF(ROW(AP15)=2, "+", IF(COUNTIF($B15:AO15, "X")=0, "+", "-")), IF(MOD($A15, AP$1)=0, "X", "O"))</f>
        <v>O</v>
      </c>
      <c r="AQ15" s="43" t="str">
        <f>IF($A15=AQ$1, IF(ROW(AQ15)=2, "+", IF(COUNTIF($B15:AP15, "X")=0, "+", "-")), IF(MOD($A15, AQ$1)=0, "X", "O"))</f>
        <v>O</v>
      </c>
      <c r="AR15" s="43" t="str">
        <f>IF($A15=AR$1, IF(ROW(AR15)=2, "+", IF(COUNTIF($B15:AQ15, "X")=0, "+", "-")), IF(MOD($A15, AR$1)=0, "X", "O"))</f>
        <v>O</v>
      </c>
      <c r="AS15" s="43" t="str">
        <f>IF($A15=AS$1, IF(ROW(AS15)=2, "+", IF(COUNTIF($B15:AR15, "X")=0, "+", "-")), IF(MOD($A15, AS$1)=0, "X", "O"))</f>
        <v>O</v>
      </c>
      <c r="AT15" s="43" t="str">
        <f>IF($A15=AT$1, IF(ROW(AT15)=2, "+", IF(COUNTIF($B15:AS15, "X")=0, "+", "-")), IF(MOD($A15, AT$1)=0, "X", "O"))</f>
        <v>O</v>
      </c>
      <c r="AU15" s="43" t="str">
        <f>IF($A15=AU$1, IF(ROW(AU15)=2, "+", IF(COUNTIF($B15:AT15, "X")=0, "+", "-")), IF(MOD($A15, AU$1)=0, "X", "O"))</f>
        <v>O</v>
      </c>
      <c r="AV15" s="43" t="str">
        <f>IF($A15=AV$1, IF(ROW(AV15)=2, "+", IF(COUNTIF($B15:AU15, "X")=0, "+", "-")), IF(MOD($A15, AV$1)=0, "X", "O"))</f>
        <v>O</v>
      </c>
      <c r="AW15" s="43" t="str">
        <f>IF($A15=AW$1, IF(ROW(AW15)=2, "+", IF(COUNTIF($B15:AV15, "X")=0, "+", "-")), IF(MOD($A15, AW$1)=0, "X", "O"))</f>
        <v>O</v>
      </c>
      <c r="AX15" s="43" t="str">
        <f>IF($A15=AX$1, IF(ROW(AX15)=2, "+", IF(COUNTIF($B15:AW15, "X")=0, "+", "-")), IF(MOD($A15, AX$1)=0, "X", "O"))</f>
        <v>O</v>
      </c>
      <c r="AY15" s="43" t="str">
        <f>IF($A15=AY$1, IF(ROW(AY15)=2, "+", IF(COUNTIF($B15:AX15, "X")=0, "+", "-")), IF(MOD($A15, AY$1)=0, "X", "O"))</f>
        <v>O</v>
      </c>
      <c r="AZ15" s="43" t="str">
        <f>IF($A15=AZ$1, IF(ROW(AZ15)=2, "+", IF(COUNTIF($B15:AY15, "X")=0, "+", "-")), IF(MOD($A15, AZ$1)=0, "X", "O"))</f>
        <v>O</v>
      </c>
      <c r="BA15" s="43" t="str">
        <f>IF($A15=BA$1, IF(ROW(BA15)=2, "+", IF(COUNTIF($B15:AZ15, "X")=0, "+", "-")), IF(MOD($A15, BA$1)=0, "X", "O"))</f>
        <v>O</v>
      </c>
      <c r="BB15" s="43" t="str">
        <f>IF($A15=BB$1, IF(ROW(BB15)=2, "+", IF(COUNTIF($B15:BA15, "X")=0, "+", "-")), IF(MOD($A15, BB$1)=0, "X", "O"))</f>
        <v>O</v>
      </c>
      <c r="BC15" s="43" t="str">
        <f>IF($A15=BC$1, IF(ROW(BC15)=2, "+", IF(COUNTIF($B15:BB15, "X")=0, "+", "-")), IF(MOD($A15, BC$1)=0, "X", "O"))</f>
        <v>O</v>
      </c>
      <c r="BD15" s="43" t="str">
        <f>IF($A15=BD$1, IF(ROW(BD15)=2, "+", IF(COUNTIF($B15:BC15, "X")=0, "+", "-")), IF(MOD($A15, BD$1)=0, "X", "O"))</f>
        <v>O</v>
      </c>
      <c r="BE15" s="43" t="str">
        <f>IF($A15=BE$1, IF(ROW(BE15)=2, "+", IF(COUNTIF($B15:BD15, "X")=0, "+", "-")), IF(MOD($A15, BE$1)=0, "X", "O"))</f>
        <v>O</v>
      </c>
      <c r="BF15" s="43" t="str">
        <f>IF($A15=BF$1, IF(ROW(BF15)=2, "+", IF(COUNTIF($B15:BE15, "X")=0, "+", "-")), IF(MOD($A15, BF$1)=0, "X", "O"))</f>
        <v>O</v>
      </c>
      <c r="BG15" s="43" t="str">
        <f>IF($A15=BG$1, IF(ROW(BG15)=2, "+", IF(COUNTIF($B15:BF15, "X")=0, "+", "-")), IF(MOD($A15, BG$1)=0, "X", "O"))</f>
        <v>O</v>
      </c>
      <c r="BH15" s="43" t="str">
        <f>IF($A15=BH$1, IF(ROW(BH15)=2, "+", IF(COUNTIF($B15:BG15, "X")=0, "+", "-")), IF(MOD($A15, BH$1)=0, "X", "O"))</f>
        <v>O</v>
      </c>
    </row>
    <row r="16" spans="1:62" x14ac:dyDescent="0.25">
      <c r="A16">
        <v>16</v>
      </c>
      <c r="B16" s="43" t="str">
        <f>IF($A16=B$1, IF(ROW(B16)=2, "+", IF(COUNTIF(A16:$B16, "X")=0, "+", "-")), IF(MOD($A16, B$1)=0, "X", "O"))</f>
        <v>X</v>
      </c>
      <c r="C16" s="43" t="str">
        <f>IF($A16=C$1, IF(ROW(C16)=2, "+", IF(COUNTIF(B16:$B16, "X")=0, "+", "-")), IF(MOD($A16, C$1)=0, "X", "O"))</f>
        <v>O</v>
      </c>
      <c r="D16" s="43" t="str">
        <f>IF($A16=D$1, IF(ROW(D16)=2, "+", IF(COUNTIF($B16:C16, "X")=0, "+", "-")), IF(MOD($A16, D$1)=0, "X", "O"))</f>
        <v>X</v>
      </c>
      <c r="E16" s="43" t="str">
        <f>IF($A16=E$1, IF(ROW(E16)=2, "+", IF(COUNTIF($B16:D16, "X")=0, "+", "-")), IF(MOD($A16, E$1)=0, "X", "O"))</f>
        <v>O</v>
      </c>
      <c r="F16" s="43" t="str">
        <f>IF($A16=F$1, IF(ROW(F16)=2, "+", IF(COUNTIF($B16:E16, "X")=0, "+", "-")), IF(MOD($A16, F$1)=0, "X", "O"))</f>
        <v>O</v>
      </c>
      <c r="G16" s="43" t="str">
        <f>IF($A16=G$1, IF(ROW(G16)=2, "+", IF(COUNTIF($B16:F16, "X")=0, "+", "-")), IF(MOD($A16, G$1)=0, "X", "O"))</f>
        <v>O</v>
      </c>
      <c r="H16" s="43" t="str">
        <f>IF($A16=H$1, IF(ROW(H16)=2, "+", IF(COUNTIF($B16:G16, "X")=0, "+", "-")), IF(MOD($A16, H$1)=0, "X", "O"))</f>
        <v>X</v>
      </c>
      <c r="I16" s="43" t="str">
        <f>IF($A16=I$1, IF(ROW(I16)=2, "+", IF(COUNTIF($B16:H16, "X")=0, "+", "-")), IF(MOD($A16, I$1)=0, "X", "O"))</f>
        <v>O</v>
      </c>
      <c r="J16" s="43" t="str">
        <f>IF($A16=J$1, IF(ROW(J16)=2, "+", IF(COUNTIF($B16:I16, "X")=0, "+", "-")), IF(MOD($A16, J$1)=0, "X", "O"))</f>
        <v>O</v>
      </c>
      <c r="K16" s="43" t="str">
        <f>IF($A16=K$1, IF(ROW(K16)=2, "+", IF(COUNTIF($B16:J16, "X")=0, "+", "-")), IF(MOD($A16, K$1)=0, "X", "O"))</f>
        <v>O</v>
      </c>
      <c r="L16" s="43" t="str">
        <f>IF($A16=L$1, IF(ROW(L16)=2, "+", IF(COUNTIF($B16:K16, "X")=0, "+", "-")), IF(MOD($A16, L$1)=0, "X", "O"))</f>
        <v>O</v>
      </c>
      <c r="M16" s="43" t="str">
        <f>IF($A16=M$1, IF(ROW(M16)=2, "+", IF(COUNTIF($B16:L16, "X")=0, "+", "-")), IF(MOD($A16, M$1)=0, "X", "O"))</f>
        <v>O</v>
      </c>
      <c r="N16" s="43" t="str">
        <f>IF($A16=N$1, IF(ROW(N16)=2, "+", IF(COUNTIF($B16:M16, "X")=0, "+", "-")), IF(MOD($A16, N$1)=0, "X", "O"))</f>
        <v>O</v>
      </c>
      <c r="O16" s="43" t="str">
        <f>IF($A16=O$1, IF(ROW(O16)=2, "+", IF(COUNTIF($B16:N16, "X")=0, "+", "-")), IF(MOD($A16, O$1)=0, "X", "O"))</f>
        <v>O</v>
      </c>
      <c r="P16" s="43" t="str">
        <f>IF($A16=P$1, IF(ROW(P16)=2, "+", IF(COUNTIF($B16:O16, "X")=0, "+", "-")), IF(MOD($A16, P$1)=0, "X", "O"))</f>
        <v>-</v>
      </c>
      <c r="Q16" s="43" t="str">
        <f>IF($A16=Q$1, IF(ROW(Q16)=2, "+", IF(COUNTIF($B16:P16, "X")=0, "+", "-")), IF(MOD($A16, Q$1)=0, "X", "O"))</f>
        <v>O</v>
      </c>
      <c r="R16" s="43" t="str">
        <f>IF($A16=R$1, IF(ROW(R16)=2, "+", IF(COUNTIF($B16:Q16, "X")=0, "+", "-")), IF(MOD($A16, R$1)=0, "X", "O"))</f>
        <v>O</v>
      </c>
      <c r="S16" s="43" t="str">
        <f>IF($A16=S$1, IF(ROW(S16)=2, "+", IF(COUNTIF($B16:R16, "X")=0, "+", "-")), IF(MOD($A16, S$1)=0, "X", "O"))</f>
        <v>O</v>
      </c>
      <c r="T16" s="43" t="str">
        <f>IF($A16=T$1, IF(ROW(T16)=2, "+", IF(COUNTIF($B16:S16, "X")=0, "+", "-")), IF(MOD($A16, T$1)=0, "X", "O"))</f>
        <v>O</v>
      </c>
      <c r="U16" s="43" t="str">
        <f>IF($A16=U$1, IF(ROW(U16)=2, "+", IF(COUNTIF($B16:T16, "X")=0, "+", "-")), IF(MOD($A16, U$1)=0, "X", "O"))</f>
        <v>O</v>
      </c>
      <c r="V16" s="43" t="str">
        <f>IF($A16=V$1, IF(ROW(V16)=2, "+", IF(COUNTIF($B16:U16, "X")=0, "+", "-")), IF(MOD($A16, V$1)=0, "X", "O"))</f>
        <v>O</v>
      </c>
      <c r="W16" s="43" t="str">
        <f>IF($A16=W$1, IF(ROW(W16)=2, "+", IF(COUNTIF($B16:V16, "X")=0, "+", "-")), IF(MOD($A16, W$1)=0, "X", "O"))</f>
        <v>O</v>
      </c>
      <c r="X16" s="43" t="str">
        <f>IF($A16=X$1, IF(ROW(X16)=2, "+", IF(COUNTIF($B16:W16, "X")=0, "+", "-")), IF(MOD($A16, X$1)=0, "X", "O"))</f>
        <v>O</v>
      </c>
      <c r="Y16" s="43" t="str">
        <f>IF($A16=Y$1, IF(ROW(Y16)=2, "+", IF(COUNTIF($B16:X16, "X")=0, "+", "-")), IF(MOD($A16, Y$1)=0, "X", "O"))</f>
        <v>O</v>
      </c>
      <c r="Z16" s="43" t="str">
        <f>IF($A16=Z$1, IF(ROW(Z16)=2, "+", IF(COUNTIF($B16:Y16, "X")=0, "+", "-")), IF(MOD($A16, Z$1)=0, "X", "O"))</f>
        <v>O</v>
      </c>
      <c r="AA16" s="43" t="str">
        <f>IF($A16=AA$1, IF(ROW(AA16)=2, "+", IF(COUNTIF($B16:Z16, "X")=0, "+", "-")), IF(MOD($A16, AA$1)=0, "X", "O"))</f>
        <v>O</v>
      </c>
      <c r="AB16" s="43" t="str">
        <f>IF($A16=AB$1, IF(ROW(AB16)=2, "+", IF(COUNTIF($B16:AA16, "X")=0, "+", "-")), IF(MOD($A16, AB$1)=0, "X", "O"))</f>
        <v>O</v>
      </c>
      <c r="AC16" s="43" t="str">
        <f>IF($A16=AC$1, IF(ROW(AC16)=2, "+", IF(COUNTIF($B16:AB16, "X")=0, "+", "-")), IF(MOD($A16, AC$1)=0, "X", "O"))</f>
        <v>O</v>
      </c>
      <c r="AD16" s="43" t="str">
        <f>IF($A16=AD$1, IF(ROW(AD16)=2, "+", IF(COUNTIF($B16:AC16, "X")=0, "+", "-")), IF(MOD($A16, AD$1)=0, "X", "O"))</f>
        <v>O</v>
      </c>
      <c r="AE16" s="43" t="str">
        <f>IF($A16=AE$1, IF(ROW(AE16)=2, "+", IF(COUNTIF($B16:AD16, "X")=0, "+", "-")), IF(MOD($A16, AE$1)=0, "X", "O"))</f>
        <v>O</v>
      </c>
      <c r="AF16" s="43" t="str">
        <f>IF($A16=AF$1, IF(ROW(AF16)=2, "+", IF(COUNTIF($B16:AE16, "X")=0, "+", "-")), IF(MOD($A16, AF$1)=0, "X", "O"))</f>
        <v>O</v>
      </c>
      <c r="AG16" s="43" t="str">
        <f>IF($A16=AG$1, IF(ROW(AG16)=2, "+", IF(COUNTIF($B16:AF16, "X")=0, "+", "-")), IF(MOD($A16, AG$1)=0, "X", "O"))</f>
        <v>O</v>
      </c>
      <c r="AH16" s="43" t="str">
        <f>IF($A16=AH$1, IF(ROW(AH16)=2, "+", IF(COUNTIF($B16:AG16, "X")=0, "+", "-")), IF(MOD($A16, AH$1)=0, "X", "O"))</f>
        <v>O</v>
      </c>
      <c r="AI16" s="43" t="str">
        <f>IF($A16=AI$1, IF(ROW(AI16)=2, "+", IF(COUNTIF($B16:AH16, "X")=0, "+", "-")), IF(MOD($A16, AI$1)=0, "X", "O"))</f>
        <v>O</v>
      </c>
      <c r="AJ16" s="43" t="str">
        <f>IF($A16=AJ$1, IF(ROW(AJ16)=2, "+", IF(COUNTIF($B16:AI16, "X")=0, "+", "-")), IF(MOD($A16, AJ$1)=0, "X", "O"))</f>
        <v>O</v>
      </c>
      <c r="AK16" s="43" t="str">
        <f>IF($A16=AK$1, IF(ROW(AK16)=2, "+", IF(COUNTIF($B16:AJ16, "X")=0, "+", "-")), IF(MOD($A16, AK$1)=0, "X", "O"))</f>
        <v>O</v>
      </c>
      <c r="AL16" s="43" t="str">
        <f>IF($A16=AL$1, IF(ROW(AL16)=2, "+", IF(COUNTIF($B16:AK16, "X")=0, "+", "-")), IF(MOD($A16, AL$1)=0, "X", "O"))</f>
        <v>O</v>
      </c>
      <c r="AM16" s="43" t="str">
        <f>IF($A16=AM$1, IF(ROW(AM16)=2, "+", IF(COUNTIF($B16:AL16, "X")=0, "+", "-")), IF(MOD($A16, AM$1)=0, "X", "O"))</f>
        <v>O</v>
      </c>
      <c r="AN16" s="43" t="str">
        <f>IF($A16=AN$1, IF(ROW(AN16)=2, "+", IF(COUNTIF($B16:AM16, "X")=0, "+", "-")), IF(MOD($A16, AN$1)=0, "X", "O"))</f>
        <v>O</v>
      </c>
      <c r="AO16" s="43" t="str">
        <f>IF($A16=AO$1, IF(ROW(AO16)=2, "+", IF(COUNTIF($B16:AN16, "X")=0, "+", "-")), IF(MOD($A16, AO$1)=0, "X", "O"))</f>
        <v>O</v>
      </c>
      <c r="AP16" s="43" t="str">
        <f>IF($A16=AP$1, IF(ROW(AP16)=2, "+", IF(COUNTIF($B16:AO16, "X")=0, "+", "-")), IF(MOD($A16, AP$1)=0, "X", "O"))</f>
        <v>O</v>
      </c>
      <c r="AQ16" s="43" t="str">
        <f>IF($A16=AQ$1, IF(ROW(AQ16)=2, "+", IF(COUNTIF($B16:AP16, "X")=0, "+", "-")), IF(MOD($A16, AQ$1)=0, "X", "O"))</f>
        <v>O</v>
      </c>
      <c r="AR16" s="43" t="str">
        <f>IF($A16=AR$1, IF(ROW(AR16)=2, "+", IF(COUNTIF($B16:AQ16, "X")=0, "+", "-")), IF(MOD($A16, AR$1)=0, "X", "O"))</f>
        <v>O</v>
      </c>
      <c r="AS16" s="43" t="str">
        <f>IF($A16=AS$1, IF(ROW(AS16)=2, "+", IF(COUNTIF($B16:AR16, "X")=0, "+", "-")), IF(MOD($A16, AS$1)=0, "X", "O"))</f>
        <v>O</v>
      </c>
      <c r="AT16" s="43" t="str">
        <f>IF($A16=AT$1, IF(ROW(AT16)=2, "+", IF(COUNTIF($B16:AS16, "X")=0, "+", "-")), IF(MOD($A16, AT$1)=0, "X", "O"))</f>
        <v>O</v>
      </c>
      <c r="AU16" s="43" t="str">
        <f>IF($A16=AU$1, IF(ROW(AU16)=2, "+", IF(COUNTIF($B16:AT16, "X")=0, "+", "-")), IF(MOD($A16, AU$1)=0, "X", "O"))</f>
        <v>O</v>
      </c>
      <c r="AV16" s="43" t="str">
        <f>IF($A16=AV$1, IF(ROW(AV16)=2, "+", IF(COUNTIF($B16:AU16, "X")=0, "+", "-")), IF(MOD($A16, AV$1)=0, "X", "O"))</f>
        <v>O</v>
      </c>
      <c r="AW16" s="43" t="str">
        <f>IF($A16=AW$1, IF(ROW(AW16)=2, "+", IF(COUNTIF($B16:AV16, "X")=0, "+", "-")), IF(MOD($A16, AW$1)=0, "X", "O"))</f>
        <v>O</v>
      </c>
      <c r="AX16" s="43" t="str">
        <f>IF($A16=AX$1, IF(ROW(AX16)=2, "+", IF(COUNTIF($B16:AW16, "X")=0, "+", "-")), IF(MOD($A16, AX$1)=0, "X", "O"))</f>
        <v>O</v>
      </c>
      <c r="AY16" s="43" t="str">
        <f>IF($A16=AY$1, IF(ROW(AY16)=2, "+", IF(COUNTIF($B16:AX16, "X")=0, "+", "-")), IF(MOD($A16, AY$1)=0, "X", "O"))</f>
        <v>O</v>
      </c>
      <c r="AZ16" s="43" t="str">
        <f>IF($A16=AZ$1, IF(ROW(AZ16)=2, "+", IF(COUNTIF($B16:AY16, "X")=0, "+", "-")), IF(MOD($A16, AZ$1)=0, "X", "O"))</f>
        <v>O</v>
      </c>
      <c r="BA16" s="43" t="str">
        <f>IF($A16=BA$1, IF(ROW(BA16)=2, "+", IF(COUNTIF($B16:AZ16, "X")=0, "+", "-")), IF(MOD($A16, BA$1)=0, "X", "O"))</f>
        <v>O</v>
      </c>
      <c r="BB16" s="43" t="str">
        <f>IF($A16=BB$1, IF(ROW(BB16)=2, "+", IF(COUNTIF($B16:BA16, "X")=0, "+", "-")), IF(MOD($A16, BB$1)=0, "X", "O"))</f>
        <v>O</v>
      </c>
      <c r="BC16" s="43" t="str">
        <f>IF($A16=BC$1, IF(ROW(BC16)=2, "+", IF(COUNTIF($B16:BB16, "X")=0, "+", "-")), IF(MOD($A16, BC$1)=0, "X", "O"))</f>
        <v>O</v>
      </c>
      <c r="BD16" s="43" t="str">
        <f>IF($A16=BD$1, IF(ROW(BD16)=2, "+", IF(COUNTIF($B16:BC16, "X")=0, "+", "-")), IF(MOD($A16, BD$1)=0, "X", "O"))</f>
        <v>O</v>
      </c>
      <c r="BE16" s="43" t="str">
        <f>IF($A16=BE$1, IF(ROW(BE16)=2, "+", IF(COUNTIF($B16:BD16, "X")=0, "+", "-")), IF(MOD($A16, BE$1)=0, "X", "O"))</f>
        <v>O</v>
      </c>
      <c r="BF16" s="43" t="str">
        <f>IF($A16=BF$1, IF(ROW(BF16)=2, "+", IF(COUNTIF($B16:BE16, "X")=0, "+", "-")), IF(MOD($A16, BF$1)=0, "X", "O"))</f>
        <v>O</v>
      </c>
      <c r="BG16" s="43" t="str">
        <f>IF($A16=BG$1, IF(ROW(BG16)=2, "+", IF(COUNTIF($B16:BF16, "X")=0, "+", "-")), IF(MOD($A16, BG$1)=0, "X", "O"))</f>
        <v>O</v>
      </c>
      <c r="BH16" s="43" t="str">
        <f>IF($A16=BH$1, IF(ROW(BH16)=2, "+", IF(COUNTIF($B16:BG16, "X")=0, "+", "-")), IF(MOD($A16, BH$1)=0, "X", "O"))</f>
        <v>O</v>
      </c>
    </row>
    <row r="17" spans="1:60" x14ac:dyDescent="0.25">
      <c r="A17">
        <v>17</v>
      </c>
      <c r="B17" s="43" t="str">
        <f>IF($A17=B$1, IF(ROW(B17)=2, "+", IF(COUNTIF(A17:$B17, "X")=0, "+", "-")), IF(MOD($A17, B$1)=0, "X", "O"))</f>
        <v>O</v>
      </c>
      <c r="C17" s="43" t="str">
        <f>IF($A17=C$1, IF(ROW(C17)=2, "+", IF(COUNTIF(B17:$B17, "X")=0, "+", "-")), IF(MOD($A17, C$1)=0, "X", "O"))</f>
        <v>O</v>
      </c>
      <c r="D17" s="43" t="str">
        <f>IF($A17=D$1, IF(ROW(D17)=2, "+", IF(COUNTIF($B17:C17, "X")=0, "+", "-")), IF(MOD($A17, D$1)=0, "X", "O"))</f>
        <v>O</v>
      </c>
      <c r="E17" s="43" t="str">
        <f>IF($A17=E$1, IF(ROW(E17)=2, "+", IF(COUNTIF($B17:D17, "X")=0, "+", "-")), IF(MOD($A17, E$1)=0, "X", "O"))</f>
        <v>O</v>
      </c>
      <c r="F17" s="43" t="str">
        <f>IF($A17=F$1, IF(ROW(F17)=2, "+", IF(COUNTIF($B17:E17, "X")=0, "+", "-")), IF(MOD($A17, F$1)=0, "X", "O"))</f>
        <v>O</v>
      </c>
      <c r="G17" s="43" t="str">
        <f>IF($A17=G$1, IF(ROW(G17)=2, "+", IF(COUNTIF($B17:F17, "X")=0, "+", "-")), IF(MOD($A17, G$1)=0, "X", "O"))</f>
        <v>O</v>
      </c>
      <c r="H17" s="43" t="str">
        <f>IF($A17=H$1, IF(ROW(H17)=2, "+", IF(COUNTIF($B17:G17, "X")=0, "+", "-")), IF(MOD($A17, H$1)=0, "X", "O"))</f>
        <v>O</v>
      </c>
      <c r="I17" s="43" t="str">
        <f>IF($A17=I$1, IF(ROW(I17)=2, "+", IF(COUNTIF($B17:H17, "X")=0, "+", "-")), IF(MOD($A17, I$1)=0, "X", "O"))</f>
        <v>O</v>
      </c>
      <c r="J17" s="43" t="str">
        <f>IF($A17=J$1, IF(ROW(J17)=2, "+", IF(COUNTIF($B17:I17, "X")=0, "+", "-")), IF(MOD($A17, J$1)=0, "X", "O"))</f>
        <v>O</v>
      </c>
      <c r="K17" s="43" t="str">
        <f>IF($A17=K$1, IF(ROW(K17)=2, "+", IF(COUNTIF($B17:J17, "X")=0, "+", "-")), IF(MOD($A17, K$1)=0, "X", "O"))</f>
        <v>O</v>
      </c>
      <c r="L17" s="43" t="str">
        <f>IF($A17=L$1, IF(ROW(L17)=2, "+", IF(COUNTIF($B17:K17, "X")=0, "+", "-")), IF(MOD($A17, L$1)=0, "X", "O"))</f>
        <v>O</v>
      </c>
      <c r="M17" s="43" t="str">
        <f>IF($A17=M$1, IF(ROW(M17)=2, "+", IF(COUNTIF($B17:L17, "X")=0, "+", "-")), IF(MOD($A17, M$1)=0, "X", "O"))</f>
        <v>O</v>
      </c>
      <c r="N17" s="43" t="str">
        <f>IF($A17=N$1, IF(ROW(N17)=2, "+", IF(COUNTIF($B17:M17, "X")=0, "+", "-")), IF(MOD($A17, N$1)=0, "X", "O"))</f>
        <v>O</v>
      </c>
      <c r="O17" s="43" t="str">
        <f>IF($A17=O$1, IF(ROW(O17)=2, "+", IF(COUNTIF($B17:N17, "X")=0, "+", "-")), IF(MOD($A17, O$1)=0, "X", "O"))</f>
        <v>O</v>
      </c>
      <c r="P17" s="43" t="str">
        <f>IF($A17=P$1, IF(ROW(P17)=2, "+", IF(COUNTIF($B17:O17, "X")=0, "+", "-")), IF(MOD($A17, P$1)=0, "X", "O"))</f>
        <v>O</v>
      </c>
      <c r="Q17" s="43" t="str">
        <f>IF($A17=Q$1, IF(ROW(Q17)=2, "+", IF(COUNTIF($B17:P17, "X")=0, "+", "-")), IF(MOD($A17, Q$1)=0, "X", "O"))</f>
        <v>+</v>
      </c>
      <c r="R17" s="43" t="str">
        <f>IF($A17=R$1, IF(ROW(R17)=2, "+", IF(COUNTIF($B17:Q17, "X")=0, "+", "-")), IF(MOD($A17, R$1)=0, "X", "O"))</f>
        <v>O</v>
      </c>
      <c r="S17" s="43" t="str">
        <f>IF($A17=S$1, IF(ROW(S17)=2, "+", IF(COUNTIF($B17:R17, "X")=0, "+", "-")), IF(MOD($A17, S$1)=0, "X", "O"))</f>
        <v>O</v>
      </c>
      <c r="T17" s="43" t="str">
        <f>IF($A17=T$1, IF(ROW(T17)=2, "+", IF(COUNTIF($B17:S17, "X")=0, "+", "-")), IF(MOD($A17, T$1)=0, "X", "O"))</f>
        <v>O</v>
      </c>
      <c r="U17" s="43" t="str">
        <f>IF($A17=U$1, IF(ROW(U17)=2, "+", IF(COUNTIF($B17:T17, "X")=0, "+", "-")), IF(MOD($A17, U$1)=0, "X", "O"))</f>
        <v>O</v>
      </c>
      <c r="V17" s="43" t="str">
        <f>IF($A17=V$1, IF(ROW(V17)=2, "+", IF(COUNTIF($B17:U17, "X")=0, "+", "-")), IF(MOD($A17, V$1)=0, "X", "O"))</f>
        <v>O</v>
      </c>
      <c r="W17" s="43" t="str">
        <f>IF($A17=W$1, IF(ROW(W17)=2, "+", IF(COUNTIF($B17:V17, "X")=0, "+", "-")), IF(MOD($A17, W$1)=0, "X", "O"))</f>
        <v>O</v>
      </c>
      <c r="X17" s="43" t="str">
        <f>IF($A17=X$1, IF(ROW(X17)=2, "+", IF(COUNTIF($B17:W17, "X")=0, "+", "-")), IF(MOD($A17, X$1)=0, "X", "O"))</f>
        <v>O</v>
      </c>
      <c r="Y17" s="43" t="str">
        <f>IF($A17=Y$1, IF(ROW(Y17)=2, "+", IF(COUNTIF($B17:X17, "X")=0, "+", "-")), IF(MOD($A17, Y$1)=0, "X", "O"))</f>
        <v>O</v>
      </c>
      <c r="Z17" s="43" t="str">
        <f>IF($A17=Z$1, IF(ROW(Z17)=2, "+", IF(COUNTIF($B17:Y17, "X")=0, "+", "-")), IF(MOD($A17, Z$1)=0, "X", "O"))</f>
        <v>O</v>
      </c>
      <c r="AA17" s="43" t="str">
        <f>IF($A17=AA$1, IF(ROW(AA17)=2, "+", IF(COUNTIF($B17:Z17, "X")=0, "+", "-")), IF(MOD($A17, AA$1)=0, "X", "O"))</f>
        <v>O</v>
      </c>
      <c r="AB17" s="43" t="str">
        <f>IF($A17=AB$1, IF(ROW(AB17)=2, "+", IF(COUNTIF($B17:AA17, "X")=0, "+", "-")), IF(MOD($A17, AB$1)=0, "X", "O"))</f>
        <v>O</v>
      </c>
      <c r="AC17" s="43" t="str">
        <f>IF($A17=AC$1, IF(ROW(AC17)=2, "+", IF(COUNTIF($B17:AB17, "X")=0, "+", "-")), IF(MOD($A17, AC$1)=0, "X", "O"))</f>
        <v>O</v>
      </c>
      <c r="AD17" s="43" t="str">
        <f>IF($A17=AD$1, IF(ROW(AD17)=2, "+", IF(COUNTIF($B17:AC17, "X")=0, "+", "-")), IF(MOD($A17, AD$1)=0, "X", "O"))</f>
        <v>O</v>
      </c>
      <c r="AE17" s="43" t="str">
        <f>IF($A17=AE$1, IF(ROW(AE17)=2, "+", IF(COUNTIF($B17:AD17, "X")=0, "+", "-")), IF(MOD($A17, AE$1)=0, "X", "O"))</f>
        <v>O</v>
      </c>
      <c r="AF17" s="43" t="str">
        <f>IF($A17=AF$1, IF(ROW(AF17)=2, "+", IF(COUNTIF($B17:AE17, "X")=0, "+", "-")), IF(MOD($A17, AF$1)=0, "X", "O"))</f>
        <v>O</v>
      </c>
      <c r="AG17" s="43" t="str">
        <f>IF($A17=AG$1, IF(ROW(AG17)=2, "+", IF(COUNTIF($B17:AF17, "X")=0, "+", "-")), IF(MOD($A17, AG$1)=0, "X", "O"))</f>
        <v>O</v>
      </c>
      <c r="AH17" s="43" t="str">
        <f>IF($A17=AH$1, IF(ROW(AH17)=2, "+", IF(COUNTIF($B17:AG17, "X")=0, "+", "-")), IF(MOD($A17, AH$1)=0, "X", "O"))</f>
        <v>O</v>
      </c>
      <c r="AI17" s="43" t="str">
        <f>IF($A17=AI$1, IF(ROW(AI17)=2, "+", IF(COUNTIF($B17:AH17, "X")=0, "+", "-")), IF(MOD($A17, AI$1)=0, "X", "O"))</f>
        <v>O</v>
      </c>
      <c r="AJ17" s="43" t="str">
        <f>IF($A17=AJ$1, IF(ROW(AJ17)=2, "+", IF(COUNTIF($B17:AI17, "X")=0, "+", "-")), IF(MOD($A17, AJ$1)=0, "X", "O"))</f>
        <v>O</v>
      </c>
      <c r="AK17" s="43" t="str">
        <f>IF($A17=AK$1, IF(ROW(AK17)=2, "+", IF(COUNTIF($B17:AJ17, "X")=0, "+", "-")), IF(MOD($A17, AK$1)=0, "X", "O"))</f>
        <v>O</v>
      </c>
      <c r="AL17" s="43" t="str">
        <f>IF($A17=AL$1, IF(ROW(AL17)=2, "+", IF(COUNTIF($B17:AK17, "X")=0, "+", "-")), IF(MOD($A17, AL$1)=0, "X", "O"))</f>
        <v>O</v>
      </c>
      <c r="AM17" s="43" t="str">
        <f>IF($A17=AM$1, IF(ROW(AM17)=2, "+", IF(COUNTIF($B17:AL17, "X")=0, "+", "-")), IF(MOD($A17, AM$1)=0, "X", "O"))</f>
        <v>O</v>
      </c>
      <c r="AN17" s="43" t="str">
        <f>IF($A17=AN$1, IF(ROW(AN17)=2, "+", IF(COUNTIF($B17:AM17, "X")=0, "+", "-")), IF(MOD($A17, AN$1)=0, "X", "O"))</f>
        <v>O</v>
      </c>
      <c r="AO17" s="43" t="str">
        <f>IF($A17=AO$1, IF(ROW(AO17)=2, "+", IF(COUNTIF($B17:AN17, "X")=0, "+", "-")), IF(MOD($A17, AO$1)=0, "X", "O"))</f>
        <v>O</v>
      </c>
      <c r="AP17" s="43" t="str">
        <f>IF($A17=AP$1, IF(ROW(AP17)=2, "+", IF(COUNTIF($B17:AO17, "X")=0, "+", "-")), IF(MOD($A17, AP$1)=0, "X", "O"))</f>
        <v>O</v>
      </c>
      <c r="AQ17" s="43" t="str">
        <f>IF($A17=AQ$1, IF(ROW(AQ17)=2, "+", IF(COUNTIF($B17:AP17, "X")=0, "+", "-")), IF(MOD($A17, AQ$1)=0, "X", "O"))</f>
        <v>O</v>
      </c>
      <c r="AR17" s="43" t="str">
        <f>IF($A17=AR$1, IF(ROW(AR17)=2, "+", IF(COUNTIF($B17:AQ17, "X")=0, "+", "-")), IF(MOD($A17, AR$1)=0, "X", "O"))</f>
        <v>O</v>
      </c>
      <c r="AS17" s="43" t="str">
        <f>IF($A17=AS$1, IF(ROW(AS17)=2, "+", IF(COUNTIF($B17:AR17, "X")=0, "+", "-")), IF(MOD($A17, AS$1)=0, "X", "O"))</f>
        <v>O</v>
      </c>
      <c r="AT17" s="43" t="str">
        <f>IF($A17=AT$1, IF(ROW(AT17)=2, "+", IF(COUNTIF($B17:AS17, "X")=0, "+", "-")), IF(MOD($A17, AT$1)=0, "X", "O"))</f>
        <v>O</v>
      </c>
      <c r="AU17" s="43" t="str">
        <f>IF($A17=AU$1, IF(ROW(AU17)=2, "+", IF(COUNTIF($B17:AT17, "X")=0, "+", "-")), IF(MOD($A17, AU$1)=0, "X", "O"))</f>
        <v>O</v>
      </c>
      <c r="AV17" s="43" t="str">
        <f>IF($A17=AV$1, IF(ROW(AV17)=2, "+", IF(COUNTIF($B17:AU17, "X")=0, "+", "-")), IF(MOD($A17, AV$1)=0, "X", "O"))</f>
        <v>O</v>
      </c>
      <c r="AW17" s="43" t="str">
        <f>IF($A17=AW$1, IF(ROW(AW17)=2, "+", IF(COUNTIF($B17:AV17, "X")=0, "+", "-")), IF(MOD($A17, AW$1)=0, "X", "O"))</f>
        <v>O</v>
      </c>
      <c r="AX17" s="43" t="str">
        <f>IF($A17=AX$1, IF(ROW(AX17)=2, "+", IF(COUNTIF($B17:AW17, "X")=0, "+", "-")), IF(MOD($A17, AX$1)=0, "X", "O"))</f>
        <v>O</v>
      </c>
      <c r="AY17" s="43" t="str">
        <f>IF($A17=AY$1, IF(ROW(AY17)=2, "+", IF(COUNTIF($B17:AX17, "X")=0, "+", "-")), IF(MOD($A17, AY$1)=0, "X", "O"))</f>
        <v>O</v>
      </c>
      <c r="AZ17" s="43" t="str">
        <f>IF($A17=AZ$1, IF(ROW(AZ17)=2, "+", IF(COUNTIF($B17:AY17, "X")=0, "+", "-")), IF(MOD($A17, AZ$1)=0, "X", "O"))</f>
        <v>O</v>
      </c>
      <c r="BA17" s="43" t="str">
        <f>IF($A17=BA$1, IF(ROW(BA17)=2, "+", IF(COUNTIF($B17:AZ17, "X")=0, "+", "-")), IF(MOD($A17, BA$1)=0, "X", "O"))</f>
        <v>O</v>
      </c>
      <c r="BB17" s="43" t="str">
        <f>IF($A17=BB$1, IF(ROW(BB17)=2, "+", IF(COUNTIF($B17:BA17, "X")=0, "+", "-")), IF(MOD($A17, BB$1)=0, "X", "O"))</f>
        <v>O</v>
      </c>
      <c r="BC17" s="43" t="str">
        <f>IF($A17=BC$1, IF(ROW(BC17)=2, "+", IF(COUNTIF($B17:BB17, "X")=0, "+", "-")), IF(MOD($A17, BC$1)=0, "X", "O"))</f>
        <v>O</v>
      </c>
      <c r="BD17" s="43" t="str">
        <f>IF($A17=BD$1, IF(ROW(BD17)=2, "+", IF(COUNTIF($B17:BC17, "X")=0, "+", "-")), IF(MOD($A17, BD$1)=0, "X", "O"))</f>
        <v>O</v>
      </c>
      <c r="BE17" s="43" t="str">
        <f>IF($A17=BE$1, IF(ROW(BE17)=2, "+", IF(COUNTIF($B17:BD17, "X")=0, "+", "-")), IF(MOD($A17, BE$1)=0, "X", "O"))</f>
        <v>O</v>
      </c>
      <c r="BF17" s="43" t="str">
        <f>IF($A17=BF$1, IF(ROW(BF17)=2, "+", IF(COUNTIF($B17:BE17, "X")=0, "+", "-")), IF(MOD($A17, BF$1)=0, "X", "O"))</f>
        <v>O</v>
      </c>
      <c r="BG17" s="43" t="str">
        <f>IF($A17=BG$1, IF(ROW(BG17)=2, "+", IF(COUNTIF($B17:BF17, "X")=0, "+", "-")), IF(MOD($A17, BG$1)=0, "X", "O"))</f>
        <v>O</v>
      </c>
      <c r="BH17" s="43" t="str">
        <f>IF($A17=BH$1, IF(ROW(BH17)=2, "+", IF(COUNTIF($B17:BG17, "X")=0, "+", "-")), IF(MOD($A17, BH$1)=0, "X", "O"))</f>
        <v>O</v>
      </c>
    </row>
    <row r="18" spans="1:60" x14ac:dyDescent="0.25">
      <c r="A18">
        <v>18</v>
      </c>
      <c r="B18" s="43" t="str">
        <f>IF($A18=B$1, IF(ROW(B18)=2, "+", IF(COUNTIF(A18:$B18, "X")=0, "+", "-")), IF(MOD($A18, B$1)=0, "X", "O"))</f>
        <v>X</v>
      </c>
      <c r="C18" s="43" t="str">
        <f>IF($A18=C$1, IF(ROW(C18)=2, "+", IF(COUNTIF(B18:$B18, "X")=0, "+", "-")), IF(MOD($A18, C$1)=0, "X", "O"))</f>
        <v>X</v>
      </c>
      <c r="D18" s="43" t="str">
        <f>IF($A18=D$1, IF(ROW(D18)=2, "+", IF(COUNTIF($B18:C18, "X")=0, "+", "-")), IF(MOD($A18, D$1)=0, "X", "O"))</f>
        <v>O</v>
      </c>
      <c r="E18" s="43" t="str">
        <f>IF($A18=E$1, IF(ROW(E18)=2, "+", IF(COUNTIF($B18:D18, "X")=0, "+", "-")), IF(MOD($A18, E$1)=0, "X", "O"))</f>
        <v>O</v>
      </c>
      <c r="F18" s="43" t="str">
        <f>IF($A18=F$1, IF(ROW(F18)=2, "+", IF(COUNTIF($B18:E18, "X")=0, "+", "-")), IF(MOD($A18, F$1)=0, "X", "O"))</f>
        <v>X</v>
      </c>
      <c r="G18" s="43" t="str">
        <f>IF($A18=G$1, IF(ROW(G18)=2, "+", IF(COUNTIF($B18:F18, "X")=0, "+", "-")), IF(MOD($A18, G$1)=0, "X", "O"))</f>
        <v>O</v>
      </c>
      <c r="H18" s="43" t="str">
        <f>IF($A18=H$1, IF(ROW(H18)=2, "+", IF(COUNTIF($B18:G18, "X")=0, "+", "-")), IF(MOD($A18, H$1)=0, "X", "O"))</f>
        <v>O</v>
      </c>
      <c r="I18" s="43" t="str">
        <f>IF($A18=I$1, IF(ROW(I18)=2, "+", IF(COUNTIF($B18:H18, "X")=0, "+", "-")), IF(MOD($A18, I$1)=0, "X", "O"))</f>
        <v>X</v>
      </c>
      <c r="J18" s="43" t="str">
        <f>IF($A18=J$1, IF(ROW(J18)=2, "+", IF(COUNTIF($B18:I18, "X")=0, "+", "-")), IF(MOD($A18, J$1)=0, "X", "O"))</f>
        <v>O</v>
      </c>
      <c r="K18" s="43" t="str">
        <f>IF($A18=K$1, IF(ROW(K18)=2, "+", IF(COUNTIF($B18:J18, "X")=0, "+", "-")), IF(MOD($A18, K$1)=0, "X", "O"))</f>
        <v>O</v>
      </c>
      <c r="L18" s="43" t="str">
        <f>IF($A18=L$1, IF(ROW(L18)=2, "+", IF(COUNTIF($B18:K18, "X")=0, "+", "-")), IF(MOD($A18, L$1)=0, "X", "O"))</f>
        <v>O</v>
      </c>
      <c r="M18" s="43" t="str">
        <f>IF($A18=M$1, IF(ROW(M18)=2, "+", IF(COUNTIF($B18:L18, "X")=0, "+", "-")), IF(MOD($A18, M$1)=0, "X", "O"))</f>
        <v>O</v>
      </c>
      <c r="N18" s="43" t="str">
        <f>IF($A18=N$1, IF(ROW(N18)=2, "+", IF(COUNTIF($B18:M18, "X")=0, "+", "-")), IF(MOD($A18, N$1)=0, "X", "O"))</f>
        <v>O</v>
      </c>
      <c r="O18" s="43" t="str">
        <f>IF($A18=O$1, IF(ROW(O18)=2, "+", IF(COUNTIF($B18:N18, "X")=0, "+", "-")), IF(MOD($A18, O$1)=0, "X", "O"))</f>
        <v>O</v>
      </c>
      <c r="P18" s="43" t="str">
        <f>IF($A18=P$1, IF(ROW(P18)=2, "+", IF(COUNTIF($B18:O18, "X")=0, "+", "-")), IF(MOD($A18, P$1)=0, "X", "O"))</f>
        <v>O</v>
      </c>
      <c r="Q18" s="43" t="str">
        <f>IF($A18=Q$1, IF(ROW(Q18)=2, "+", IF(COUNTIF($B18:P18, "X")=0, "+", "-")), IF(MOD($A18, Q$1)=0, "X", "O"))</f>
        <v>O</v>
      </c>
      <c r="R18" s="43" t="str">
        <f>IF($A18=R$1, IF(ROW(R18)=2, "+", IF(COUNTIF($B18:Q18, "X")=0, "+", "-")), IF(MOD($A18, R$1)=0, "X", "O"))</f>
        <v>-</v>
      </c>
      <c r="S18" s="43" t="str">
        <f>IF($A18=S$1, IF(ROW(S18)=2, "+", IF(COUNTIF($B18:R18, "X")=0, "+", "-")), IF(MOD($A18, S$1)=0, "X", "O"))</f>
        <v>O</v>
      </c>
      <c r="T18" s="43" t="str">
        <f>IF($A18=T$1, IF(ROW(T18)=2, "+", IF(COUNTIF($B18:S18, "X")=0, "+", "-")), IF(MOD($A18, T$1)=0, "X", "O"))</f>
        <v>O</v>
      </c>
      <c r="U18" s="43" t="str">
        <f>IF($A18=U$1, IF(ROW(U18)=2, "+", IF(COUNTIF($B18:T18, "X")=0, "+", "-")), IF(MOD($A18, U$1)=0, "X", "O"))</f>
        <v>O</v>
      </c>
      <c r="V18" s="43" t="str">
        <f>IF($A18=V$1, IF(ROW(V18)=2, "+", IF(COUNTIF($B18:U18, "X")=0, "+", "-")), IF(MOD($A18, V$1)=0, "X", "O"))</f>
        <v>O</v>
      </c>
      <c r="W18" s="43" t="str">
        <f>IF($A18=W$1, IF(ROW(W18)=2, "+", IF(COUNTIF($B18:V18, "X")=0, "+", "-")), IF(MOD($A18, W$1)=0, "X", "O"))</f>
        <v>O</v>
      </c>
      <c r="X18" s="43" t="str">
        <f>IF($A18=X$1, IF(ROW(X18)=2, "+", IF(COUNTIF($B18:W18, "X")=0, "+", "-")), IF(MOD($A18, X$1)=0, "X", "O"))</f>
        <v>O</v>
      </c>
      <c r="Y18" s="43" t="str">
        <f>IF($A18=Y$1, IF(ROW(Y18)=2, "+", IF(COUNTIF($B18:X18, "X")=0, "+", "-")), IF(MOD($A18, Y$1)=0, "X", "O"))</f>
        <v>O</v>
      </c>
      <c r="Z18" s="43" t="str">
        <f>IF($A18=Z$1, IF(ROW(Z18)=2, "+", IF(COUNTIF($B18:Y18, "X")=0, "+", "-")), IF(MOD($A18, Z$1)=0, "X", "O"))</f>
        <v>O</v>
      </c>
      <c r="AA18" s="43" t="str">
        <f>IF($A18=AA$1, IF(ROW(AA18)=2, "+", IF(COUNTIF($B18:Z18, "X")=0, "+", "-")), IF(MOD($A18, AA$1)=0, "X", "O"))</f>
        <v>O</v>
      </c>
      <c r="AB18" s="43" t="str">
        <f>IF($A18=AB$1, IF(ROW(AB18)=2, "+", IF(COUNTIF($B18:AA18, "X")=0, "+", "-")), IF(MOD($A18, AB$1)=0, "X", "O"))</f>
        <v>O</v>
      </c>
      <c r="AC18" s="43" t="str">
        <f>IF($A18=AC$1, IF(ROW(AC18)=2, "+", IF(COUNTIF($B18:AB18, "X")=0, "+", "-")), IF(MOD($A18, AC$1)=0, "X", "O"))</f>
        <v>O</v>
      </c>
      <c r="AD18" s="43" t="str">
        <f>IF($A18=AD$1, IF(ROW(AD18)=2, "+", IF(COUNTIF($B18:AC18, "X")=0, "+", "-")), IF(MOD($A18, AD$1)=0, "X", "O"))</f>
        <v>O</v>
      </c>
      <c r="AE18" s="43" t="str">
        <f>IF($A18=AE$1, IF(ROW(AE18)=2, "+", IF(COUNTIF($B18:AD18, "X")=0, "+", "-")), IF(MOD($A18, AE$1)=0, "X", "O"))</f>
        <v>O</v>
      </c>
      <c r="AF18" s="43" t="str">
        <f>IF($A18=AF$1, IF(ROW(AF18)=2, "+", IF(COUNTIF($B18:AE18, "X")=0, "+", "-")), IF(MOD($A18, AF$1)=0, "X", "O"))</f>
        <v>O</v>
      </c>
      <c r="AG18" s="43" t="str">
        <f>IF($A18=AG$1, IF(ROW(AG18)=2, "+", IF(COUNTIF($B18:AF18, "X")=0, "+", "-")), IF(MOD($A18, AG$1)=0, "X", "O"))</f>
        <v>O</v>
      </c>
      <c r="AH18" s="43" t="str">
        <f>IF($A18=AH$1, IF(ROW(AH18)=2, "+", IF(COUNTIF($B18:AG18, "X")=0, "+", "-")), IF(MOD($A18, AH$1)=0, "X", "O"))</f>
        <v>O</v>
      </c>
      <c r="AI18" s="43" t="str">
        <f>IF($A18=AI$1, IF(ROW(AI18)=2, "+", IF(COUNTIF($B18:AH18, "X")=0, "+", "-")), IF(MOD($A18, AI$1)=0, "X", "O"))</f>
        <v>O</v>
      </c>
      <c r="AJ18" s="43" t="str">
        <f>IF($A18=AJ$1, IF(ROW(AJ18)=2, "+", IF(COUNTIF($B18:AI18, "X")=0, "+", "-")), IF(MOD($A18, AJ$1)=0, "X", "O"))</f>
        <v>O</v>
      </c>
      <c r="AK18" s="43" t="str">
        <f>IF($A18=AK$1, IF(ROW(AK18)=2, "+", IF(COUNTIF($B18:AJ18, "X")=0, "+", "-")), IF(MOD($A18, AK$1)=0, "X", "O"))</f>
        <v>O</v>
      </c>
      <c r="AL18" s="43" t="str">
        <f>IF($A18=AL$1, IF(ROW(AL18)=2, "+", IF(COUNTIF($B18:AK18, "X")=0, "+", "-")), IF(MOD($A18, AL$1)=0, "X", "O"))</f>
        <v>O</v>
      </c>
      <c r="AM18" s="43" t="str">
        <f>IF($A18=AM$1, IF(ROW(AM18)=2, "+", IF(COUNTIF($B18:AL18, "X")=0, "+", "-")), IF(MOD($A18, AM$1)=0, "X", "O"))</f>
        <v>O</v>
      </c>
      <c r="AN18" s="43" t="str">
        <f>IF($A18=AN$1, IF(ROW(AN18)=2, "+", IF(COUNTIF($B18:AM18, "X")=0, "+", "-")), IF(MOD($A18, AN$1)=0, "X", "O"))</f>
        <v>O</v>
      </c>
      <c r="AO18" s="43" t="str">
        <f>IF($A18=AO$1, IF(ROW(AO18)=2, "+", IF(COUNTIF($B18:AN18, "X")=0, "+", "-")), IF(MOD($A18, AO$1)=0, "X", "O"))</f>
        <v>O</v>
      </c>
      <c r="AP18" s="43" t="str">
        <f>IF($A18=AP$1, IF(ROW(AP18)=2, "+", IF(COUNTIF($B18:AO18, "X")=0, "+", "-")), IF(MOD($A18, AP$1)=0, "X", "O"))</f>
        <v>O</v>
      </c>
      <c r="AQ18" s="43" t="str">
        <f>IF($A18=AQ$1, IF(ROW(AQ18)=2, "+", IF(COUNTIF($B18:AP18, "X")=0, "+", "-")), IF(MOD($A18, AQ$1)=0, "X", "O"))</f>
        <v>O</v>
      </c>
      <c r="AR18" s="43" t="str">
        <f>IF($A18=AR$1, IF(ROW(AR18)=2, "+", IF(COUNTIF($B18:AQ18, "X")=0, "+", "-")), IF(MOD($A18, AR$1)=0, "X", "O"))</f>
        <v>O</v>
      </c>
      <c r="AS18" s="43" t="str">
        <f>IF($A18=AS$1, IF(ROW(AS18)=2, "+", IF(COUNTIF($B18:AR18, "X")=0, "+", "-")), IF(MOD($A18, AS$1)=0, "X", "O"))</f>
        <v>O</v>
      </c>
      <c r="AT18" s="43" t="str">
        <f>IF($A18=AT$1, IF(ROW(AT18)=2, "+", IF(COUNTIF($B18:AS18, "X")=0, "+", "-")), IF(MOD($A18, AT$1)=0, "X", "O"))</f>
        <v>O</v>
      </c>
      <c r="AU18" s="43" t="str">
        <f>IF($A18=AU$1, IF(ROW(AU18)=2, "+", IF(COUNTIF($B18:AT18, "X")=0, "+", "-")), IF(MOD($A18, AU$1)=0, "X", "O"))</f>
        <v>O</v>
      </c>
      <c r="AV18" s="43" t="str">
        <f>IF($A18=AV$1, IF(ROW(AV18)=2, "+", IF(COUNTIF($B18:AU18, "X")=0, "+", "-")), IF(MOD($A18, AV$1)=0, "X", "O"))</f>
        <v>O</v>
      </c>
      <c r="AW18" s="43" t="str">
        <f>IF($A18=AW$1, IF(ROW(AW18)=2, "+", IF(COUNTIF($B18:AV18, "X")=0, "+", "-")), IF(MOD($A18, AW$1)=0, "X", "O"))</f>
        <v>O</v>
      </c>
      <c r="AX18" s="43" t="str">
        <f>IF($A18=AX$1, IF(ROW(AX18)=2, "+", IF(COUNTIF($B18:AW18, "X")=0, "+", "-")), IF(MOD($A18, AX$1)=0, "X", "O"))</f>
        <v>O</v>
      </c>
      <c r="AY18" s="43" t="str">
        <f>IF($A18=AY$1, IF(ROW(AY18)=2, "+", IF(COUNTIF($B18:AX18, "X")=0, "+", "-")), IF(MOD($A18, AY$1)=0, "X", "O"))</f>
        <v>O</v>
      </c>
      <c r="AZ18" s="43" t="str">
        <f>IF($A18=AZ$1, IF(ROW(AZ18)=2, "+", IF(COUNTIF($B18:AY18, "X")=0, "+", "-")), IF(MOD($A18, AZ$1)=0, "X", "O"))</f>
        <v>O</v>
      </c>
      <c r="BA18" s="43" t="str">
        <f>IF($A18=BA$1, IF(ROW(BA18)=2, "+", IF(COUNTIF($B18:AZ18, "X")=0, "+", "-")), IF(MOD($A18, BA$1)=0, "X", "O"))</f>
        <v>O</v>
      </c>
      <c r="BB18" s="43" t="str">
        <f>IF($A18=BB$1, IF(ROW(BB18)=2, "+", IF(COUNTIF($B18:BA18, "X")=0, "+", "-")), IF(MOD($A18, BB$1)=0, "X", "O"))</f>
        <v>O</v>
      </c>
      <c r="BC18" s="43" t="str">
        <f>IF($A18=BC$1, IF(ROW(BC18)=2, "+", IF(COUNTIF($B18:BB18, "X")=0, "+", "-")), IF(MOD($A18, BC$1)=0, "X", "O"))</f>
        <v>O</v>
      </c>
      <c r="BD18" s="43" t="str">
        <f>IF($A18=BD$1, IF(ROW(BD18)=2, "+", IF(COUNTIF($B18:BC18, "X")=0, "+", "-")), IF(MOD($A18, BD$1)=0, "X", "O"))</f>
        <v>O</v>
      </c>
      <c r="BE18" s="43" t="str">
        <f>IF($A18=BE$1, IF(ROW(BE18)=2, "+", IF(COUNTIF($B18:BD18, "X")=0, "+", "-")), IF(MOD($A18, BE$1)=0, "X", "O"))</f>
        <v>O</v>
      </c>
      <c r="BF18" s="43" t="str">
        <f>IF($A18=BF$1, IF(ROW(BF18)=2, "+", IF(COUNTIF($B18:BE18, "X")=0, "+", "-")), IF(MOD($A18, BF$1)=0, "X", "O"))</f>
        <v>O</v>
      </c>
      <c r="BG18" s="43" t="str">
        <f>IF($A18=BG$1, IF(ROW(BG18)=2, "+", IF(COUNTIF($B18:BF18, "X")=0, "+", "-")), IF(MOD($A18, BG$1)=0, "X", "O"))</f>
        <v>O</v>
      </c>
      <c r="BH18" s="43" t="str">
        <f>IF($A18=BH$1, IF(ROW(BH18)=2, "+", IF(COUNTIF($B18:BG18, "X")=0, "+", "-")), IF(MOD($A18, BH$1)=0, "X", "O"))</f>
        <v>O</v>
      </c>
    </row>
    <row r="19" spans="1:60" x14ac:dyDescent="0.25">
      <c r="A19">
        <v>19</v>
      </c>
      <c r="B19" s="43" t="str">
        <f>IF($A19=B$1, IF(ROW(B19)=2, "+", IF(COUNTIF(A19:$B19, "X")=0, "+", "-")), IF(MOD($A19, B$1)=0, "X", "O"))</f>
        <v>O</v>
      </c>
      <c r="C19" s="43" t="str">
        <f>IF($A19=C$1, IF(ROW(C19)=2, "+", IF(COUNTIF(B19:$B19, "X")=0, "+", "-")), IF(MOD($A19, C$1)=0, "X", "O"))</f>
        <v>O</v>
      </c>
      <c r="D19" s="43" t="str">
        <f>IF($A19=D$1, IF(ROW(D19)=2, "+", IF(COUNTIF($B19:C19, "X")=0, "+", "-")), IF(MOD($A19, D$1)=0, "X", "O"))</f>
        <v>O</v>
      </c>
      <c r="E19" s="43" t="str">
        <f>IF($A19=E$1, IF(ROW(E19)=2, "+", IF(COUNTIF($B19:D19, "X")=0, "+", "-")), IF(MOD($A19, E$1)=0, "X", "O"))</f>
        <v>O</v>
      </c>
      <c r="F19" s="43" t="str">
        <f>IF($A19=F$1, IF(ROW(F19)=2, "+", IF(COUNTIF($B19:E19, "X")=0, "+", "-")), IF(MOD($A19, F$1)=0, "X", "O"))</f>
        <v>O</v>
      </c>
      <c r="G19" s="43" t="str">
        <f>IF($A19=G$1, IF(ROW(G19)=2, "+", IF(COUNTIF($B19:F19, "X")=0, "+", "-")), IF(MOD($A19, G$1)=0, "X", "O"))</f>
        <v>O</v>
      </c>
      <c r="H19" s="43" t="str">
        <f>IF($A19=H$1, IF(ROW(H19)=2, "+", IF(COUNTIF($B19:G19, "X")=0, "+", "-")), IF(MOD($A19, H$1)=0, "X", "O"))</f>
        <v>O</v>
      </c>
      <c r="I19" s="43" t="str">
        <f>IF($A19=I$1, IF(ROW(I19)=2, "+", IF(COUNTIF($B19:H19, "X")=0, "+", "-")), IF(MOD($A19, I$1)=0, "X", "O"))</f>
        <v>O</v>
      </c>
      <c r="J19" s="43" t="str">
        <f>IF($A19=J$1, IF(ROW(J19)=2, "+", IF(COUNTIF($B19:I19, "X")=0, "+", "-")), IF(MOD($A19, J$1)=0, "X", "O"))</f>
        <v>O</v>
      </c>
      <c r="K19" s="43" t="str">
        <f>IF($A19=K$1, IF(ROW(K19)=2, "+", IF(COUNTIF($B19:J19, "X")=0, "+", "-")), IF(MOD($A19, K$1)=0, "X", "O"))</f>
        <v>O</v>
      </c>
      <c r="L19" s="43" t="str">
        <f>IF($A19=L$1, IF(ROW(L19)=2, "+", IF(COUNTIF($B19:K19, "X")=0, "+", "-")), IF(MOD($A19, L$1)=0, "X", "O"))</f>
        <v>O</v>
      </c>
      <c r="M19" s="43" t="str">
        <f>IF($A19=M$1, IF(ROW(M19)=2, "+", IF(COUNTIF($B19:L19, "X")=0, "+", "-")), IF(MOD($A19, M$1)=0, "X", "O"))</f>
        <v>O</v>
      </c>
      <c r="N19" s="43" t="str">
        <f>IF($A19=N$1, IF(ROW(N19)=2, "+", IF(COUNTIF($B19:M19, "X")=0, "+", "-")), IF(MOD($A19, N$1)=0, "X", "O"))</f>
        <v>O</v>
      </c>
      <c r="O19" s="43" t="str">
        <f>IF($A19=O$1, IF(ROW(O19)=2, "+", IF(COUNTIF($B19:N19, "X")=0, "+", "-")), IF(MOD($A19, O$1)=0, "X", "O"))</f>
        <v>O</v>
      </c>
      <c r="P19" s="43" t="str">
        <f>IF($A19=P$1, IF(ROW(P19)=2, "+", IF(COUNTIF($B19:O19, "X")=0, "+", "-")), IF(MOD($A19, P$1)=0, "X", "O"))</f>
        <v>O</v>
      </c>
      <c r="Q19" s="43" t="str">
        <f>IF($A19=Q$1, IF(ROW(Q19)=2, "+", IF(COUNTIF($B19:P19, "X")=0, "+", "-")), IF(MOD($A19, Q$1)=0, "X", "O"))</f>
        <v>O</v>
      </c>
      <c r="R19" s="43" t="str">
        <f>IF($A19=R$1, IF(ROW(R19)=2, "+", IF(COUNTIF($B19:Q19, "X")=0, "+", "-")), IF(MOD($A19, R$1)=0, "X", "O"))</f>
        <v>O</v>
      </c>
      <c r="S19" s="43" t="str">
        <f>IF($A19=S$1, IF(ROW(S19)=2, "+", IF(COUNTIF($B19:R19, "X")=0, "+", "-")), IF(MOD($A19, S$1)=0, "X", "O"))</f>
        <v>+</v>
      </c>
      <c r="T19" s="43" t="str">
        <f>IF($A19=T$1, IF(ROW(T19)=2, "+", IF(COUNTIF($B19:S19, "X")=0, "+", "-")), IF(MOD($A19, T$1)=0, "X", "O"))</f>
        <v>O</v>
      </c>
      <c r="U19" s="43" t="str">
        <f>IF($A19=U$1, IF(ROW(U19)=2, "+", IF(COUNTIF($B19:T19, "X")=0, "+", "-")), IF(MOD($A19, U$1)=0, "X", "O"))</f>
        <v>O</v>
      </c>
      <c r="V19" s="43" t="str">
        <f>IF($A19=V$1, IF(ROW(V19)=2, "+", IF(COUNTIF($B19:U19, "X")=0, "+", "-")), IF(MOD($A19, V$1)=0, "X", "O"))</f>
        <v>O</v>
      </c>
      <c r="W19" s="43" t="str">
        <f>IF($A19=W$1, IF(ROW(W19)=2, "+", IF(COUNTIF($B19:V19, "X")=0, "+", "-")), IF(MOD($A19, W$1)=0, "X", "O"))</f>
        <v>O</v>
      </c>
      <c r="X19" s="43" t="str">
        <f>IF($A19=X$1, IF(ROW(X19)=2, "+", IF(COUNTIF($B19:W19, "X")=0, "+", "-")), IF(MOD($A19, X$1)=0, "X", "O"))</f>
        <v>O</v>
      </c>
      <c r="Y19" s="43" t="str">
        <f>IF($A19=Y$1, IF(ROW(Y19)=2, "+", IF(COUNTIF($B19:X19, "X")=0, "+", "-")), IF(MOD($A19, Y$1)=0, "X", "O"))</f>
        <v>O</v>
      </c>
      <c r="Z19" s="43" t="str">
        <f>IF($A19=Z$1, IF(ROW(Z19)=2, "+", IF(COUNTIF($B19:Y19, "X")=0, "+", "-")), IF(MOD($A19, Z$1)=0, "X", "O"))</f>
        <v>O</v>
      </c>
      <c r="AA19" s="43" t="str">
        <f>IF($A19=AA$1, IF(ROW(AA19)=2, "+", IF(COUNTIF($B19:Z19, "X")=0, "+", "-")), IF(MOD($A19, AA$1)=0, "X", "O"))</f>
        <v>O</v>
      </c>
      <c r="AB19" s="43" t="str">
        <f>IF($A19=AB$1, IF(ROW(AB19)=2, "+", IF(COUNTIF($B19:AA19, "X")=0, "+", "-")), IF(MOD($A19, AB$1)=0, "X", "O"))</f>
        <v>O</v>
      </c>
      <c r="AC19" s="43" t="str">
        <f>IF($A19=AC$1, IF(ROW(AC19)=2, "+", IF(COUNTIF($B19:AB19, "X")=0, "+", "-")), IF(MOD($A19, AC$1)=0, "X", "O"))</f>
        <v>O</v>
      </c>
      <c r="AD19" s="43" t="str">
        <f>IF($A19=AD$1, IF(ROW(AD19)=2, "+", IF(COUNTIF($B19:AC19, "X")=0, "+", "-")), IF(MOD($A19, AD$1)=0, "X", "O"))</f>
        <v>O</v>
      </c>
      <c r="AE19" s="43" t="str">
        <f>IF($A19=AE$1, IF(ROW(AE19)=2, "+", IF(COUNTIF($B19:AD19, "X")=0, "+", "-")), IF(MOD($A19, AE$1)=0, "X", "O"))</f>
        <v>O</v>
      </c>
      <c r="AF19" s="43" t="str">
        <f>IF($A19=AF$1, IF(ROW(AF19)=2, "+", IF(COUNTIF($B19:AE19, "X")=0, "+", "-")), IF(MOD($A19, AF$1)=0, "X", "O"))</f>
        <v>O</v>
      </c>
      <c r="AG19" s="43" t="str">
        <f>IF($A19=AG$1, IF(ROW(AG19)=2, "+", IF(COUNTIF($B19:AF19, "X")=0, "+", "-")), IF(MOD($A19, AG$1)=0, "X", "O"))</f>
        <v>O</v>
      </c>
      <c r="AH19" s="43" t="str">
        <f>IF($A19=AH$1, IF(ROW(AH19)=2, "+", IF(COUNTIF($B19:AG19, "X")=0, "+", "-")), IF(MOD($A19, AH$1)=0, "X", "O"))</f>
        <v>O</v>
      </c>
      <c r="AI19" s="43" t="str">
        <f>IF($A19=AI$1, IF(ROW(AI19)=2, "+", IF(COUNTIF($B19:AH19, "X")=0, "+", "-")), IF(MOD($A19, AI$1)=0, "X", "O"))</f>
        <v>O</v>
      </c>
      <c r="AJ19" s="43" t="str">
        <f>IF($A19=AJ$1, IF(ROW(AJ19)=2, "+", IF(COUNTIF($B19:AI19, "X")=0, "+", "-")), IF(MOD($A19, AJ$1)=0, "X", "O"))</f>
        <v>O</v>
      </c>
      <c r="AK19" s="43" t="str">
        <f>IF($A19=AK$1, IF(ROW(AK19)=2, "+", IF(COUNTIF($B19:AJ19, "X")=0, "+", "-")), IF(MOD($A19, AK$1)=0, "X", "O"))</f>
        <v>O</v>
      </c>
      <c r="AL19" s="43" t="str">
        <f>IF($A19=AL$1, IF(ROW(AL19)=2, "+", IF(COUNTIF($B19:AK19, "X")=0, "+", "-")), IF(MOD($A19, AL$1)=0, "X", "O"))</f>
        <v>O</v>
      </c>
      <c r="AM19" s="43" t="str">
        <f>IF($A19=AM$1, IF(ROW(AM19)=2, "+", IF(COUNTIF($B19:AL19, "X")=0, "+", "-")), IF(MOD($A19, AM$1)=0, "X", "O"))</f>
        <v>O</v>
      </c>
      <c r="AN19" s="43" t="str">
        <f>IF($A19=AN$1, IF(ROW(AN19)=2, "+", IF(COUNTIF($B19:AM19, "X")=0, "+", "-")), IF(MOD($A19, AN$1)=0, "X", "O"))</f>
        <v>O</v>
      </c>
      <c r="AO19" s="43" t="str">
        <f>IF($A19=AO$1, IF(ROW(AO19)=2, "+", IF(COUNTIF($B19:AN19, "X")=0, "+", "-")), IF(MOD($A19, AO$1)=0, "X", "O"))</f>
        <v>O</v>
      </c>
      <c r="AP19" s="43" t="str">
        <f>IF($A19=AP$1, IF(ROW(AP19)=2, "+", IF(COUNTIF($B19:AO19, "X")=0, "+", "-")), IF(MOD($A19, AP$1)=0, "X", "O"))</f>
        <v>O</v>
      </c>
      <c r="AQ19" s="43" t="str">
        <f>IF($A19=AQ$1, IF(ROW(AQ19)=2, "+", IF(COUNTIF($B19:AP19, "X")=0, "+", "-")), IF(MOD($A19, AQ$1)=0, "X", "O"))</f>
        <v>O</v>
      </c>
      <c r="AR19" s="43" t="str">
        <f>IF($A19=AR$1, IF(ROW(AR19)=2, "+", IF(COUNTIF($B19:AQ19, "X")=0, "+", "-")), IF(MOD($A19, AR$1)=0, "X", "O"))</f>
        <v>O</v>
      </c>
      <c r="AS19" s="43" t="str">
        <f>IF($A19=AS$1, IF(ROW(AS19)=2, "+", IF(COUNTIF($B19:AR19, "X")=0, "+", "-")), IF(MOD($A19, AS$1)=0, "X", "O"))</f>
        <v>O</v>
      </c>
      <c r="AT19" s="43" t="str">
        <f>IF($A19=AT$1, IF(ROW(AT19)=2, "+", IF(COUNTIF($B19:AS19, "X")=0, "+", "-")), IF(MOD($A19, AT$1)=0, "X", "O"))</f>
        <v>O</v>
      </c>
      <c r="AU19" s="43" t="str">
        <f>IF($A19=AU$1, IF(ROW(AU19)=2, "+", IF(COUNTIF($B19:AT19, "X")=0, "+", "-")), IF(MOD($A19, AU$1)=0, "X", "O"))</f>
        <v>O</v>
      </c>
      <c r="AV19" s="43" t="str">
        <f>IF($A19=AV$1, IF(ROW(AV19)=2, "+", IF(COUNTIF($B19:AU19, "X")=0, "+", "-")), IF(MOD($A19, AV$1)=0, "X", "O"))</f>
        <v>O</v>
      </c>
      <c r="AW19" s="43" t="str">
        <f>IF($A19=AW$1, IF(ROW(AW19)=2, "+", IF(COUNTIF($B19:AV19, "X")=0, "+", "-")), IF(MOD($A19, AW$1)=0, "X", "O"))</f>
        <v>O</v>
      </c>
      <c r="AX19" s="43" t="str">
        <f>IF($A19=AX$1, IF(ROW(AX19)=2, "+", IF(COUNTIF($B19:AW19, "X")=0, "+", "-")), IF(MOD($A19, AX$1)=0, "X", "O"))</f>
        <v>O</v>
      </c>
      <c r="AY19" s="43" t="str">
        <f>IF($A19=AY$1, IF(ROW(AY19)=2, "+", IF(COUNTIF($B19:AX19, "X")=0, "+", "-")), IF(MOD($A19, AY$1)=0, "X", "O"))</f>
        <v>O</v>
      </c>
      <c r="AZ19" s="43" t="str">
        <f>IF($A19=AZ$1, IF(ROW(AZ19)=2, "+", IF(COUNTIF($B19:AY19, "X")=0, "+", "-")), IF(MOD($A19, AZ$1)=0, "X", "O"))</f>
        <v>O</v>
      </c>
      <c r="BA19" s="43" t="str">
        <f>IF($A19=BA$1, IF(ROW(BA19)=2, "+", IF(COUNTIF($B19:AZ19, "X")=0, "+", "-")), IF(MOD($A19, BA$1)=0, "X", "O"))</f>
        <v>O</v>
      </c>
      <c r="BB19" s="43" t="str">
        <f>IF($A19=BB$1, IF(ROW(BB19)=2, "+", IF(COUNTIF($B19:BA19, "X")=0, "+", "-")), IF(MOD($A19, BB$1)=0, "X", "O"))</f>
        <v>O</v>
      </c>
      <c r="BC19" s="43" t="str">
        <f>IF($A19=BC$1, IF(ROW(BC19)=2, "+", IF(COUNTIF($B19:BB19, "X")=0, "+", "-")), IF(MOD($A19, BC$1)=0, "X", "O"))</f>
        <v>O</v>
      </c>
      <c r="BD19" s="43" t="str">
        <f>IF($A19=BD$1, IF(ROW(BD19)=2, "+", IF(COUNTIF($B19:BC19, "X")=0, "+", "-")), IF(MOD($A19, BD$1)=0, "X", "O"))</f>
        <v>O</v>
      </c>
      <c r="BE19" s="43" t="str">
        <f>IF($A19=BE$1, IF(ROW(BE19)=2, "+", IF(COUNTIF($B19:BD19, "X")=0, "+", "-")), IF(MOD($A19, BE$1)=0, "X", "O"))</f>
        <v>O</v>
      </c>
      <c r="BF19" s="43" t="str">
        <f>IF($A19=BF$1, IF(ROW(BF19)=2, "+", IF(COUNTIF($B19:BE19, "X")=0, "+", "-")), IF(MOD($A19, BF$1)=0, "X", "O"))</f>
        <v>O</v>
      </c>
      <c r="BG19" s="43" t="str">
        <f>IF($A19=BG$1, IF(ROW(BG19)=2, "+", IF(COUNTIF($B19:BF19, "X")=0, "+", "-")), IF(MOD($A19, BG$1)=0, "X", "O"))</f>
        <v>O</v>
      </c>
      <c r="BH19" s="43" t="str">
        <f>IF($A19=BH$1, IF(ROW(BH19)=2, "+", IF(COUNTIF($B19:BG19, "X")=0, "+", "-")), IF(MOD($A19, BH$1)=0, "X", "O"))</f>
        <v>O</v>
      </c>
    </row>
    <row r="20" spans="1:60" x14ac:dyDescent="0.25">
      <c r="A20">
        <v>20</v>
      </c>
      <c r="B20" s="43" t="str">
        <f>IF($A20=B$1, IF(ROW(B20)=2, "+", IF(COUNTIF(A20:$B20, "X")=0, "+", "-")), IF(MOD($A20, B$1)=0, "X", "O"))</f>
        <v>X</v>
      </c>
      <c r="C20" s="43" t="str">
        <f>IF($A20=C$1, IF(ROW(C20)=2, "+", IF(COUNTIF(B20:$B20, "X")=0, "+", "-")), IF(MOD($A20, C$1)=0, "X", "O"))</f>
        <v>O</v>
      </c>
      <c r="D20" s="43" t="str">
        <f>IF($A20=D$1, IF(ROW(D20)=2, "+", IF(COUNTIF($B20:C20, "X")=0, "+", "-")), IF(MOD($A20, D$1)=0, "X", "O"))</f>
        <v>X</v>
      </c>
      <c r="E20" s="43" t="str">
        <f>IF($A20=E$1, IF(ROW(E20)=2, "+", IF(COUNTIF($B20:D20, "X")=0, "+", "-")), IF(MOD($A20, E$1)=0, "X", "O"))</f>
        <v>X</v>
      </c>
      <c r="F20" s="43" t="str">
        <f>IF($A20=F$1, IF(ROW(F20)=2, "+", IF(COUNTIF($B20:E20, "X")=0, "+", "-")), IF(MOD($A20, F$1)=0, "X", "O"))</f>
        <v>O</v>
      </c>
      <c r="G20" s="43" t="str">
        <f>IF($A20=G$1, IF(ROW(G20)=2, "+", IF(COUNTIF($B20:F20, "X")=0, "+", "-")), IF(MOD($A20, G$1)=0, "X", "O"))</f>
        <v>O</v>
      </c>
      <c r="H20" s="43" t="str">
        <f>IF($A20=H$1, IF(ROW(H20)=2, "+", IF(COUNTIF($B20:G20, "X")=0, "+", "-")), IF(MOD($A20, H$1)=0, "X", "O"))</f>
        <v>O</v>
      </c>
      <c r="I20" s="43" t="str">
        <f>IF($A20=I$1, IF(ROW(I20)=2, "+", IF(COUNTIF($B20:H20, "X")=0, "+", "-")), IF(MOD($A20, I$1)=0, "X", "O"))</f>
        <v>O</v>
      </c>
      <c r="J20" s="43" t="str">
        <f>IF($A20=J$1, IF(ROW(J20)=2, "+", IF(COUNTIF($B20:I20, "X")=0, "+", "-")), IF(MOD($A20, J$1)=0, "X", "O"))</f>
        <v>X</v>
      </c>
      <c r="K20" s="43" t="str">
        <f>IF($A20=K$1, IF(ROW(K20)=2, "+", IF(COUNTIF($B20:J20, "X")=0, "+", "-")), IF(MOD($A20, K$1)=0, "X", "O"))</f>
        <v>O</v>
      </c>
      <c r="L20" s="43" t="str">
        <f>IF($A20=L$1, IF(ROW(L20)=2, "+", IF(COUNTIF($B20:K20, "X")=0, "+", "-")), IF(MOD($A20, L$1)=0, "X", "O"))</f>
        <v>O</v>
      </c>
      <c r="M20" s="43" t="str">
        <f>IF($A20=M$1, IF(ROW(M20)=2, "+", IF(COUNTIF($B20:L20, "X")=0, "+", "-")), IF(MOD($A20, M$1)=0, "X", "O"))</f>
        <v>O</v>
      </c>
      <c r="N20" s="43" t="str">
        <f>IF($A20=N$1, IF(ROW(N20)=2, "+", IF(COUNTIF($B20:M20, "X")=0, "+", "-")), IF(MOD($A20, N$1)=0, "X", "O"))</f>
        <v>O</v>
      </c>
      <c r="O20" s="43" t="str">
        <f>IF($A20=O$1, IF(ROW(O20)=2, "+", IF(COUNTIF($B20:N20, "X")=0, "+", "-")), IF(MOD($A20, O$1)=0, "X", "O"))</f>
        <v>O</v>
      </c>
      <c r="P20" s="43" t="str">
        <f>IF($A20=P$1, IF(ROW(P20)=2, "+", IF(COUNTIF($B20:O20, "X")=0, "+", "-")), IF(MOD($A20, P$1)=0, "X", "O"))</f>
        <v>O</v>
      </c>
      <c r="Q20" s="43" t="str">
        <f>IF($A20=Q$1, IF(ROW(Q20)=2, "+", IF(COUNTIF($B20:P20, "X")=0, "+", "-")), IF(MOD($A20, Q$1)=0, "X", "O"))</f>
        <v>O</v>
      </c>
      <c r="R20" s="43" t="str">
        <f>IF($A20=R$1, IF(ROW(R20)=2, "+", IF(COUNTIF($B20:Q20, "X")=0, "+", "-")), IF(MOD($A20, R$1)=0, "X", "O"))</f>
        <v>O</v>
      </c>
      <c r="S20" s="43" t="str">
        <f>IF($A20=S$1, IF(ROW(S20)=2, "+", IF(COUNTIF($B20:R20, "X")=0, "+", "-")), IF(MOD($A20, S$1)=0, "X", "O"))</f>
        <v>O</v>
      </c>
      <c r="T20" s="43" t="str">
        <f>IF($A20=T$1, IF(ROW(T20)=2, "+", IF(COUNTIF($B20:S20, "X")=0, "+", "-")), IF(MOD($A20, T$1)=0, "X", "O"))</f>
        <v>-</v>
      </c>
      <c r="U20" s="43" t="str">
        <f>IF($A20=U$1, IF(ROW(U20)=2, "+", IF(COUNTIF($B20:T20, "X")=0, "+", "-")), IF(MOD($A20, U$1)=0, "X", "O"))</f>
        <v>O</v>
      </c>
      <c r="V20" s="43" t="str">
        <f>IF($A20=V$1, IF(ROW(V20)=2, "+", IF(COUNTIF($B20:U20, "X")=0, "+", "-")), IF(MOD($A20, V$1)=0, "X", "O"))</f>
        <v>O</v>
      </c>
      <c r="W20" s="43" t="str">
        <f>IF($A20=W$1, IF(ROW(W20)=2, "+", IF(COUNTIF($B20:V20, "X")=0, "+", "-")), IF(MOD($A20, W$1)=0, "X", "O"))</f>
        <v>O</v>
      </c>
      <c r="X20" s="43" t="str">
        <f>IF($A20=X$1, IF(ROW(X20)=2, "+", IF(COUNTIF($B20:W20, "X")=0, "+", "-")), IF(MOD($A20, X$1)=0, "X", "O"))</f>
        <v>O</v>
      </c>
      <c r="Y20" s="43" t="str">
        <f>IF($A20=Y$1, IF(ROW(Y20)=2, "+", IF(COUNTIF($B20:X20, "X")=0, "+", "-")), IF(MOD($A20, Y$1)=0, "X", "O"))</f>
        <v>O</v>
      </c>
      <c r="Z20" s="43" t="str">
        <f>IF($A20=Z$1, IF(ROW(Z20)=2, "+", IF(COUNTIF($B20:Y20, "X")=0, "+", "-")), IF(MOD($A20, Z$1)=0, "X", "O"))</f>
        <v>O</v>
      </c>
      <c r="AA20" s="43" t="str">
        <f>IF($A20=AA$1, IF(ROW(AA20)=2, "+", IF(COUNTIF($B20:Z20, "X")=0, "+", "-")), IF(MOD($A20, AA$1)=0, "X", "O"))</f>
        <v>O</v>
      </c>
      <c r="AB20" s="43" t="str">
        <f>IF($A20=AB$1, IF(ROW(AB20)=2, "+", IF(COUNTIF($B20:AA20, "X")=0, "+", "-")), IF(MOD($A20, AB$1)=0, "X", "O"))</f>
        <v>O</v>
      </c>
      <c r="AC20" s="43" t="str">
        <f>IF($A20=AC$1, IF(ROW(AC20)=2, "+", IF(COUNTIF($B20:AB20, "X")=0, "+", "-")), IF(MOD($A20, AC$1)=0, "X", "O"))</f>
        <v>O</v>
      </c>
      <c r="AD20" s="43" t="str">
        <f>IF($A20=AD$1, IF(ROW(AD20)=2, "+", IF(COUNTIF($B20:AC20, "X")=0, "+", "-")), IF(MOD($A20, AD$1)=0, "X", "O"))</f>
        <v>O</v>
      </c>
      <c r="AE20" s="43" t="str">
        <f>IF($A20=AE$1, IF(ROW(AE20)=2, "+", IF(COUNTIF($B20:AD20, "X")=0, "+", "-")), IF(MOD($A20, AE$1)=0, "X", "O"))</f>
        <v>O</v>
      </c>
      <c r="AF20" s="43" t="str">
        <f>IF($A20=AF$1, IF(ROW(AF20)=2, "+", IF(COUNTIF($B20:AE20, "X")=0, "+", "-")), IF(MOD($A20, AF$1)=0, "X", "O"))</f>
        <v>O</v>
      </c>
      <c r="AG20" s="43" t="str">
        <f>IF($A20=AG$1, IF(ROW(AG20)=2, "+", IF(COUNTIF($B20:AF20, "X")=0, "+", "-")), IF(MOD($A20, AG$1)=0, "X", "O"))</f>
        <v>O</v>
      </c>
      <c r="AH20" s="43" t="str">
        <f>IF($A20=AH$1, IF(ROW(AH20)=2, "+", IF(COUNTIF($B20:AG20, "X")=0, "+", "-")), IF(MOD($A20, AH$1)=0, "X", "O"))</f>
        <v>O</v>
      </c>
      <c r="AI20" s="43" t="str">
        <f>IF($A20=AI$1, IF(ROW(AI20)=2, "+", IF(COUNTIF($B20:AH20, "X")=0, "+", "-")), IF(MOD($A20, AI$1)=0, "X", "O"))</f>
        <v>O</v>
      </c>
      <c r="AJ20" s="43" t="str">
        <f>IF($A20=AJ$1, IF(ROW(AJ20)=2, "+", IF(COUNTIF($B20:AI20, "X")=0, "+", "-")), IF(MOD($A20, AJ$1)=0, "X", "O"))</f>
        <v>O</v>
      </c>
      <c r="AK20" s="43" t="str">
        <f>IF($A20=AK$1, IF(ROW(AK20)=2, "+", IF(COUNTIF($B20:AJ20, "X")=0, "+", "-")), IF(MOD($A20, AK$1)=0, "X", "O"))</f>
        <v>O</v>
      </c>
      <c r="AL20" s="43" t="str">
        <f>IF($A20=AL$1, IF(ROW(AL20)=2, "+", IF(COUNTIF($B20:AK20, "X")=0, "+", "-")), IF(MOD($A20, AL$1)=0, "X", "O"))</f>
        <v>O</v>
      </c>
      <c r="AM20" s="43" t="str">
        <f>IF($A20=AM$1, IF(ROW(AM20)=2, "+", IF(COUNTIF($B20:AL20, "X")=0, "+", "-")), IF(MOD($A20, AM$1)=0, "X", "O"))</f>
        <v>O</v>
      </c>
      <c r="AN20" s="43" t="str">
        <f>IF($A20=AN$1, IF(ROW(AN20)=2, "+", IF(COUNTIF($B20:AM20, "X")=0, "+", "-")), IF(MOD($A20, AN$1)=0, "X", "O"))</f>
        <v>O</v>
      </c>
      <c r="AO20" s="43" t="str">
        <f>IF($A20=AO$1, IF(ROW(AO20)=2, "+", IF(COUNTIF($B20:AN20, "X")=0, "+", "-")), IF(MOD($A20, AO$1)=0, "X", "O"))</f>
        <v>O</v>
      </c>
      <c r="AP20" s="43" t="str">
        <f>IF($A20=AP$1, IF(ROW(AP20)=2, "+", IF(COUNTIF($B20:AO20, "X")=0, "+", "-")), IF(MOD($A20, AP$1)=0, "X", "O"))</f>
        <v>O</v>
      </c>
      <c r="AQ20" s="43" t="str">
        <f>IF($A20=AQ$1, IF(ROW(AQ20)=2, "+", IF(COUNTIF($B20:AP20, "X")=0, "+", "-")), IF(MOD($A20, AQ$1)=0, "X", "O"))</f>
        <v>O</v>
      </c>
      <c r="AR20" s="43" t="str">
        <f>IF($A20=AR$1, IF(ROW(AR20)=2, "+", IF(COUNTIF($B20:AQ20, "X")=0, "+", "-")), IF(MOD($A20, AR$1)=0, "X", "O"))</f>
        <v>O</v>
      </c>
      <c r="AS20" s="43" t="str">
        <f>IF($A20=AS$1, IF(ROW(AS20)=2, "+", IF(COUNTIF($B20:AR20, "X")=0, "+", "-")), IF(MOD($A20, AS$1)=0, "X", "O"))</f>
        <v>O</v>
      </c>
      <c r="AT20" s="43" t="str">
        <f>IF($A20=AT$1, IF(ROW(AT20)=2, "+", IF(COUNTIF($B20:AS20, "X")=0, "+", "-")), IF(MOD($A20, AT$1)=0, "X", "O"))</f>
        <v>O</v>
      </c>
      <c r="AU20" s="43" t="str">
        <f>IF($A20=AU$1, IF(ROW(AU20)=2, "+", IF(COUNTIF($B20:AT20, "X")=0, "+", "-")), IF(MOD($A20, AU$1)=0, "X", "O"))</f>
        <v>O</v>
      </c>
      <c r="AV20" s="43" t="str">
        <f>IF($A20=AV$1, IF(ROW(AV20)=2, "+", IF(COUNTIF($B20:AU20, "X")=0, "+", "-")), IF(MOD($A20, AV$1)=0, "X", "O"))</f>
        <v>O</v>
      </c>
      <c r="AW20" s="43" t="str">
        <f>IF($A20=AW$1, IF(ROW(AW20)=2, "+", IF(COUNTIF($B20:AV20, "X")=0, "+", "-")), IF(MOD($A20, AW$1)=0, "X", "O"))</f>
        <v>O</v>
      </c>
      <c r="AX20" s="43" t="str">
        <f>IF($A20=AX$1, IF(ROW(AX20)=2, "+", IF(COUNTIF($B20:AW20, "X")=0, "+", "-")), IF(MOD($A20, AX$1)=0, "X", "O"))</f>
        <v>O</v>
      </c>
      <c r="AY20" s="43" t="str">
        <f>IF($A20=AY$1, IF(ROW(AY20)=2, "+", IF(COUNTIF($B20:AX20, "X")=0, "+", "-")), IF(MOD($A20, AY$1)=0, "X", "O"))</f>
        <v>O</v>
      </c>
      <c r="AZ20" s="43" t="str">
        <f>IF($A20=AZ$1, IF(ROW(AZ20)=2, "+", IF(COUNTIF($B20:AY20, "X")=0, "+", "-")), IF(MOD($A20, AZ$1)=0, "X", "O"))</f>
        <v>O</v>
      </c>
      <c r="BA20" s="43" t="str">
        <f>IF($A20=BA$1, IF(ROW(BA20)=2, "+", IF(COUNTIF($B20:AZ20, "X")=0, "+", "-")), IF(MOD($A20, BA$1)=0, "X", "O"))</f>
        <v>O</v>
      </c>
      <c r="BB20" s="43" t="str">
        <f>IF($A20=BB$1, IF(ROW(BB20)=2, "+", IF(COUNTIF($B20:BA20, "X")=0, "+", "-")), IF(MOD($A20, BB$1)=0, "X", "O"))</f>
        <v>O</v>
      </c>
      <c r="BC20" s="43" t="str">
        <f>IF($A20=BC$1, IF(ROW(BC20)=2, "+", IF(COUNTIF($B20:BB20, "X")=0, "+", "-")), IF(MOD($A20, BC$1)=0, "X", "O"))</f>
        <v>O</v>
      </c>
      <c r="BD20" s="43" t="str">
        <f>IF($A20=BD$1, IF(ROW(BD20)=2, "+", IF(COUNTIF($B20:BC20, "X")=0, "+", "-")), IF(MOD($A20, BD$1)=0, "X", "O"))</f>
        <v>O</v>
      </c>
      <c r="BE20" s="43" t="str">
        <f>IF($A20=BE$1, IF(ROW(BE20)=2, "+", IF(COUNTIF($B20:BD20, "X")=0, "+", "-")), IF(MOD($A20, BE$1)=0, "X", "O"))</f>
        <v>O</v>
      </c>
      <c r="BF20" s="43" t="str">
        <f>IF($A20=BF$1, IF(ROW(BF20)=2, "+", IF(COUNTIF($B20:BE20, "X")=0, "+", "-")), IF(MOD($A20, BF$1)=0, "X", "O"))</f>
        <v>O</v>
      </c>
      <c r="BG20" s="43" t="str">
        <f>IF($A20=BG$1, IF(ROW(BG20)=2, "+", IF(COUNTIF($B20:BF20, "X")=0, "+", "-")), IF(MOD($A20, BG$1)=0, "X", "O"))</f>
        <v>O</v>
      </c>
      <c r="BH20" s="43" t="str">
        <f>IF($A20=BH$1, IF(ROW(BH20)=2, "+", IF(COUNTIF($B20:BG20, "X")=0, "+", "-")), IF(MOD($A20, BH$1)=0, "X", "O"))</f>
        <v>O</v>
      </c>
    </row>
    <row r="21" spans="1:60" x14ac:dyDescent="0.25">
      <c r="A21">
        <v>21</v>
      </c>
      <c r="B21" s="43" t="str">
        <f>IF($A21=B$1, IF(ROW(B21)=2, "+", IF(COUNTIF(A21:$B21, "X")=0, "+", "-")), IF(MOD($A21, B$1)=0, "X", "O"))</f>
        <v>O</v>
      </c>
      <c r="C21" s="43" t="str">
        <f>IF($A21=C$1, IF(ROW(C21)=2, "+", IF(COUNTIF(B21:$B21, "X")=0, "+", "-")), IF(MOD($A21, C$1)=0, "X", "O"))</f>
        <v>X</v>
      </c>
      <c r="D21" s="43" t="str">
        <f>IF($A21=D$1, IF(ROW(D21)=2, "+", IF(COUNTIF($B21:C21, "X")=0, "+", "-")), IF(MOD($A21, D$1)=0, "X", "O"))</f>
        <v>O</v>
      </c>
      <c r="E21" s="43" t="str">
        <f>IF($A21=E$1, IF(ROW(E21)=2, "+", IF(COUNTIF($B21:D21, "X")=0, "+", "-")), IF(MOD($A21, E$1)=0, "X", "O"))</f>
        <v>O</v>
      </c>
      <c r="F21" s="43" t="str">
        <f>IF($A21=F$1, IF(ROW(F21)=2, "+", IF(COUNTIF($B21:E21, "X")=0, "+", "-")), IF(MOD($A21, F$1)=0, "X", "O"))</f>
        <v>O</v>
      </c>
      <c r="G21" s="43" t="str">
        <f>IF($A21=G$1, IF(ROW(G21)=2, "+", IF(COUNTIF($B21:F21, "X")=0, "+", "-")), IF(MOD($A21, G$1)=0, "X", "O"))</f>
        <v>X</v>
      </c>
      <c r="H21" s="43" t="str">
        <f>IF($A21=H$1, IF(ROW(H21)=2, "+", IF(COUNTIF($B21:G21, "X")=0, "+", "-")), IF(MOD($A21, H$1)=0, "X", "O"))</f>
        <v>O</v>
      </c>
      <c r="I21" s="43" t="str">
        <f>IF($A21=I$1, IF(ROW(I21)=2, "+", IF(COUNTIF($B21:H21, "X")=0, "+", "-")), IF(MOD($A21, I$1)=0, "X", "O"))</f>
        <v>O</v>
      </c>
      <c r="J21" s="43" t="str">
        <f>IF($A21=J$1, IF(ROW(J21)=2, "+", IF(COUNTIF($B21:I21, "X")=0, "+", "-")), IF(MOD($A21, J$1)=0, "X", "O"))</f>
        <v>O</v>
      </c>
      <c r="K21" s="43" t="str">
        <f>IF($A21=K$1, IF(ROW(K21)=2, "+", IF(COUNTIF($B21:J21, "X")=0, "+", "-")), IF(MOD($A21, K$1)=0, "X", "O"))</f>
        <v>O</v>
      </c>
      <c r="L21" s="43" t="str">
        <f>IF($A21=L$1, IF(ROW(L21)=2, "+", IF(COUNTIF($B21:K21, "X")=0, "+", "-")), IF(MOD($A21, L$1)=0, "X", "O"))</f>
        <v>O</v>
      </c>
      <c r="M21" s="43" t="str">
        <f>IF($A21=M$1, IF(ROW(M21)=2, "+", IF(COUNTIF($B21:L21, "X")=0, "+", "-")), IF(MOD($A21, M$1)=0, "X", "O"))</f>
        <v>O</v>
      </c>
      <c r="N21" s="43" t="str">
        <f>IF($A21=N$1, IF(ROW(N21)=2, "+", IF(COUNTIF($B21:M21, "X")=0, "+", "-")), IF(MOD($A21, N$1)=0, "X", "O"))</f>
        <v>O</v>
      </c>
      <c r="O21" s="43" t="str">
        <f>IF($A21=O$1, IF(ROW(O21)=2, "+", IF(COUNTIF($B21:N21, "X")=0, "+", "-")), IF(MOD($A21, O$1)=0, "X", "O"))</f>
        <v>O</v>
      </c>
      <c r="P21" s="43" t="str">
        <f>IF($A21=P$1, IF(ROW(P21)=2, "+", IF(COUNTIF($B21:O21, "X")=0, "+", "-")), IF(MOD($A21, P$1)=0, "X", "O"))</f>
        <v>O</v>
      </c>
      <c r="Q21" s="43" t="str">
        <f>IF($A21=Q$1, IF(ROW(Q21)=2, "+", IF(COUNTIF($B21:P21, "X")=0, "+", "-")), IF(MOD($A21, Q$1)=0, "X", "O"))</f>
        <v>O</v>
      </c>
      <c r="R21" s="43" t="str">
        <f>IF($A21=R$1, IF(ROW(R21)=2, "+", IF(COUNTIF($B21:Q21, "X")=0, "+", "-")), IF(MOD($A21, R$1)=0, "X", "O"))</f>
        <v>O</v>
      </c>
      <c r="S21" s="43" t="str">
        <f>IF($A21=S$1, IF(ROW(S21)=2, "+", IF(COUNTIF($B21:R21, "X")=0, "+", "-")), IF(MOD($A21, S$1)=0, "X", "O"))</f>
        <v>O</v>
      </c>
      <c r="T21" s="43" t="str">
        <f>IF($A21=T$1, IF(ROW(T21)=2, "+", IF(COUNTIF($B21:S21, "X")=0, "+", "-")), IF(MOD($A21, T$1)=0, "X", "O"))</f>
        <v>O</v>
      </c>
      <c r="U21" s="43" t="str">
        <f>IF($A21=U$1, IF(ROW(U21)=2, "+", IF(COUNTIF($B21:T21, "X")=0, "+", "-")), IF(MOD($A21, U$1)=0, "X", "O"))</f>
        <v>-</v>
      </c>
      <c r="V21" s="43" t="str">
        <f>IF($A21=V$1, IF(ROW(V21)=2, "+", IF(COUNTIF($B21:U21, "X")=0, "+", "-")), IF(MOD($A21, V$1)=0, "X", "O"))</f>
        <v>O</v>
      </c>
      <c r="W21" s="43" t="str">
        <f>IF($A21=W$1, IF(ROW(W21)=2, "+", IF(COUNTIF($B21:V21, "X")=0, "+", "-")), IF(MOD($A21, W$1)=0, "X", "O"))</f>
        <v>O</v>
      </c>
      <c r="X21" s="43" t="str">
        <f>IF($A21=X$1, IF(ROW(X21)=2, "+", IF(COUNTIF($B21:W21, "X")=0, "+", "-")), IF(MOD($A21, X$1)=0, "X", "O"))</f>
        <v>O</v>
      </c>
      <c r="Y21" s="43" t="str">
        <f>IF($A21=Y$1, IF(ROW(Y21)=2, "+", IF(COUNTIF($B21:X21, "X")=0, "+", "-")), IF(MOD($A21, Y$1)=0, "X", "O"))</f>
        <v>O</v>
      </c>
      <c r="Z21" s="43" t="str">
        <f>IF($A21=Z$1, IF(ROW(Z21)=2, "+", IF(COUNTIF($B21:Y21, "X")=0, "+", "-")), IF(MOD($A21, Z$1)=0, "X", "O"))</f>
        <v>O</v>
      </c>
      <c r="AA21" s="43" t="str">
        <f>IF($A21=AA$1, IF(ROW(AA21)=2, "+", IF(COUNTIF($B21:Z21, "X")=0, "+", "-")), IF(MOD($A21, AA$1)=0, "X", "O"))</f>
        <v>O</v>
      </c>
      <c r="AB21" s="43" t="str">
        <f>IF($A21=AB$1, IF(ROW(AB21)=2, "+", IF(COUNTIF($B21:AA21, "X")=0, "+", "-")), IF(MOD($A21, AB$1)=0, "X", "O"))</f>
        <v>O</v>
      </c>
      <c r="AC21" s="43" t="str">
        <f>IF($A21=AC$1, IF(ROW(AC21)=2, "+", IF(COUNTIF($B21:AB21, "X")=0, "+", "-")), IF(MOD($A21, AC$1)=0, "X", "O"))</f>
        <v>O</v>
      </c>
      <c r="AD21" s="43" t="str">
        <f>IF($A21=AD$1, IF(ROW(AD21)=2, "+", IF(COUNTIF($B21:AC21, "X")=0, "+", "-")), IF(MOD($A21, AD$1)=0, "X", "O"))</f>
        <v>O</v>
      </c>
      <c r="AE21" s="43" t="str">
        <f>IF($A21=AE$1, IF(ROW(AE21)=2, "+", IF(COUNTIF($B21:AD21, "X")=0, "+", "-")), IF(MOD($A21, AE$1)=0, "X", "O"))</f>
        <v>O</v>
      </c>
      <c r="AF21" s="43" t="str">
        <f>IF($A21=AF$1, IF(ROW(AF21)=2, "+", IF(COUNTIF($B21:AE21, "X")=0, "+", "-")), IF(MOD($A21, AF$1)=0, "X", "O"))</f>
        <v>O</v>
      </c>
      <c r="AG21" s="43" t="str">
        <f>IF($A21=AG$1, IF(ROW(AG21)=2, "+", IF(COUNTIF($B21:AF21, "X")=0, "+", "-")), IF(MOD($A21, AG$1)=0, "X", "O"))</f>
        <v>O</v>
      </c>
      <c r="AH21" s="43" t="str">
        <f>IF($A21=AH$1, IF(ROW(AH21)=2, "+", IF(COUNTIF($B21:AG21, "X")=0, "+", "-")), IF(MOD($A21, AH$1)=0, "X", "O"))</f>
        <v>O</v>
      </c>
      <c r="AI21" s="43" t="str">
        <f>IF($A21=AI$1, IF(ROW(AI21)=2, "+", IF(COUNTIF($B21:AH21, "X")=0, "+", "-")), IF(MOD($A21, AI$1)=0, "X", "O"))</f>
        <v>O</v>
      </c>
      <c r="AJ21" s="43" t="str">
        <f>IF($A21=AJ$1, IF(ROW(AJ21)=2, "+", IF(COUNTIF($B21:AI21, "X")=0, "+", "-")), IF(MOD($A21, AJ$1)=0, "X", "O"))</f>
        <v>O</v>
      </c>
      <c r="AK21" s="43" t="str">
        <f>IF($A21=AK$1, IF(ROW(AK21)=2, "+", IF(COUNTIF($B21:AJ21, "X")=0, "+", "-")), IF(MOD($A21, AK$1)=0, "X", "O"))</f>
        <v>O</v>
      </c>
      <c r="AL21" s="43" t="str">
        <f>IF($A21=AL$1, IF(ROW(AL21)=2, "+", IF(COUNTIF($B21:AK21, "X")=0, "+", "-")), IF(MOD($A21, AL$1)=0, "X", "O"))</f>
        <v>O</v>
      </c>
      <c r="AM21" s="43" t="str">
        <f>IF($A21=AM$1, IF(ROW(AM21)=2, "+", IF(COUNTIF($B21:AL21, "X")=0, "+", "-")), IF(MOD($A21, AM$1)=0, "X", "O"))</f>
        <v>O</v>
      </c>
      <c r="AN21" s="43" t="str">
        <f>IF($A21=AN$1, IF(ROW(AN21)=2, "+", IF(COUNTIF($B21:AM21, "X")=0, "+", "-")), IF(MOD($A21, AN$1)=0, "X", "O"))</f>
        <v>O</v>
      </c>
      <c r="AO21" s="43" t="str">
        <f>IF($A21=AO$1, IF(ROW(AO21)=2, "+", IF(COUNTIF($B21:AN21, "X")=0, "+", "-")), IF(MOD($A21, AO$1)=0, "X", "O"))</f>
        <v>O</v>
      </c>
      <c r="AP21" s="43" t="str">
        <f>IF($A21=AP$1, IF(ROW(AP21)=2, "+", IF(COUNTIF($B21:AO21, "X")=0, "+", "-")), IF(MOD($A21, AP$1)=0, "X", "O"))</f>
        <v>O</v>
      </c>
      <c r="AQ21" s="43" t="str">
        <f>IF($A21=AQ$1, IF(ROW(AQ21)=2, "+", IF(COUNTIF($B21:AP21, "X")=0, "+", "-")), IF(MOD($A21, AQ$1)=0, "X", "O"))</f>
        <v>O</v>
      </c>
      <c r="AR21" s="43" t="str">
        <f>IF($A21=AR$1, IF(ROW(AR21)=2, "+", IF(COUNTIF($B21:AQ21, "X")=0, "+", "-")), IF(MOD($A21, AR$1)=0, "X", "O"))</f>
        <v>O</v>
      </c>
      <c r="AS21" s="43" t="str">
        <f>IF($A21=AS$1, IF(ROW(AS21)=2, "+", IF(COUNTIF($B21:AR21, "X")=0, "+", "-")), IF(MOD($A21, AS$1)=0, "X", "O"))</f>
        <v>O</v>
      </c>
      <c r="AT21" s="43" t="str">
        <f>IF($A21=AT$1, IF(ROW(AT21)=2, "+", IF(COUNTIF($B21:AS21, "X")=0, "+", "-")), IF(MOD($A21, AT$1)=0, "X", "O"))</f>
        <v>O</v>
      </c>
      <c r="AU21" s="43" t="str">
        <f>IF($A21=AU$1, IF(ROW(AU21)=2, "+", IF(COUNTIF($B21:AT21, "X")=0, "+", "-")), IF(MOD($A21, AU$1)=0, "X", "O"))</f>
        <v>O</v>
      </c>
      <c r="AV21" s="43" t="str">
        <f>IF($A21=AV$1, IF(ROW(AV21)=2, "+", IF(COUNTIF($B21:AU21, "X")=0, "+", "-")), IF(MOD($A21, AV$1)=0, "X", "O"))</f>
        <v>O</v>
      </c>
      <c r="AW21" s="43" t="str">
        <f>IF($A21=AW$1, IF(ROW(AW21)=2, "+", IF(COUNTIF($B21:AV21, "X")=0, "+", "-")), IF(MOD($A21, AW$1)=0, "X", "O"))</f>
        <v>O</v>
      </c>
      <c r="AX21" s="43" t="str">
        <f>IF($A21=AX$1, IF(ROW(AX21)=2, "+", IF(COUNTIF($B21:AW21, "X")=0, "+", "-")), IF(MOD($A21, AX$1)=0, "X", "O"))</f>
        <v>O</v>
      </c>
      <c r="AY21" s="43" t="str">
        <f>IF($A21=AY$1, IF(ROW(AY21)=2, "+", IF(COUNTIF($B21:AX21, "X")=0, "+", "-")), IF(MOD($A21, AY$1)=0, "X", "O"))</f>
        <v>O</v>
      </c>
      <c r="AZ21" s="43" t="str">
        <f>IF($A21=AZ$1, IF(ROW(AZ21)=2, "+", IF(COUNTIF($B21:AY21, "X")=0, "+", "-")), IF(MOD($A21, AZ$1)=0, "X", "O"))</f>
        <v>O</v>
      </c>
      <c r="BA21" s="43" t="str">
        <f>IF($A21=BA$1, IF(ROW(BA21)=2, "+", IF(COUNTIF($B21:AZ21, "X")=0, "+", "-")), IF(MOD($A21, BA$1)=0, "X", "O"))</f>
        <v>O</v>
      </c>
      <c r="BB21" s="43" t="str">
        <f>IF($A21=BB$1, IF(ROW(BB21)=2, "+", IF(COUNTIF($B21:BA21, "X")=0, "+", "-")), IF(MOD($A21, BB$1)=0, "X", "O"))</f>
        <v>O</v>
      </c>
      <c r="BC21" s="43" t="str">
        <f>IF($A21=BC$1, IF(ROW(BC21)=2, "+", IF(COUNTIF($B21:BB21, "X")=0, "+", "-")), IF(MOD($A21, BC$1)=0, "X", "O"))</f>
        <v>O</v>
      </c>
      <c r="BD21" s="43" t="str">
        <f>IF($A21=BD$1, IF(ROW(BD21)=2, "+", IF(COUNTIF($B21:BC21, "X")=0, "+", "-")), IF(MOD($A21, BD$1)=0, "X", "O"))</f>
        <v>O</v>
      </c>
      <c r="BE21" s="43" t="str">
        <f>IF($A21=BE$1, IF(ROW(BE21)=2, "+", IF(COUNTIF($B21:BD21, "X")=0, "+", "-")), IF(MOD($A21, BE$1)=0, "X", "O"))</f>
        <v>O</v>
      </c>
      <c r="BF21" s="43" t="str">
        <f>IF($A21=BF$1, IF(ROW(BF21)=2, "+", IF(COUNTIF($B21:BE21, "X")=0, "+", "-")), IF(MOD($A21, BF$1)=0, "X", "O"))</f>
        <v>O</v>
      </c>
      <c r="BG21" s="43" t="str">
        <f>IF($A21=BG$1, IF(ROW(BG21)=2, "+", IF(COUNTIF($B21:BF21, "X")=0, "+", "-")), IF(MOD($A21, BG$1)=0, "X", "O"))</f>
        <v>O</v>
      </c>
      <c r="BH21" s="43" t="str">
        <f>IF($A21=BH$1, IF(ROW(BH21)=2, "+", IF(COUNTIF($B21:BG21, "X")=0, "+", "-")), IF(MOD($A21, BH$1)=0, "X", "O"))</f>
        <v>O</v>
      </c>
    </row>
    <row r="22" spans="1:60" x14ac:dyDescent="0.25">
      <c r="A22">
        <v>22</v>
      </c>
      <c r="B22" s="43" t="str">
        <f>IF($A22=B$1, IF(ROW(B22)=2, "+", IF(COUNTIF(A22:$B22, "X")=0, "+", "-")), IF(MOD($A22, B$1)=0, "X", "O"))</f>
        <v>X</v>
      </c>
      <c r="C22" s="43" t="str">
        <f>IF($A22=C$1, IF(ROW(C22)=2, "+", IF(COUNTIF(B22:$B22, "X")=0, "+", "-")), IF(MOD($A22, C$1)=0, "X", "O"))</f>
        <v>O</v>
      </c>
      <c r="D22" s="43" t="str">
        <f>IF($A22=D$1, IF(ROW(D22)=2, "+", IF(COUNTIF($B22:C22, "X")=0, "+", "-")), IF(MOD($A22, D$1)=0, "X", "O"))</f>
        <v>O</v>
      </c>
      <c r="E22" s="43" t="str">
        <f>IF($A22=E$1, IF(ROW(E22)=2, "+", IF(COUNTIF($B22:D22, "X")=0, "+", "-")), IF(MOD($A22, E$1)=0, "X", "O"))</f>
        <v>O</v>
      </c>
      <c r="F22" s="43" t="str">
        <f>IF($A22=F$1, IF(ROW(F22)=2, "+", IF(COUNTIF($B22:E22, "X")=0, "+", "-")), IF(MOD($A22, F$1)=0, "X", "O"))</f>
        <v>O</v>
      </c>
      <c r="G22" s="43" t="str">
        <f>IF($A22=G$1, IF(ROW(G22)=2, "+", IF(COUNTIF($B22:F22, "X")=0, "+", "-")), IF(MOD($A22, G$1)=0, "X", "O"))</f>
        <v>O</v>
      </c>
      <c r="H22" s="43" t="str">
        <f>IF($A22=H$1, IF(ROW(H22)=2, "+", IF(COUNTIF($B22:G22, "X")=0, "+", "-")), IF(MOD($A22, H$1)=0, "X", "O"))</f>
        <v>O</v>
      </c>
      <c r="I22" s="43" t="str">
        <f>IF($A22=I$1, IF(ROW(I22)=2, "+", IF(COUNTIF($B22:H22, "X")=0, "+", "-")), IF(MOD($A22, I$1)=0, "X", "O"))</f>
        <v>O</v>
      </c>
      <c r="J22" s="43" t="str">
        <f>IF($A22=J$1, IF(ROW(J22)=2, "+", IF(COUNTIF($B22:I22, "X")=0, "+", "-")), IF(MOD($A22, J$1)=0, "X", "O"))</f>
        <v>O</v>
      </c>
      <c r="K22" s="43" t="str">
        <f>IF($A22=K$1, IF(ROW(K22)=2, "+", IF(COUNTIF($B22:J22, "X")=0, "+", "-")), IF(MOD($A22, K$1)=0, "X", "O"))</f>
        <v>X</v>
      </c>
      <c r="L22" s="43" t="str">
        <f>IF($A22=L$1, IF(ROW(L22)=2, "+", IF(COUNTIF($B22:K22, "X")=0, "+", "-")), IF(MOD($A22, L$1)=0, "X", "O"))</f>
        <v>O</v>
      </c>
      <c r="M22" s="43" t="str">
        <f>IF($A22=M$1, IF(ROW(M22)=2, "+", IF(COUNTIF($B22:L22, "X")=0, "+", "-")), IF(MOD($A22, M$1)=0, "X", "O"))</f>
        <v>O</v>
      </c>
      <c r="N22" s="43" t="str">
        <f>IF($A22=N$1, IF(ROW(N22)=2, "+", IF(COUNTIF($B22:M22, "X")=0, "+", "-")), IF(MOD($A22, N$1)=0, "X", "O"))</f>
        <v>O</v>
      </c>
      <c r="O22" s="43" t="str">
        <f>IF($A22=O$1, IF(ROW(O22)=2, "+", IF(COUNTIF($B22:N22, "X")=0, "+", "-")), IF(MOD($A22, O$1)=0, "X", "O"))</f>
        <v>O</v>
      </c>
      <c r="P22" s="43" t="str">
        <f>IF($A22=P$1, IF(ROW(P22)=2, "+", IF(COUNTIF($B22:O22, "X")=0, "+", "-")), IF(MOD($A22, P$1)=0, "X", "O"))</f>
        <v>O</v>
      </c>
      <c r="Q22" s="43" t="str">
        <f>IF($A22=Q$1, IF(ROW(Q22)=2, "+", IF(COUNTIF($B22:P22, "X")=0, "+", "-")), IF(MOD($A22, Q$1)=0, "X", "O"))</f>
        <v>O</v>
      </c>
      <c r="R22" s="43" t="str">
        <f>IF($A22=R$1, IF(ROW(R22)=2, "+", IF(COUNTIF($B22:Q22, "X")=0, "+", "-")), IF(MOD($A22, R$1)=0, "X", "O"))</f>
        <v>O</v>
      </c>
      <c r="S22" s="43" t="str">
        <f>IF($A22=S$1, IF(ROW(S22)=2, "+", IF(COUNTIF($B22:R22, "X")=0, "+", "-")), IF(MOD($A22, S$1)=0, "X", "O"))</f>
        <v>O</v>
      </c>
      <c r="T22" s="43" t="str">
        <f>IF($A22=T$1, IF(ROW(T22)=2, "+", IF(COUNTIF($B22:S22, "X")=0, "+", "-")), IF(MOD($A22, T$1)=0, "X", "O"))</f>
        <v>O</v>
      </c>
      <c r="U22" s="43" t="str">
        <f>IF($A22=U$1, IF(ROW(U22)=2, "+", IF(COUNTIF($B22:T22, "X")=0, "+", "-")), IF(MOD($A22, U$1)=0, "X", "O"))</f>
        <v>O</v>
      </c>
      <c r="V22" s="43" t="str">
        <f>IF($A22=V$1, IF(ROW(V22)=2, "+", IF(COUNTIF($B22:U22, "X")=0, "+", "-")), IF(MOD($A22, V$1)=0, "X", "O"))</f>
        <v>-</v>
      </c>
      <c r="W22" s="43" t="str">
        <f>IF($A22=W$1, IF(ROW(W22)=2, "+", IF(COUNTIF($B22:V22, "X")=0, "+", "-")), IF(MOD($A22, W$1)=0, "X", "O"))</f>
        <v>O</v>
      </c>
      <c r="X22" s="43" t="str">
        <f>IF($A22=X$1, IF(ROW(X22)=2, "+", IF(COUNTIF($B22:W22, "X")=0, "+", "-")), IF(MOD($A22, X$1)=0, "X", "O"))</f>
        <v>O</v>
      </c>
      <c r="Y22" s="43" t="str">
        <f>IF($A22=Y$1, IF(ROW(Y22)=2, "+", IF(COUNTIF($B22:X22, "X")=0, "+", "-")), IF(MOD($A22, Y$1)=0, "X", "O"))</f>
        <v>O</v>
      </c>
      <c r="Z22" s="43" t="str">
        <f>IF($A22=Z$1, IF(ROW(Z22)=2, "+", IF(COUNTIF($B22:Y22, "X")=0, "+", "-")), IF(MOD($A22, Z$1)=0, "X", "O"))</f>
        <v>O</v>
      </c>
      <c r="AA22" s="43" t="str">
        <f>IF($A22=AA$1, IF(ROW(AA22)=2, "+", IF(COUNTIF($B22:Z22, "X")=0, "+", "-")), IF(MOD($A22, AA$1)=0, "X", "O"))</f>
        <v>O</v>
      </c>
      <c r="AB22" s="43" t="str">
        <f>IF($A22=AB$1, IF(ROW(AB22)=2, "+", IF(COUNTIF($B22:AA22, "X")=0, "+", "-")), IF(MOD($A22, AB$1)=0, "X", "O"))</f>
        <v>O</v>
      </c>
      <c r="AC22" s="43" t="str">
        <f>IF($A22=AC$1, IF(ROW(AC22)=2, "+", IF(COUNTIF($B22:AB22, "X")=0, "+", "-")), IF(MOD($A22, AC$1)=0, "X", "O"))</f>
        <v>O</v>
      </c>
      <c r="AD22" s="43" t="str">
        <f>IF($A22=AD$1, IF(ROW(AD22)=2, "+", IF(COUNTIF($B22:AC22, "X")=0, "+", "-")), IF(MOD($A22, AD$1)=0, "X", "O"))</f>
        <v>O</v>
      </c>
      <c r="AE22" s="43" t="str">
        <f>IF($A22=AE$1, IF(ROW(AE22)=2, "+", IF(COUNTIF($B22:AD22, "X")=0, "+", "-")), IF(MOD($A22, AE$1)=0, "X", "O"))</f>
        <v>O</v>
      </c>
      <c r="AF22" s="43" t="str">
        <f>IF($A22=AF$1, IF(ROW(AF22)=2, "+", IF(COUNTIF($B22:AE22, "X")=0, "+", "-")), IF(MOD($A22, AF$1)=0, "X", "O"))</f>
        <v>O</v>
      </c>
      <c r="AG22" s="43" t="str">
        <f>IF($A22=AG$1, IF(ROW(AG22)=2, "+", IF(COUNTIF($B22:AF22, "X")=0, "+", "-")), IF(MOD($A22, AG$1)=0, "X", "O"))</f>
        <v>O</v>
      </c>
      <c r="AH22" s="43" t="str">
        <f>IF($A22=AH$1, IF(ROW(AH22)=2, "+", IF(COUNTIF($B22:AG22, "X")=0, "+", "-")), IF(MOD($A22, AH$1)=0, "X", "O"))</f>
        <v>O</v>
      </c>
      <c r="AI22" s="43" t="str">
        <f>IF($A22=AI$1, IF(ROW(AI22)=2, "+", IF(COUNTIF($B22:AH22, "X")=0, "+", "-")), IF(MOD($A22, AI$1)=0, "X", "O"))</f>
        <v>O</v>
      </c>
      <c r="AJ22" s="43" t="str">
        <f>IF($A22=AJ$1, IF(ROW(AJ22)=2, "+", IF(COUNTIF($B22:AI22, "X")=0, "+", "-")), IF(MOD($A22, AJ$1)=0, "X", "O"))</f>
        <v>O</v>
      </c>
      <c r="AK22" s="43" t="str">
        <f>IF($A22=AK$1, IF(ROW(AK22)=2, "+", IF(COUNTIF($B22:AJ22, "X")=0, "+", "-")), IF(MOD($A22, AK$1)=0, "X", "O"))</f>
        <v>O</v>
      </c>
      <c r="AL22" s="43" t="str">
        <f>IF($A22=AL$1, IF(ROW(AL22)=2, "+", IF(COUNTIF($B22:AK22, "X")=0, "+", "-")), IF(MOD($A22, AL$1)=0, "X", "O"))</f>
        <v>O</v>
      </c>
      <c r="AM22" s="43" t="str">
        <f>IF($A22=AM$1, IF(ROW(AM22)=2, "+", IF(COUNTIF($B22:AL22, "X")=0, "+", "-")), IF(MOD($A22, AM$1)=0, "X", "O"))</f>
        <v>O</v>
      </c>
      <c r="AN22" s="43" t="str">
        <f>IF($A22=AN$1, IF(ROW(AN22)=2, "+", IF(COUNTIF($B22:AM22, "X")=0, "+", "-")), IF(MOD($A22, AN$1)=0, "X", "O"))</f>
        <v>O</v>
      </c>
      <c r="AO22" s="43" t="str">
        <f>IF($A22=AO$1, IF(ROW(AO22)=2, "+", IF(COUNTIF($B22:AN22, "X")=0, "+", "-")), IF(MOD($A22, AO$1)=0, "X", "O"))</f>
        <v>O</v>
      </c>
      <c r="AP22" s="43" t="str">
        <f>IF($A22=AP$1, IF(ROW(AP22)=2, "+", IF(COUNTIF($B22:AO22, "X")=0, "+", "-")), IF(MOD($A22, AP$1)=0, "X", "O"))</f>
        <v>O</v>
      </c>
      <c r="AQ22" s="43" t="str">
        <f>IF($A22=AQ$1, IF(ROW(AQ22)=2, "+", IF(COUNTIF($B22:AP22, "X")=0, "+", "-")), IF(MOD($A22, AQ$1)=0, "X", "O"))</f>
        <v>O</v>
      </c>
      <c r="AR22" s="43" t="str">
        <f>IF($A22=AR$1, IF(ROW(AR22)=2, "+", IF(COUNTIF($B22:AQ22, "X")=0, "+", "-")), IF(MOD($A22, AR$1)=0, "X", "O"))</f>
        <v>O</v>
      </c>
      <c r="AS22" s="43" t="str">
        <f>IF($A22=AS$1, IF(ROW(AS22)=2, "+", IF(COUNTIF($B22:AR22, "X")=0, "+", "-")), IF(MOD($A22, AS$1)=0, "X", "O"))</f>
        <v>O</v>
      </c>
      <c r="AT22" s="43" t="str">
        <f>IF($A22=AT$1, IF(ROW(AT22)=2, "+", IF(COUNTIF($B22:AS22, "X")=0, "+", "-")), IF(MOD($A22, AT$1)=0, "X", "O"))</f>
        <v>O</v>
      </c>
      <c r="AU22" s="43" t="str">
        <f>IF($A22=AU$1, IF(ROW(AU22)=2, "+", IF(COUNTIF($B22:AT22, "X")=0, "+", "-")), IF(MOD($A22, AU$1)=0, "X", "O"))</f>
        <v>O</v>
      </c>
      <c r="AV22" s="43" t="str">
        <f>IF($A22=AV$1, IF(ROW(AV22)=2, "+", IF(COUNTIF($B22:AU22, "X")=0, "+", "-")), IF(MOD($A22, AV$1)=0, "X", "O"))</f>
        <v>O</v>
      </c>
      <c r="AW22" s="43" t="str">
        <f>IF($A22=AW$1, IF(ROW(AW22)=2, "+", IF(COUNTIF($B22:AV22, "X")=0, "+", "-")), IF(MOD($A22, AW$1)=0, "X", "O"))</f>
        <v>O</v>
      </c>
      <c r="AX22" s="43" t="str">
        <f>IF($A22=AX$1, IF(ROW(AX22)=2, "+", IF(COUNTIF($B22:AW22, "X")=0, "+", "-")), IF(MOD($A22, AX$1)=0, "X", "O"))</f>
        <v>O</v>
      </c>
      <c r="AY22" s="43" t="str">
        <f>IF($A22=AY$1, IF(ROW(AY22)=2, "+", IF(COUNTIF($B22:AX22, "X")=0, "+", "-")), IF(MOD($A22, AY$1)=0, "X", "O"))</f>
        <v>O</v>
      </c>
      <c r="AZ22" s="43" t="str">
        <f>IF($A22=AZ$1, IF(ROW(AZ22)=2, "+", IF(COUNTIF($B22:AY22, "X")=0, "+", "-")), IF(MOD($A22, AZ$1)=0, "X", "O"))</f>
        <v>O</v>
      </c>
      <c r="BA22" s="43" t="str">
        <f>IF($A22=BA$1, IF(ROW(BA22)=2, "+", IF(COUNTIF($B22:AZ22, "X")=0, "+", "-")), IF(MOD($A22, BA$1)=0, "X", "O"))</f>
        <v>O</v>
      </c>
      <c r="BB22" s="43" t="str">
        <f>IF($A22=BB$1, IF(ROW(BB22)=2, "+", IF(COUNTIF($B22:BA22, "X")=0, "+", "-")), IF(MOD($A22, BB$1)=0, "X", "O"))</f>
        <v>O</v>
      </c>
      <c r="BC22" s="43" t="str">
        <f>IF($A22=BC$1, IF(ROW(BC22)=2, "+", IF(COUNTIF($B22:BB22, "X")=0, "+", "-")), IF(MOD($A22, BC$1)=0, "X", "O"))</f>
        <v>O</v>
      </c>
      <c r="BD22" s="43" t="str">
        <f>IF($A22=BD$1, IF(ROW(BD22)=2, "+", IF(COUNTIF($B22:BC22, "X")=0, "+", "-")), IF(MOD($A22, BD$1)=0, "X", "O"))</f>
        <v>O</v>
      </c>
      <c r="BE22" s="43" t="str">
        <f>IF($A22=BE$1, IF(ROW(BE22)=2, "+", IF(COUNTIF($B22:BD22, "X")=0, "+", "-")), IF(MOD($A22, BE$1)=0, "X", "O"))</f>
        <v>O</v>
      </c>
      <c r="BF22" s="43" t="str">
        <f>IF($A22=BF$1, IF(ROW(BF22)=2, "+", IF(COUNTIF($B22:BE22, "X")=0, "+", "-")), IF(MOD($A22, BF$1)=0, "X", "O"))</f>
        <v>O</v>
      </c>
      <c r="BG22" s="43" t="str">
        <f>IF($A22=BG$1, IF(ROW(BG22)=2, "+", IF(COUNTIF($B22:BF22, "X")=0, "+", "-")), IF(MOD($A22, BG$1)=0, "X", "O"))</f>
        <v>O</v>
      </c>
      <c r="BH22" s="43" t="str">
        <f>IF($A22=BH$1, IF(ROW(BH22)=2, "+", IF(COUNTIF($B22:BG22, "X")=0, "+", "-")), IF(MOD($A22, BH$1)=0, "X", "O"))</f>
        <v>O</v>
      </c>
    </row>
    <row r="23" spans="1:60" x14ac:dyDescent="0.25">
      <c r="A23">
        <v>23</v>
      </c>
      <c r="B23" s="43" t="str">
        <f>IF($A23=B$1, IF(ROW(B23)=2, "+", IF(COUNTIF(A23:$B23, "X")=0, "+", "-")), IF(MOD($A23, B$1)=0, "X", "O"))</f>
        <v>O</v>
      </c>
      <c r="C23" s="43" t="str">
        <f>IF($A23=C$1, IF(ROW(C23)=2, "+", IF(COUNTIF(B23:$B23, "X")=0, "+", "-")), IF(MOD($A23, C$1)=0, "X", "O"))</f>
        <v>O</v>
      </c>
      <c r="D23" s="43" t="str">
        <f>IF($A23=D$1, IF(ROW(D23)=2, "+", IF(COUNTIF($B23:C23, "X")=0, "+", "-")), IF(MOD($A23, D$1)=0, "X", "O"))</f>
        <v>O</v>
      </c>
      <c r="E23" s="43" t="str">
        <f>IF($A23=E$1, IF(ROW(E23)=2, "+", IF(COUNTIF($B23:D23, "X")=0, "+", "-")), IF(MOD($A23, E$1)=0, "X", "O"))</f>
        <v>O</v>
      </c>
      <c r="F23" s="43" t="str">
        <f>IF($A23=F$1, IF(ROW(F23)=2, "+", IF(COUNTIF($B23:E23, "X")=0, "+", "-")), IF(MOD($A23, F$1)=0, "X", "O"))</f>
        <v>O</v>
      </c>
      <c r="G23" s="43" t="str">
        <f>IF($A23=G$1, IF(ROW(G23)=2, "+", IF(COUNTIF($B23:F23, "X")=0, "+", "-")), IF(MOD($A23, G$1)=0, "X", "O"))</f>
        <v>O</v>
      </c>
      <c r="H23" s="43" t="str">
        <f>IF($A23=H$1, IF(ROW(H23)=2, "+", IF(COUNTIF($B23:G23, "X")=0, "+", "-")), IF(MOD($A23, H$1)=0, "X", "O"))</f>
        <v>O</v>
      </c>
      <c r="I23" s="43" t="str">
        <f>IF($A23=I$1, IF(ROW(I23)=2, "+", IF(COUNTIF($B23:H23, "X")=0, "+", "-")), IF(MOD($A23, I$1)=0, "X", "O"))</f>
        <v>O</v>
      </c>
      <c r="J23" s="43" t="str">
        <f>IF($A23=J$1, IF(ROW(J23)=2, "+", IF(COUNTIF($B23:I23, "X")=0, "+", "-")), IF(MOD($A23, J$1)=0, "X", "O"))</f>
        <v>O</v>
      </c>
      <c r="K23" s="43" t="str">
        <f>IF($A23=K$1, IF(ROW(K23)=2, "+", IF(COUNTIF($B23:J23, "X")=0, "+", "-")), IF(MOD($A23, K$1)=0, "X", "O"))</f>
        <v>O</v>
      </c>
      <c r="L23" s="43" t="str">
        <f>IF($A23=L$1, IF(ROW(L23)=2, "+", IF(COUNTIF($B23:K23, "X")=0, "+", "-")), IF(MOD($A23, L$1)=0, "X", "O"))</f>
        <v>O</v>
      </c>
      <c r="M23" s="43" t="str">
        <f>IF($A23=M$1, IF(ROW(M23)=2, "+", IF(COUNTIF($B23:L23, "X")=0, "+", "-")), IF(MOD($A23, M$1)=0, "X", "O"))</f>
        <v>O</v>
      </c>
      <c r="N23" s="43" t="str">
        <f>IF($A23=N$1, IF(ROW(N23)=2, "+", IF(COUNTIF($B23:M23, "X")=0, "+", "-")), IF(MOD($A23, N$1)=0, "X", "O"))</f>
        <v>O</v>
      </c>
      <c r="O23" s="43" t="str">
        <f>IF($A23=O$1, IF(ROW(O23)=2, "+", IF(COUNTIF($B23:N23, "X")=0, "+", "-")), IF(MOD($A23, O$1)=0, "X", "O"))</f>
        <v>O</v>
      </c>
      <c r="P23" s="43" t="str">
        <f>IF($A23=P$1, IF(ROW(P23)=2, "+", IF(COUNTIF($B23:O23, "X")=0, "+", "-")), IF(MOD($A23, P$1)=0, "X", "O"))</f>
        <v>O</v>
      </c>
      <c r="Q23" s="43" t="str">
        <f>IF($A23=Q$1, IF(ROW(Q23)=2, "+", IF(COUNTIF($B23:P23, "X")=0, "+", "-")), IF(MOD($A23, Q$1)=0, "X", "O"))</f>
        <v>O</v>
      </c>
      <c r="R23" s="43" t="str">
        <f>IF($A23=R$1, IF(ROW(R23)=2, "+", IF(COUNTIF($B23:Q23, "X")=0, "+", "-")), IF(MOD($A23, R$1)=0, "X", "O"))</f>
        <v>O</v>
      </c>
      <c r="S23" s="43" t="str">
        <f>IF($A23=S$1, IF(ROW(S23)=2, "+", IF(COUNTIF($B23:R23, "X")=0, "+", "-")), IF(MOD($A23, S$1)=0, "X", "O"))</f>
        <v>O</v>
      </c>
      <c r="T23" s="43" t="str">
        <f>IF($A23=T$1, IF(ROW(T23)=2, "+", IF(COUNTIF($B23:S23, "X")=0, "+", "-")), IF(MOD($A23, T$1)=0, "X", "O"))</f>
        <v>O</v>
      </c>
      <c r="U23" s="43" t="str">
        <f>IF($A23=U$1, IF(ROW(U23)=2, "+", IF(COUNTIF($B23:T23, "X")=0, "+", "-")), IF(MOD($A23, U$1)=0, "X", "O"))</f>
        <v>O</v>
      </c>
      <c r="V23" s="43" t="str">
        <f>IF($A23=V$1, IF(ROW(V23)=2, "+", IF(COUNTIF($B23:U23, "X")=0, "+", "-")), IF(MOD($A23, V$1)=0, "X", "O"))</f>
        <v>O</v>
      </c>
      <c r="W23" s="43" t="str">
        <f>IF($A23=W$1, IF(ROW(W23)=2, "+", IF(COUNTIF($B23:V23, "X")=0, "+", "-")), IF(MOD($A23, W$1)=0, "X", "O"))</f>
        <v>+</v>
      </c>
      <c r="X23" s="43" t="str">
        <f>IF($A23=X$1, IF(ROW(X23)=2, "+", IF(COUNTIF($B23:W23, "X")=0, "+", "-")), IF(MOD($A23, X$1)=0, "X", "O"))</f>
        <v>O</v>
      </c>
      <c r="Y23" s="43" t="str">
        <f>IF($A23=Y$1, IF(ROW(Y23)=2, "+", IF(COUNTIF($B23:X23, "X")=0, "+", "-")), IF(MOD($A23, Y$1)=0, "X", "O"))</f>
        <v>O</v>
      </c>
      <c r="Z23" s="43" t="str">
        <f>IF($A23=Z$1, IF(ROW(Z23)=2, "+", IF(COUNTIF($B23:Y23, "X")=0, "+", "-")), IF(MOD($A23, Z$1)=0, "X", "O"))</f>
        <v>O</v>
      </c>
      <c r="AA23" s="43" t="str">
        <f>IF($A23=AA$1, IF(ROW(AA23)=2, "+", IF(COUNTIF($B23:Z23, "X")=0, "+", "-")), IF(MOD($A23, AA$1)=0, "X", "O"))</f>
        <v>O</v>
      </c>
      <c r="AB23" s="43" t="str">
        <f>IF($A23=AB$1, IF(ROW(AB23)=2, "+", IF(COUNTIF($B23:AA23, "X")=0, "+", "-")), IF(MOD($A23, AB$1)=0, "X", "O"))</f>
        <v>O</v>
      </c>
      <c r="AC23" s="43" t="str">
        <f>IF($A23=AC$1, IF(ROW(AC23)=2, "+", IF(COUNTIF($B23:AB23, "X")=0, "+", "-")), IF(MOD($A23, AC$1)=0, "X", "O"))</f>
        <v>O</v>
      </c>
      <c r="AD23" s="43" t="str">
        <f>IF($A23=AD$1, IF(ROW(AD23)=2, "+", IF(COUNTIF($B23:AC23, "X")=0, "+", "-")), IF(MOD($A23, AD$1)=0, "X", "O"))</f>
        <v>O</v>
      </c>
      <c r="AE23" s="43" t="str">
        <f>IF($A23=AE$1, IF(ROW(AE23)=2, "+", IF(COUNTIF($B23:AD23, "X")=0, "+", "-")), IF(MOD($A23, AE$1)=0, "X", "O"))</f>
        <v>O</v>
      </c>
      <c r="AF23" s="43" t="str">
        <f>IF($A23=AF$1, IF(ROW(AF23)=2, "+", IF(COUNTIF($B23:AE23, "X")=0, "+", "-")), IF(MOD($A23, AF$1)=0, "X", "O"))</f>
        <v>O</v>
      </c>
      <c r="AG23" s="43" t="str">
        <f>IF($A23=AG$1, IF(ROW(AG23)=2, "+", IF(COUNTIF($B23:AF23, "X")=0, "+", "-")), IF(MOD($A23, AG$1)=0, "X", "O"))</f>
        <v>O</v>
      </c>
      <c r="AH23" s="43" t="str">
        <f>IF($A23=AH$1, IF(ROW(AH23)=2, "+", IF(COUNTIF($B23:AG23, "X")=0, "+", "-")), IF(MOD($A23, AH$1)=0, "X", "O"))</f>
        <v>O</v>
      </c>
      <c r="AI23" s="43" t="str">
        <f>IF($A23=AI$1, IF(ROW(AI23)=2, "+", IF(COUNTIF($B23:AH23, "X")=0, "+", "-")), IF(MOD($A23, AI$1)=0, "X", "O"))</f>
        <v>O</v>
      </c>
      <c r="AJ23" s="43" t="str">
        <f>IF($A23=AJ$1, IF(ROW(AJ23)=2, "+", IF(COUNTIF($B23:AI23, "X")=0, "+", "-")), IF(MOD($A23, AJ$1)=0, "X", "O"))</f>
        <v>O</v>
      </c>
      <c r="AK23" s="43" t="str">
        <f>IF($A23=AK$1, IF(ROW(AK23)=2, "+", IF(COUNTIF($B23:AJ23, "X")=0, "+", "-")), IF(MOD($A23, AK$1)=0, "X", "O"))</f>
        <v>O</v>
      </c>
      <c r="AL23" s="43" t="str">
        <f>IF($A23=AL$1, IF(ROW(AL23)=2, "+", IF(COUNTIF($B23:AK23, "X")=0, "+", "-")), IF(MOD($A23, AL$1)=0, "X", "O"))</f>
        <v>O</v>
      </c>
      <c r="AM23" s="43" t="str">
        <f>IF($A23=AM$1, IF(ROW(AM23)=2, "+", IF(COUNTIF($B23:AL23, "X")=0, "+", "-")), IF(MOD($A23, AM$1)=0, "X", "O"))</f>
        <v>O</v>
      </c>
      <c r="AN23" s="43" t="str">
        <f>IF($A23=AN$1, IF(ROW(AN23)=2, "+", IF(COUNTIF($B23:AM23, "X")=0, "+", "-")), IF(MOD($A23, AN$1)=0, "X", "O"))</f>
        <v>O</v>
      </c>
      <c r="AO23" s="43" t="str">
        <f>IF($A23=AO$1, IF(ROW(AO23)=2, "+", IF(COUNTIF($B23:AN23, "X")=0, "+", "-")), IF(MOD($A23, AO$1)=0, "X", "O"))</f>
        <v>O</v>
      </c>
      <c r="AP23" s="43" t="str">
        <f>IF($A23=AP$1, IF(ROW(AP23)=2, "+", IF(COUNTIF($B23:AO23, "X")=0, "+", "-")), IF(MOD($A23, AP$1)=0, "X", "O"))</f>
        <v>O</v>
      </c>
      <c r="AQ23" s="43" t="str">
        <f>IF($A23=AQ$1, IF(ROW(AQ23)=2, "+", IF(COUNTIF($B23:AP23, "X")=0, "+", "-")), IF(MOD($A23, AQ$1)=0, "X", "O"))</f>
        <v>O</v>
      </c>
      <c r="AR23" s="43" t="str">
        <f>IF($A23=AR$1, IF(ROW(AR23)=2, "+", IF(COUNTIF($B23:AQ23, "X")=0, "+", "-")), IF(MOD($A23, AR$1)=0, "X", "O"))</f>
        <v>O</v>
      </c>
      <c r="AS23" s="43" t="str">
        <f>IF($A23=AS$1, IF(ROW(AS23)=2, "+", IF(COUNTIF($B23:AR23, "X")=0, "+", "-")), IF(MOD($A23, AS$1)=0, "X", "O"))</f>
        <v>O</v>
      </c>
      <c r="AT23" s="43" t="str">
        <f>IF($A23=AT$1, IF(ROW(AT23)=2, "+", IF(COUNTIF($B23:AS23, "X")=0, "+", "-")), IF(MOD($A23, AT$1)=0, "X", "O"))</f>
        <v>O</v>
      </c>
      <c r="AU23" s="43" t="str">
        <f>IF($A23=AU$1, IF(ROW(AU23)=2, "+", IF(COUNTIF($B23:AT23, "X")=0, "+", "-")), IF(MOD($A23, AU$1)=0, "X", "O"))</f>
        <v>O</v>
      </c>
      <c r="AV23" s="43" t="str">
        <f>IF($A23=AV$1, IF(ROW(AV23)=2, "+", IF(COUNTIF($B23:AU23, "X")=0, "+", "-")), IF(MOD($A23, AV$1)=0, "X", "O"))</f>
        <v>O</v>
      </c>
      <c r="AW23" s="43" t="str">
        <f>IF($A23=AW$1, IF(ROW(AW23)=2, "+", IF(COUNTIF($B23:AV23, "X")=0, "+", "-")), IF(MOD($A23, AW$1)=0, "X", "O"))</f>
        <v>O</v>
      </c>
      <c r="AX23" s="43" t="str">
        <f>IF($A23=AX$1, IF(ROW(AX23)=2, "+", IF(COUNTIF($B23:AW23, "X")=0, "+", "-")), IF(MOD($A23, AX$1)=0, "X", "O"))</f>
        <v>O</v>
      </c>
      <c r="AY23" s="43" t="str">
        <f>IF($A23=AY$1, IF(ROW(AY23)=2, "+", IF(COUNTIF($B23:AX23, "X")=0, "+", "-")), IF(MOD($A23, AY$1)=0, "X", "O"))</f>
        <v>O</v>
      </c>
      <c r="AZ23" s="43" t="str">
        <f>IF($A23=AZ$1, IF(ROW(AZ23)=2, "+", IF(COUNTIF($B23:AY23, "X")=0, "+", "-")), IF(MOD($A23, AZ$1)=0, "X", "O"))</f>
        <v>O</v>
      </c>
      <c r="BA23" s="43" t="str">
        <f>IF($A23=BA$1, IF(ROW(BA23)=2, "+", IF(COUNTIF($B23:AZ23, "X")=0, "+", "-")), IF(MOD($A23, BA$1)=0, "X", "O"))</f>
        <v>O</v>
      </c>
      <c r="BB23" s="43" t="str">
        <f>IF($A23=BB$1, IF(ROW(BB23)=2, "+", IF(COUNTIF($B23:BA23, "X")=0, "+", "-")), IF(MOD($A23, BB$1)=0, "X", "O"))</f>
        <v>O</v>
      </c>
      <c r="BC23" s="43" t="str">
        <f>IF($A23=BC$1, IF(ROW(BC23)=2, "+", IF(COUNTIF($B23:BB23, "X")=0, "+", "-")), IF(MOD($A23, BC$1)=0, "X", "O"))</f>
        <v>O</v>
      </c>
      <c r="BD23" s="43" t="str">
        <f>IF($A23=BD$1, IF(ROW(BD23)=2, "+", IF(COUNTIF($B23:BC23, "X")=0, "+", "-")), IF(MOD($A23, BD$1)=0, "X", "O"))</f>
        <v>O</v>
      </c>
      <c r="BE23" s="43" t="str">
        <f>IF($A23=BE$1, IF(ROW(BE23)=2, "+", IF(COUNTIF($B23:BD23, "X")=0, "+", "-")), IF(MOD($A23, BE$1)=0, "X", "O"))</f>
        <v>O</v>
      </c>
      <c r="BF23" s="43" t="str">
        <f>IF($A23=BF$1, IF(ROW(BF23)=2, "+", IF(COUNTIF($B23:BE23, "X")=0, "+", "-")), IF(MOD($A23, BF$1)=0, "X", "O"))</f>
        <v>O</v>
      </c>
      <c r="BG23" s="43" t="str">
        <f>IF($A23=BG$1, IF(ROW(BG23)=2, "+", IF(COUNTIF($B23:BF23, "X")=0, "+", "-")), IF(MOD($A23, BG$1)=0, "X", "O"))</f>
        <v>O</v>
      </c>
      <c r="BH23" s="43" t="str">
        <f>IF($A23=BH$1, IF(ROW(BH23)=2, "+", IF(COUNTIF($B23:BG23, "X")=0, "+", "-")), IF(MOD($A23, BH$1)=0, "X", "O"))</f>
        <v>O</v>
      </c>
    </row>
    <row r="24" spans="1:60" x14ac:dyDescent="0.25">
      <c r="A24">
        <v>24</v>
      </c>
      <c r="B24" s="43" t="str">
        <f>IF($A24=B$1, IF(ROW(B24)=2, "+", IF(COUNTIF(A24:$B24, "X")=0, "+", "-")), IF(MOD($A24, B$1)=0, "X", "O"))</f>
        <v>X</v>
      </c>
      <c r="C24" s="43" t="str">
        <f>IF($A24=C$1, IF(ROW(C24)=2, "+", IF(COUNTIF(B24:$B24, "X")=0, "+", "-")), IF(MOD($A24, C$1)=0, "X", "O"))</f>
        <v>X</v>
      </c>
      <c r="D24" s="43" t="str">
        <f>IF($A24=D$1, IF(ROW(D24)=2, "+", IF(COUNTIF($B24:C24, "X")=0, "+", "-")), IF(MOD($A24, D$1)=0, "X", "O"))</f>
        <v>X</v>
      </c>
      <c r="E24" s="43" t="str">
        <f>IF($A24=E$1, IF(ROW(E24)=2, "+", IF(COUNTIF($B24:D24, "X")=0, "+", "-")), IF(MOD($A24, E$1)=0, "X", "O"))</f>
        <v>O</v>
      </c>
      <c r="F24" s="43" t="str">
        <f>IF($A24=F$1, IF(ROW(F24)=2, "+", IF(COUNTIF($B24:E24, "X")=0, "+", "-")), IF(MOD($A24, F$1)=0, "X", "O"))</f>
        <v>X</v>
      </c>
      <c r="G24" s="43" t="str">
        <f>IF($A24=G$1, IF(ROW(G24)=2, "+", IF(COUNTIF($B24:F24, "X")=0, "+", "-")), IF(MOD($A24, G$1)=0, "X", "O"))</f>
        <v>O</v>
      </c>
      <c r="H24" s="43" t="str">
        <f>IF($A24=H$1, IF(ROW(H24)=2, "+", IF(COUNTIF($B24:G24, "X")=0, "+", "-")), IF(MOD($A24, H$1)=0, "X", "O"))</f>
        <v>X</v>
      </c>
      <c r="I24" s="43" t="str">
        <f>IF($A24=I$1, IF(ROW(I24)=2, "+", IF(COUNTIF($B24:H24, "X")=0, "+", "-")), IF(MOD($A24, I$1)=0, "X", "O"))</f>
        <v>O</v>
      </c>
      <c r="J24" s="43" t="str">
        <f>IF($A24=J$1, IF(ROW(J24)=2, "+", IF(COUNTIF($B24:I24, "X")=0, "+", "-")), IF(MOD($A24, J$1)=0, "X", "O"))</f>
        <v>O</v>
      </c>
      <c r="K24" s="43" t="str">
        <f>IF($A24=K$1, IF(ROW(K24)=2, "+", IF(COUNTIF($B24:J24, "X")=0, "+", "-")), IF(MOD($A24, K$1)=0, "X", "O"))</f>
        <v>O</v>
      </c>
      <c r="L24" s="43" t="str">
        <f>IF($A24=L$1, IF(ROW(L24)=2, "+", IF(COUNTIF($B24:K24, "X")=0, "+", "-")), IF(MOD($A24, L$1)=0, "X", "O"))</f>
        <v>X</v>
      </c>
      <c r="M24" s="43" t="str">
        <f>IF($A24=M$1, IF(ROW(M24)=2, "+", IF(COUNTIF($B24:L24, "X")=0, "+", "-")), IF(MOD($A24, M$1)=0, "X", "O"))</f>
        <v>O</v>
      </c>
      <c r="N24" s="43" t="str">
        <f>IF($A24=N$1, IF(ROW(N24)=2, "+", IF(COUNTIF($B24:M24, "X")=0, "+", "-")), IF(MOD($A24, N$1)=0, "X", "O"))</f>
        <v>O</v>
      </c>
      <c r="O24" s="43" t="str">
        <f>IF($A24=O$1, IF(ROW(O24)=2, "+", IF(COUNTIF($B24:N24, "X")=0, "+", "-")), IF(MOD($A24, O$1)=0, "X", "O"))</f>
        <v>O</v>
      </c>
      <c r="P24" s="43" t="str">
        <f>IF($A24=P$1, IF(ROW(P24)=2, "+", IF(COUNTIF($B24:O24, "X")=0, "+", "-")), IF(MOD($A24, P$1)=0, "X", "O"))</f>
        <v>O</v>
      </c>
      <c r="Q24" s="43" t="str">
        <f>IF($A24=Q$1, IF(ROW(Q24)=2, "+", IF(COUNTIF($B24:P24, "X")=0, "+", "-")), IF(MOD($A24, Q$1)=0, "X", "O"))</f>
        <v>O</v>
      </c>
      <c r="R24" s="43" t="str">
        <f>IF($A24=R$1, IF(ROW(R24)=2, "+", IF(COUNTIF($B24:Q24, "X")=0, "+", "-")), IF(MOD($A24, R$1)=0, "X", "O"))</f>
        <v>O</v>
      </c>
      <c r="S24" s="43" t="str">
        <f>IF($A24=S$1, IF(ROW(S24)=2, "+", IF(COUNTIF($B24:R24, "X")=0, "+", "-")), IF(MOD($A24, S$1)=0, "X", "O"))</f>
        <v>O</v>
      </c>
      <c r="T24" s="43" t="str">
        <f>IF($A24=T$1, IF(ROW(T24)=2, "+", IF(COUNTIF($B24:S24, "X")=0, "+", "-")), IF(MOD($A24, T$1)=0, "X", "O"))</f>
        <v>O</v>
      </c>
      <c r="U24" s="43" t="str">
        <f>IF($A24=U$1, IF(ROW(U24)=2, "+", IF(COUNTIF($B24:T24, "X")=0, "+", "-")), IF(MOD($A24, U$1)=0, "X", "O"))</f>
        <v>O</v>
      </c>
      <c r="V24" s="43" t="str">
        <f>IF($A24=V$1, IF(ROW(V24)=2, "+", IF(COUNTIF($B24:U24, "X")=0, "+", "-")), IF(MOD($A24, V$1)=0, "X", "O"))</f>
        <v>O</v>
      </c>
      <c r="W24" s="43" t="str">
        <f>IF($A24=W$1, IF(ROW(W24)=2, "+", IF(COUNTIF($B24:V24, "X")=0, "+", "-")), IF(MOD($A24, W$1)=0, "X", "O"))</f>
        <v>O</v>
      </c>
      <c r="X24" s="43" t="str">
        <f>IF($A24=X$1, IF(ROW(X24)=2, "+", IF(COUNTIF($B24:W24, "X")=0, "+", "-")), IF(MOD($A24, X$1)=0, "X", "O"))</f>
        <v>-</v>
      </c>
      <c r="Y24" s="43" t="str">
        <f>IF($A24=Y$1, IF(ROW(Y24)=2, "+", IF(COUNTIF($B24:X24, "X")=0, "+", "-")), IF(MOD($A24, Y$1)=0, "X", "O"))</f>
        <v>O</v>
      </c>
      <c r="Z24" s="43" t="str">
        <f>IF($A24=Z$1, IF(ROW(Z24)=2, "+", IF(COUNTIF($B24:Y24, "X")=0, "+", "-")), IF(MOD($A24, Z$1)=0, "X", "O"))</f>
        <v>O</v>
      </c>
      <c r="AA24" s="43" t="str">
        <f>IF($A24=AA$1, IF(ROW(AA24)=2, "+", IF(COUNTIF($B24:Z24, "X")=0, "+", "-")), IF(MOD($A24, AA$1)=0, "X", "O"))</f>
        <v>O</v>
      </c>
      <c r="AB24" s="43" t="str">
        <f>IF($A24=AB$1, IF(ROW(AB24)=2, "+", IF(COUNTIF($B24:AA24, "X")=0, "+", "-")), IF(MOD($A24, AB$1)=0, "X", "O"))</f>
        <v>O</v>
      </c>
      <c r="AC24" s="43" t="str">
        <f>IF($A24=AC$1, IF(ROW(AC24)=2, "+", IF(COUNTIF($B24:AB24, "X")=0, "+", "-")), IF(MOD($A24, AC$1)=0, "X", "O"))</f>
        <v>O</v>
      </c>
      <c r="AD24" s="43" t="str">
        <f>IF($A24=AD$1, IF(ROW(AD24)=2, "+", IF(COUNTIF($B24:AC24, "X")=0, "+", "-")), IF(MOD($A24, AD$1)=0, "X", "O"))</f>
        <v>O</v>
      </c>
      <c r="AE24" s="43" t="str">
        <f>IF($A24=AE$1, IF(ROW(AE24)=2, "+", IF(COUNTIF($B24:AD24, "X")=0, "+", "-")), IF(MOD($A24, AE$1)=0, "X", "O"))</f>
        <v>O</v>
      </c>
      <c r="AF24" s="43" t="str">
        <f>IF($A24=AF$1, IF(ROW(AF24)=2, "+", IF(COUNTIF($B24:AE24, "X")=0, "+", "-")), IF(MOD($A24, AF$1)=0, "X", "O"))</f>
        <v>O</v>
      </c>
      <c r="AG24" s="43" t="str">
        <f>IF($A24=AG$1, IF(ROW(AG24)=2, "+", IF(COUNTIF($B24:AF24, "X")=0, "+", "-")), IF(MOD($A24, AG$1)=0, "X", "O"))</f>
        <v>O</v>
      </c>
      <c r="AH24" s="43" t="str">
        <f>IF($A24=AH$1, IF(ROW(AH24)=2, "+", IF(COUNTIF($B24:AG24, "X")=0, "+", "-")), IF(MOD($A24, AH$1)=0, "X", "O"))</f>
        <v>O</v>
      </c>
      <c r="AI24" s="43" t="str">
        <f>IF($A24=AI$1, IF(ROW(AI24)=2, "+", IF(COUNTIF($B24:AH24, "X")=0, "+", "-")), IF(MOD($A24, AI$1)=0, "X", "O"))</f>
        <v>O</v>
      </c>
      <c r="AJ24" s="43" t="str">
        <f>IF($A24=AJ$1, IF(ROW(AJ24)=2, "+", IF(COUNTIF($B24:AI24, "X")=0, "+", "-")), IF(MOD($A24, AJ$1)=0, "X", "O"))</f>
        <v>O</v>
      </c>
      <c r="AK24" s="43" t="str">
        <f>IF($A24=AK$1, IF(ROW(AK24)=2, "+", IF(COUNTIF($B24:AJ24, "X")=0, "+", "-")), IF(MOD($A24, AK$1)=0, "X", "O"))</f>
        <v>O</v>
      </c>
      <c r="AL24" s="43" t="str">
        <f>IF($A24=AL$1, IF(ROW(AL24)=2, "+", IF(COUNTIF($B24:AK24, "X")=0, "+", "-")), IF(MOD($A24, AL$1)=0, "X", "O"))</f>
        <v>O</v>
      </c>
      <c r="AM24" s="43" t="str">
        <f>IF($A24=AM$1, IF(ROW(AM24)=2, "+", IF(COUNTIF($B24:AL24, "X")=0, "+", "-")), IF(MOD($A24, AM$1)=0, "X", "O"))</f>
        <v>O</v>
      </c>
      <c r="AN24" s="43" t="str">
        <f>IF($A24=AN$1, IF(ROW(AN24)=2, "+", IF(COUNTIF($B24:AM24, "X")=0, "+", "-")), IF(MOD($A24, AN$1)=0, "X", "O"))</f>
        <v>O</v>
      </c>
      <c r="AO24" s="43" t="str">
        <f>IF($A24=AO$1, IF(ROW(AO24)=2, "+", IF(COUNTIF($B24:AN24, "X")=0, "+", "-")), IF(MOD($A24, AO$1)=0, "X", "O"))</f>
        <v>O</v>
      </c>
      <c r="AP24" s="43" t="str">
        <f>IF($A24=AP$1, IF(ROW(AP24)=2, "+", IF(COUNTIF($B24:AO24, "X")=0, "+", "-")), IF(MOD($A24, AP$1)=0, "X", "O"))</f>
        <v>O</v>
      </c>
      <c r="AQ24" s="43" t="str">
        <f>IF($A24=AQ$1, IF(ROW(AQ24)=2, "+", IF(COUNTIF($B24:AP24, "X")=0, "+", "-")), IF(MOD($A24, AQ$1)=0, "X", "O"))</f>
        <v>O</v>
      </c>
      <c r="AR24" s="43" t="str">
        <f>IF($A24=AR$1, IF(ROW(AR24)=2, "+", IF(COUNTIF($B24:AQ24, "X")=0, "+", "-")), IF(MOD($A24, AR$1)=0, "X", "O"))</f>
        <v>O</v>
      </c>
      <c r="AS24" s="43" t="str">
        <f>IF($A24=AS$1, IF(ROW(AS24)=2, "+", IF(COUNTIF($B24:AR24, "X")=0, "+", "-")), IF(MOD($A24, AS$1)=0, "X", "O"))</f>
        <v>O</v>
      </c>
      <c r="AT24" s="43" t="str">
        <f>IF($A24=AT$1, IF(ROW(AT24)=2, "+", IF(COUNTIF($B24:AS24, "X")=0, "+", "-")), IF(MOD($A24, AT$1)=0, "X", "O"))</f>
        <v>O</v>
      </c>
      <c r="AU24" s="43" t="str">
        <f>IF($A24=AU$1, IF(ROW(AU24)=2, "+", IF(COUNTIF($B24:AT24, "X")=0, "+", "-")), IF(MOD($A24, AU$1)=0, "X", "O"))</f>
        <v>O</v>
      </c>
      <c r="AV24" s="43" t="str">
        <f>IF($A24=AV$1, IF(ROW(AV24)=2, "+", IF(COUNTIF($B24:AU24, "X")=0, "+", "-")), IF(MOD($A24, AV$1)=0, "X", "O"))</f>
        <v>O</v>
      </c>
      <c r="AW24" s="43" t="str">
        <f>IF($A24=AW$1, IF(ROW(AW24)=2, "+", IF(COUNTIF($B24:AV24, "X")=0, "+", "-")), IF(MOD($A24, AW$1)=0, "X", "O"))</f>
        <v>O</v>
      </c>
      <c r="AX24" s="43" t="str">
        <f>IF($A24=AX$1, IF(ROW(AX24)=2, "+", IF(COUNTIF($B24:AW24, "X")=0, "+", "-")), IF(MOD($A24, AX$1)=0, "X", "O"))</f>
        <v>O</v>
      </c>
      <c r="AY24" s="43" t="str">
        <f>IF($A24=AY$1, IF(ROW(AY24)=2, "+", IF(COUNTIF($B24:AX24, "X")=0, "+", "-")), IF(MOD($A24, AY$1)=0, "X", "O"))</f>
        <v>O</v>
      </c>
      <c r="AZ24" s="43" t="str">
        <f>IF($A24=AZ$1, IF(ROW(AZ24)=2, "+", IF(COUNTIF($B24:AY24, "X")=0, "+", "-")), IF(MOD($A24, AZ$1)=0, "X", "O"))</f>
        <v>O</v>
      </c>
      <c r="BA24" s="43" t="str">
        <f>IF($A24=BA$1, IF(ROW(BA24)=2, "+", IF(COUNTIF($B24:AZ24, "X")=0, "+", "-")), IF(MOD($A24, BA$1)=0, "X", "O"))</f>
        <v>O</v>
      </c>
      <c r="BB24" s="43" t="str">
        <f>IF($A24=BB$1, IF(ROW(BB24)=2, "+", IF(COUNTIF($B24:BA24, "X")=0, "+", "-")), IF(MOD($A24, BB$1)=0, "X", "O"))</f>
        <v>O</v>
      </c>
      <c r="BC24" s="43" t="str">
        <f>IF($A24=BC$1, IF(ROW(BC24)=2, "+", IF(COUNTIF($B24:BB24, "X")=0, "+", "-")), IF(MOD($A24, BC$1)=0, "X", "O"))</f>
        <v>O</v>
      </c>
      <c r="BD24" s="43" t="str">
        <f>IF($A24=BD$1, IF(ROW(BD24)=2, "+", IF(COUNTIF($B24:BC24, "X")=0, "+", "-")), IF(MOD($A24, BD$1)=0, "X", "O"))</f>
        <v>O</v>
      </c>
      <c r="BE24" s="43" t="str">
        <f>IF($A24=BE$1, IF(ROW(BE24)=2, "+", IF(COUNTIF($B24:BD24, "X")=0, "+", "-")), IF(MOD($A24, BE$1)=0, "X", "O"))</f>
        <v>O</v>
      </c>
      <c r="BF24" s="43" t="str">
        <f>IF($A24=BF$1, IF(ROW(BF24)=2, "+", IF(COUNTIF($B24:BE24, "X")=0, "+", "-")), IF(MOD($A24, BF$1)=0, "X", "O"))</f>
        <v>O</v>
      </c>
      <c r="BG24" s="43" t="str">
        <f>IF($A24=BG$1, IF(ROW(BG24)=2, "+", IF(COUNTIF($B24:BF24, "X")=0, "+", "-")), IF(MOD($A24, BG$1)=0, "X", "O"))</f>
        <v>O</v>
      </c>
      <c r="BH24" s="43" t="str">
        <f>IF($A24=BH$1, IF(ROW(BH24)=2, "+", IF(COUNTIF($B24:BG24, "X")=0, "+", "-")), IF(MOD($A24, BH$1)=0, "X", "O"))</f>
        <v>O</v>
      </c>
    </row>
    <row r="25" spans="1:60" x14ac:dyDescent="0.25">
      <c r="A25">
        <v>25</v>
      </c>
      <c r="B25" s="43" t="str">
        <f>IF($A25=B$1, IF(ROW(B25)=2, "+", IF(COUNTIF(A25:$B25, "X")=0, "+", "-")), IF(MOD($A25, B$1)=0, "X", "O"))</f>
        <v>O</v>
      </c>
      <c r="C25" s="43" t="str">
        <f>IF($A25=C$1, IF(ROW(C25)=2, "+", IF(COUNTIF(B25:$B25, "X")=0, "+", "-")), IF(MOD($A25, C$1)=0, "X", "O"))</f>
        <v>O</v>
      </c>
      <c r="D25" s="43" t="str">
        <f>IF($A25=D$1, IF(ROW(D25)=2, "+", IF(COUNTIF($B25:C25, "X")=0, "+", "-")), IF(MOD($A25, D$1)=0, "X", "O"))</f>
        <v>O</v>
      </c>
      <c r="E25" s="43" t="str">
        <f>IF($A25=E$1, IF(ROW(E25)=2, "+", IF(COUNTIF($B25:D25, "X")=0, "+", "-")), IF(MOD($A25, E$1)=0, "X", "O"))</f>
        <v>X</v>
      </c>
      <c r="F25" s="43" t="str">
        <f>IF($A25=F$1, IF(ROW(F25)=2, "+", IF(COUNTIF($B25:E25, "X")=0, "+", "-")), IF(MOD($A25, F$1)=0, "X", "O"))</f>
        <v>O</v>
      </c>
      <c r="G25" s="43" t="str">
        <f>IF($A25=G$1, IF(ROW(G25)=2, "+", IF(COUNTIF($B25:F25, "X")=0, "+", "-")), IF(MOD($A25, G$1)=0, "X", "O"))</f>
        <v>O</v>
      </c>
      <c r="H25" s="43" t="str">
        <f>IF($A25=H$1, IF(ROW(H25)=2, "+", IF(COUNTIF($B25:G25, "X")=0, "+", "-")), IF(MOD($A25, H$1)=0, "X", "O"))</f>
        <v>O</v>
      </c>
      <c r="I25" s="43" t="str">
        <f>IF($A25=I$1, IF(ROW(I25)=2, "+", IF(COUNTIF($B25:H25, "X")=0, "+", "-")), IF(MOD($A25, I$1)=0, "X", "O"))</f>
        <v>O</v>
      </c>
      <c r="J25" s="43" t="str">
        <f>IF($A25=J$1, IF(ROW(J25)=2, "+", IF(COUNTIF($B25:I25, "X")=0, "+", "-")), IF(MOD($A25, J$1)=0, "X", "O"))</f>
        <v>O</v>
      </c>
      <c r="K25" s="43" t="str">
        <f>IF($A25=K$1, IF(ROW(K25)=2, "+", IF(COUNTIF($B25:J25, "X")=0, "+", "-")), IF(MOD($A25, K$1)=0, "X", "O"))</f>
        <v>O</v>
      </c>
      <c r="L25" s="43" t="str">
        <f>IF($A25=L$1, IF(ROW(L25)=2, "+", IF(COUNTIF($B25:K25, "X")=0, "+", "-")), IF(MOD($A25, L$1)=0, "X", "O"))</f>
        <v>O</v>
      </c>
      <c r="M25" s="43" t="str">
        <f>IF($A25=M$1, IF(ROW(M25)=2, "+", IF(COUNTIF($B25:L25, "X")=0, "+", "-")), IF(MOD($A25, M$1)=0, "X", "O"))</f>
        <v>O</v>
      </c>
      <c r="N25" s="43" t="str">
        <f>IF($A25=N$1, IF(ROW(N25)=2, "+", IF(COUNTIF($B25:M25, "X")=0, "+", "-")), IF(MOD($A25, N$1)=0, "X", "O"))</f>
        <v>O</v>
      </c>
      <c r="O25" s="43" t="str">
        <f>IF($A25=O$1, IF(ROW(O25)=2, "+", IF(COUNTIF($B25:N25, "X")=0, "+", "-")), IF(MOD($A25, O$1)=0, "X", "O"))</f>
        <v>O</v>
      </c>
      <c r="P25" s="43" t="str">
        <f>IF($A25=P$1, IF(ROW(P25)=2, "+", IF(COUNTIF($B25:O25, "X")=0, "+", "-")), IF(MOD($A25, P$1)=0, "X", "O"))</f>
        <v>O</v>
      </c>
      <c r="Q25" s="43" t="str">
        <f>IF($A25=Q$1, IF(ROW(Q25)=2, "+", IF(COUNTIF($B25:P25, "X")=0, "+", "-")), IF(MOD($A25, Q$1)=0, "X", "O"))</f>
        <v>O</v>
      </c>
      <c r="R25" s="43" t="str">
        <f>IF($A25=R$1, IF(ROW(R25)=2, "+", IF(COUNTIF($B25:Q25, "X")=0, "+", "-")), IF(MOD($A25, R$1)=0, "X", "O"))</f>
        <v>O</v>
      </c>
      <c r="S25" s="43" t="str">
        <f>IF($A25=S$1, IF(ROW(S25)=2, "+", IF(COUNTIF($B25:R25, "X")=0, "+", "-")), IF(MOD($A25, S$1)=0, "X", "O"))</f>
        <v>O</v>
      </c>
      <c r="T25" s="43" t="str">
        <f>IF($A25=T$1, IF(ROW(T25)=2, "+", IF(COUNTIF($B25:S25, "X")=0, "+", "-")), IF(MOD($A25, T$1)=0, "X", "O"))</f>
        <v>O</v>
      </c>
      <c r="U25" s="43" t="str">
        <f>IF($A25=U$1, IF(ROW(U25)=2, "+", IF(COUNTIF($B25:T25, "X")=0, "+", "-")), IF(MOD($A25, U$1)=0, "X", "O"))</f>
        <v>O</v>
      </c>
      <c r="V25" s="43" t="str">
        <f>IF($A25=V$1, IF(ROW(V25)=2, "+", IF(COUNTIF($B25:U25, "X")=0, "+", "-")), IF(MOD($A25, V$1)=0, "X", "O"))</f>
        <v>O</v>
      </c>
      <c r="W25" s="43" t="str">
        <f>IF($A25=W$1, IF(ROW(W25)=2, "+", IF(COUNTIF($B25:V25, "X")=0, "+", "-")), IF(MOD($A25, W$1)=0, "X", "O"))</f>
        <v>O</v>
      </c>
      <c r="X25" s="43" t="str">
        <f>IF($A25=X$1, IF(ROW(X25)=2, "+", IF(COUNTIF($B25:W25, "X")=0, "+", "-")), IF(MOD($A25, X$1)=0, "X", "O"))</f>
        <v>O</v>
      </c>
      <c r="Y25" s="43" t="str">
        <f>IF($A25=Y$1, IF(ROW(Y25)=2, "+", IF(COUNTIF($B25:X25, "X")=0, "+", "-")), IF(MOD($A25, Y$1)=0, "X", "O"))</f>
        <v>-</v>
      </c>
      <c r="Z25" s="43" t="str">
        <f>IF($A25=Z$1, IF(ROW(Z25)=2, "+", IF(COUNTIF($B25:Y25, "X")=0, "+", "-")), IF(MOD($A25, Z$1)=0, "X", "O"))</f>
        <v>O</v>
      </c>
      <c r="AA25" s="43" t="str">
        <f>IF($A25=AA$1, IF(ROW(AA25)=2, "+", IF(COUNTIF($B25:Z25, "X")=0, "+", "-")), IF(MOD($A25, AA$1)=0, "X", "O"))</f>
        <v>O</v>
      </c>
      <c r="AB25" s="43" t="str">
        <f>IF($A25=AB$1, IF(ROW(AB25)=2, "+", IF(COUNTIF($B25:AA25, "X")=0, "+", "-")), IF(MOD($A25, AB$1)=0, "X", "O"))</f>
        <v>O</v>
      </c>
      <c r="AC25" s="43" t="str">
        <f>IF($A25=AC$1, IF(ROW(AC25)=2, "+", IF(COUNTIF($B25:AB25, "X")=0, "+", "-")), IF(MOD($A25, AC$1)=0, "X", "O"))</f>
        <v>O</v>
      </c>
      <c r="AD25" s="43" t="str">
        <f>IF($A25=AD$1, IF(ROW(AD25)=2, "+", IF(COUNTIF($B25:AC25, "X")=0, "+", "-")), IF(MOD($A25, AD$1)=0, "X", "O"))</f>
        <v>O</v>
      </c>
      <c r="AE25" s="43" t="str">
        <f>IF($A25=AE$1, IF(ROW(AE25)=2, "+", IF(COUNTIF($B25:AD25, "X")=0, "+", "-")), IF(MOD($A25, AE$1)=0, "X", "O"))</f>
        <v>O</v>
      </c>
      <c r="AF25" s="43" t="str">
        <f>IF($A25=AF$1, IF(ROW(AF25)=2, "+", IF(COUNTIF($B25:AE25, "X")=0, "+", "-")), IF(MOD($A25, AF$1)=0, "X", "O"))</f>
        <v>O</v>
      </c>
      <c r="AG25" s="43" t="str">
        <f>IF($A25=AG$1, IF(ROW(AG25)=2, "+", IF(COUNTIF($B25:AF25, "X")=0, "+", "-")), IF(MOD($A25, AG$1)=0, "X", "O"))</f>
        <v>O</v>
      </c>
      <c r="AH25" s="43" t="str">
        <f>IF($A25=AH$1, IF(ROW(AH25)=2, "+", IF(COUNTIF($B25:AG25, "X")=0, "+", "-")), IF(MOD($A25, AH$1)=0, "X", "O"))</f>
        <v>O</v>
      </c>
      <c r="AI25" s="43" t="str">
        <f>IF($A25=AI$1, IF(ROW(AI25)=2, "+", IF(COUNTIF($B25:AH25, "X")=0, "+", "-")), IF(MOD($A25, AI$1)=0, "X", "O"))</f>
        <v>O</v>
      </c>
      <c r="AJ25" s="43" t="str">
        <f>IF($A25=AJ$1, IF(ROW(AJ25)=2, "+", IF(COUNTIF($B25:AI25, "X")=0, "+", "-")), IF(MOD($A25, AJ$1)=0, "X", "O"))</f>
        <v>O</v>
      </c>
      <c r="AK25" s="43" t="str">
        <f>IF($A25=AK$1, IF(ROW(AK25)=2, "+", IF(COUNTIF($B25:AJ25, "X")=0, "+", "-")), IF(MOD($A25, AK$1)=0, "X", "O"))</f>
        <v>O</v>
      </c>
      <c r="AL25" s="43" t="str">
        <f>IF($A25=AL$1, IF(ROW(AL25)=2, "+", IF(COUNTIF($B25:AK25, "X")=0, "+", "-")), IF(MOD($A25, AL$1)=0, "X", "O"))</f>
        <v>O</v>
      </c>
      <c r="AM25" s="43" t="str">
        <f>IF($A25=AM$1, IF(ROW(AM25)=2, "+", IF(COUNTIF($B25:AL25, "X")=0, "+", "-")), IF(MOD($A25, AM$1)=0, "X", "O"))</f>
        <v>O</v>
      </c>
      <c r="AN25" s="43" t="str">
        <f>IF($A25=AN$1, IF(ROW(AN25)=2, "+", IF(COUNTIF($B25:AM25, "X")=0, "+", "-")), IF(MOD($A25, AN$1)=0, "X", "O"))</f>
        <v>O</v>
      </c>
      <c r="AO25" s="43" t="str">
        <f>IF($A25=AO$1, IF(ROW(AO25)=2, "+", IF(COUNTIF($B25:AN25, "X")=0, "+", "-")), IF(MOD($A25, AO$1)=0, "X", "O"))</f>
        <v>O</v>
      </c>
      <c r="AP25" s="43" t="str">
        <f>IF($A25=AP$1, IF(ROW(AP25)=2, "+", IF(COUNTIF($B25:AO25, "X")=0, "+", "-")), IF(MOD($A25, AP$1)=0, "X", "O"))</f>
        <v>O</v>
      </c>
      <c r="AQ25" s="43" t="str">
        <f>IF($A25=AQ$1, IF(ROW(AQ25)=2, "+", IF(COUNTIF($B25:AP25, "X")=0, "+", "-")), IF(MOD($A25, AQ$1)=0, "X", "O"))</f>
        <v>O</v>
      </c>
      <c r="AR25" s="43" t="str">
        <f>IF($A25=AR$1, IF(ROW(AR25)=2, "+", IF(COUNTIF($B25:AQ25, "X")=0, "+", "-")), IF(MOD($A25, AR$1)=0, "X", "O"))</f>
        <v>O</v>
      </c>
      <c r="AS25" s="43" t="str">
        <f>IF($A25=AS$1, IF(ROW(AS25)=2, "+", IF(COUNTIF($B25:AR25, "X")=0, "+", "-")), IF(MOD($A25, AS$1)=0, "X", "O"))</f>
        <v>O</v>
      </c>
      <c r="AT25" s="43" t="str">
        <f>IF($A25=AT$1, IF(ROW(AT25)=2, "+", IF(COUNTIF($B25:AS25, "X")=0, "+", "-")), IF(MOD($A25, AT$1)=0, "X", "O"))</f>
        <v>O</v>
      </c>
      <c r="AU25" s="43" t="str">
        <f>IF($A25=AU$1, IF(ROW(AU25)=2, "+", IF(COUNTIF($B25:AT25, "X")=0, "+", "-")), IF(MOD($A25, AU$1)=0, "X", "O"))</f>
        <v>O</v>
      </c>
      <c r="AV25" s="43" t="str">
        <f>IF($A25=AV$1, IF(ROW(AV25)=2, "+", IF(COUNTIF($B25:AU25, "X")=0, "+", "-")), IF(MOD($A25, AV$1)=0, "X", "O"))</f>
        <v>O</v>
      </c>
      <c r="AW25" s="43" t="str">
        <f>IF($A25=AW$1, IF(ROW(AW25)=2, "+", IF(COUNTIF($B25:AV25, "X")=0, "+", "-")), IF(MOD($A25, AW$1)=0, "X", "O"))</f>
        <v>O</v>
      </c>
      <c r="AX25" s="43" t="str">
        <f>IF($A25=AX$1, IF(ROW(AX25)=2, "+", IF(COUNTIF($B25:AW25, "X")=0, "+", "-")), IF(MOD($A25, AX$1)=0, "X", "O"))</f>
        <v>O</v>
      </c>
      <c r="AY25" s="43" t="str">
        <f>IF($A25=AY$1, IF(ROW(AY25)=2, "+", IF(COUNTIF($B25:AX25, "X")=0, "+", "-")), IF(MOD($A25, AY$1)=0, "X", "O"))</f>
        <v>O</v>
      </c>
      <c r="AZ25" s="43" t="str">
        <f>IF($A25=AZ$1, IF(ROW(AZ25)=2, "+", IF(COUNTIF($B25:AY25, "X")=0, "+", "-")), IF(MOD($A25, AZ$1)=0, "X", "O"))</f>
        <v>O</v>
      </c>
      <c r="BA25" s="43" t="str">
        <f>IF($A25=BA$1, IF(ROW(BA25)=2, "+", IF(COUNTIF($B25:AZ25, "X")=0, "+", "-")), IF(MOD($A25, BA$1)=0, "X", "O"))</f>
        <v>O</v>
      </c>
      <c r="BB25" s="43" t="str">
        <f>IF($A25=BB$1, IF(ROW(BB25)=2, "+", IF(COUNTIF($B25:BA25, "X")=0, "+", "-")), IF(MOD($A25, BB$1)=0, "X", "O"))</f>
        <v>O</v>
      </c>
      <c r="BC25" s="43" t="str">
        <f>IF($A25=BC$1, IF(ROW(BC25)=2, "+", IF(COUNTIF($B25:BB25, "X")=0, "+", "-")), IF(MOD($A25, BC$1)=0, "X", "O"))</f>
        <v>O</v>
      </c>
      <c r="BD25" s="43" t="str">
        <f>IF($A25=BD$1, IF(ROW(BD25)=2, "+", IF(COUNTIF($B25:BC25, "X")=0, "+", "-")), IF(MOD($A25, BD$1)=0, "X", "O"))</f>
        <v>O</v>
      </c>
      <c r="BE25" s="43" t="str">
        <f>IF($A25=BE$1, IF(ROW(BE25)=2, "+", IF(COUNTIF($B25:BD25, "X")=0, "+", "-")), IF(MOD($A25, BE$1)=0, "X", "O"))</f>
        <v>O</v>
      </c>
      <c r="BF25" s="43" t="str">
        <f>IF($A25=BF$1, IF(ROW(BF25)=2, "+", IF(COUNTIF($B25:BE25, "X")=0, "+", "-")), IF(MOD($A25, BF$1)=0, "X", "O"))</f>
        <v>O</v>
      </c>
      <c r="BG25" s="43" t="str">
        <f>IF($A25=BG$1, IF(ROW(BG25)=2, "+", IF(COUNTIF($B25:BF25, "X")=0, "+", "-")), IF(MOD($A25, BG$1)=0, "X", "O"))</f>
        <v>O</v>
      </c>
      <c r="BH25" s="43" t="str">
        <f>IF($A25=BH$1, IF(ROW(BH25)=2, "+", IF(COUNTIF($B25:BG25, "X")=0, "+", "-")), IF(MOD($A25, BH$1)=0, "X", "O"))</f>
        <v>O</v>
      </c>
    </row>
    <row r="26" spans="1:60" x14ac:dyDescent="0.25">
      <c r="A26">
        <v>26</v>
      </c>
      <c r="B26" s="43" t="str">
        <f>IF($A26=B$1, IF(ROW(B26)=2, "+", IF(COUNTIF(A26:$B26, "X")=0, "+", "-")), IF(MOD($A26, B$1)=0, "X", "O"))</f>
        <v>X</v>
      </c>
      <c r="C26" s="43" t="str">
        <f>IF($A26=C$1, IF(ROW(C26)=2, "+", IF(COUNTIF(B26:$B26, "X")=0, "+", "-")), IF(MOD($A26, C$1)=0, "X", "O"))</f>
        <v>O</v>
      </c>
      <c r="D26" s="43" t="str">
        <f>IF($A26=D$1, IF(ROW(D26)=2, "+", IF(COUNTIF($B26:C26, "X")=0, "+", "-")), IF(MOD($A26, D$1)=0, "X", "O"))</f>
        <v>O</v>
      </c>
      <c r="E26" s="43" t="str">
        <f>IF($A26=E$1, IF(ROW(E26)=2, "+", IF(COUNTIF($B26:D26, "X")=0, "+", "-")), IF(MOD($A26, E$1)=0, "X", "O"))</f>
        <v>O</v>
      </c>
      <c r="F26" s="43" t="str">
        <f>IF($A26=F$1, IF(ROW(F26)=2, "+", IF(COUNTIF($B26:E26, "X")=0, "+", "-")), IF(MOD($A26, F$1)=0, "X", "O"))</f>
        <v>O</v>
      </c>
      <c r="G26" s="43" t="str">
        <f>IF($A26=G$1, IF(ROW(G26)=2, "+", IF(COUNTIF($B26:F26, "X")=0, "+", "-")), IF(MOD($A26, G$1)=0, "X", "O"))</f>
        <v>O</v>
      </c>
      <c r="H26" s="43" t="str">
        <f>IF($A26=H$1, IF(ROW(H26)=2, "+", IF(COUNTIF($B26:G26, "X")=0, "+", "-")), IF(MOD($A26, H$1)=0, "X", "O"))</f>
        <v>O</v>
      </c>
      <c r="I26" s="43" t="str">
        <f>IF($A26=I$1, IF(ROW(I26)=2, "+", IF(COUNTIF($B26:H26, "X")=0, "+", "-")), IF(MOD($A26, I$1)=0, "X", "O"))</f>
        <v>O</v>
      </c>
      <c r="J26" s="43" t="str">
        <f>IF($A26=J$1, IF(ROW(J26)=2, "+", IF(COUNTIF($B26:I26, "X")=0, "+", "-")), IF(MOD($A26, J$1)=0, "X", "O"))</f>
        <v>O</v>
      </c>
      <c r="K26" s="43" t="str">
        <f>IF($A26=K$1, IF(ROW(K26)=2, "+", IF(COUNTIF($B26:J26, "X")=0, "+", "-")), IF(MOD($A26, K$1)=0, "X", "O"))</f>
        <v>O</v>
      </c>
      <c r="L26" s="43" t="str">
        <f>IF($A26=L$1, IF(ROW(L26)=2, "+", IF(COUNTIF($B26:K26, "X")=0, "+", "-")), IF(MOD($A26, L$1)=0, "X", "O"))</f>
        <v>O</v>
      </c>
      <c r="M26" s="43" t="str">
        <f>IF($A26=M$1, IF(ROW(M26)=2, "+", IF(COUNTIF($B26:L26, "X")=0, "+", "-")), IF(MOD($A26, M$1)=0, "X", "O"))</f>
        <v>X</v>
      </c>
      <c r="N26" s="43" t="str">
        <f>IF($A26=N$1, IF(ROW(N26)=2, "+", IF(COUNTIF($B26:M26, "X")=0, "+", "-")), IF(MOD($A26, N$1)=0, "X", "O"))</f>
        <v>O</v>
      </c>
      <c r="O26" s="43" t="str">
        <f>IF($A26=O$1, IF(ROW(O26)=2, "+", IF(COUNTIF($B26:N26, "X")=0, "+", "-")), IF(MOD($A26, O$1)=0, "X", "O"))</f>
        <v>O</v>
      </c>
      <c r="P26" s="43" t="str">
        <f>IF($A26=P$1, IF(ROW(P26)=2, "+", IF(COUNTIF($B26:O26, "X")=0, "+", "-")), IF(MOD($A26, P$1)=0, "X", "O"))</f>
        <v>O</v>
      </c>
      <c r="Q26" s="43" t="str">
        <f>IF($A26=Q$1, IF(ROW(Q26)=2, "+", IF(COUNTIF($B26:P26, "X")=0, "+", "-")), IF(MOD($A26, Q$1)=0, "X", "O"))</f>
        <v>O</v>
      </c>
      <c r="R26" s="43" t="str">
        <f>IF($A26=R$1, IF(ROW(R26)=2, "+", IF(COUNTIF($B26:Q26, "X")=0, "+", "-")), IF(MOD($A26, R$1)=0, "X", "O"))</f>
        <v>O</v>
      </c>
      <c r="S26" s="43" t="str">
        <f>IF($A26=S$1, IF(ROW(S26)=2, "+", IF(COUNTIF($B26:R26, "X")=0, "+", "-")), IF(MOD($A26, S$1)=0, "X", "O"))</f>
        <v>O</v>
      </c>
      <c r="T26" s="43" t="str">
        <f>IF($A26=T$1, IF(ROW(T26)=2, "+", IF(COUNTIF($B26:S26, "X")=0, "+", "-")), IF(MOD($A26, T$1)=0, "X", "O"))</f>
        <v>O</v>
      </c>
      <c r="U26" s="43" t="str">
        <f>IF($A26=U$1, IF(ROW(U26)=2, "+", IF(COUNTIF($B26:T26, "X")=0, "+", "-")), IF(MOD($A26, U$1)=0, "X", "O"))</f>
        <v>O</v>
      </c>
      <c r="V26" s="43" t="str">
        <f>IF($A26=V$1, IF(ROW(V26)=2, "+", IF(COUNTIF($B26:U26, "X")=0, "+", "-")), IF(MOD($A26, V$1)=0, "X", "O"))</f>
        <v>O</v>
      </c>
      <c r="W26" s="43" t="str">
        <f>IF($A26=W$1, IF(ROW(W26)=2, "+", IF(COUNTIF($B26:V26, "X")=0, "+", "-")), IF(MOD($A26, W$1)=0, "X", "O"))</f>
        <v>O</v>
      </c>
      <c r="X26" s="43" t="str">
        <f>IF($A26=X$1, IF(ROW(X26)=2, "+", IF(COUNTIF($B26:W26, "X")=0, "+", "-")), IF(MOD($A26, X$1)=0, "X", "O"))</f>
        <v>O</v>
      </c>
      <c r="Y26" s="43" t="str">
        <f>IF($A26=Y$1, IF(ROW(Y26)=2, "+", IF(COUNTIF($B26:X26, "X")=0, "+", "-")), IF(MOD($A26, Y$1)=0, "X", "O"))</f>
        <v>O</v>
      </c>
      <c r="Z26" s="43" t="str">
        <f>IF($A26=Z$1, IF(ROW(Z26)=2, "+", IF(COUNTIF($B26:Y26, "X")=0, "+", "-")), IF(MOD($A26, Z$1)=0, "X", "O"))</f>
        <v>-</v>
      </c>
      <c r="AA26" s="43" t="str">
        <f>IF($A26=AA$1, IF(ROW(AA26)=2, "+", IF(COUNTIF($B26:Z26, "X")=0, "+", "-")), IF(MOD($A26, AA$1)=0, "X", "O"))</f>
        <v>O</v>
      </c>
      <c r="AB26" s="43" t="str">
        <f>IF($A26=AB$1, IF(ROW(AB26)=2, "+", IF(COUNTIF($B26:AA26, "X")=0, "+", "-")), IF(MOD($A26, AB$1)=0, "X", "O"))</f>
        <v>O</v>
      </c>
      <c r="AC26" s="43" t="str">
        <f>IF($A26=AC$1, IF(ROW(AC26)=2, "+", IF(COUNTIF($B26:AB26, "X")=0, "+", "-")), IF(MOD($A26, AC$1)=0, "X", "O"))</f>
        <v>O</v>
      </c>
      <c r="AD26" s="43" t="str">
        <f>IF($A26=AD$1, IF(ROW(AD26)=2, "+", IF(COUNTIF($B26:AC26, "X")=0, "+", "-")), IF(MOD($A26, AD$1)=0, "X", "O"))</f>
        <v>O</v>
      </c>
      <c r="AE26" s="43" t="str">
        <f>IF($A26=AE$1, IF(ROW(AE26)=2, "+", IF(COUNTIF($B26:AD26, "X")=0, "+", "-")), IF(MOD($A26, AE$1)=0, "X", "O"))</f>
        <v>O</v>
      </c>
      <c r="AF26" s="43" t="str">
        <f>IF($A26=AF$1, IF(ROW(AF26)=2, "+", IF(COUNTIF($B26:AE26, "X")=0, "+", "-")), IF(MOD($A26, AF$1)=0, "X", "O"))</f>
        <v>O</v>
      </c>
      <c r="AG26" s="43" t="str">
        <f>IF($A26=AG$1, IF(ROW(AG26)=2, "+", IF(COUNTIF($B26:AF26, "X")=0, "+", "-")), IF(MOD($A26, AG$1)=0, "X", "O"))</f>
        <v>O</v>
      </c>
      <c r="AH26" s="43" t="str">
        <f>IF($A26=AH$1, IF(ROW(AH26)=2, "+", IF(COUNTIF($B26:AG26, "X")=0, "+", "-")), IF(MOD($A26, AH$1)=0, "X", "O"))</f>
        <v>O</v>
      </c>
      <c r="AI26" s="43" t="str">
        <f>IF($A26=AI$1, IF(ROW(AI26)=2, "+", IF(COUNTIF($B26:AH26, "X")=0, "+", "-")), IF(MOD($A26, AI$1)=0, "X", "O"))</f>
        <v>O</v>
      </c>
      <c r="AJ26" s="43" t="str">
        <f>IF($A26=AJ$1, IF(ROW(AJ26)=2, "+", IF(COUNTIF($B26:AI26, "X")=0, "+", "-")), IF(MOD($A26, AJ$1)=0, "X", "O"))</f>
        <v>O</v>
      </c>
      <c r="AK26" s="43" t="str">
        <f>IF($A26=AK$1, IF(ROW(AK26)=2, "+", IF(COUNTIF($B26:AJ26, "X")=0, "+", "-")), IF(MOD($A26, AK$1)=0, "X", "O"))</f>
        <v>O</v>
      </c>
      <c r="AL26" s="43" t="str">
        <f>IF($A26=AL$1, IF(ROW(AL26)=2, "+", IF(COUNTIF($B26:AK26, "X")=0, "+", "-")), IF(MOD($A26, AL$1)=0, "X", "O"))</f>
        <v>O</v>
      </c>
      <c r="AM26" s="43" t="str">
        <f>IF($A26=AM$1, IF(ROW(AM26)=2, "+", IF(COUNTIF($B26:AL26, "X")=0, "+", "-")), IF(MOD($A26, AM$1)=0, "X", "O"))</f>
        <v>O</v>
      </c>
      <c r="AN26" s="43" t="str">
        <f>IF($A26=AN$1, IF(ROW(AN26)=2, "+", IF(COUNTIF($B26:AM26, "X")=0, "+", "-")), IF(MOD($A26, AN$1)=0, "X", "O"))</f>
        <v>O</v>
      </c>
      <c r="AO26" s="43" t="str">
        <f>IF($A26=AO$1, IF(ROW(AO26)=2, "+", IF(COUNTIF($B26:AN26, "X")=0, "+", "-")), IF(MOD($A26, AO$1)=0, "X", "O"))</f>
        <v>O</v>
      </c>
      <c r="AP26" s="43" t="str">
        <f>IF($A26=AP$1, IF(ROW(AP26)=2, "+", IF(COUNTIF($B26:AO26, "X")=0, "+", "-")), IF(MOD($A26, AP$1)=0, "X", "O"))</f>
        <v>O</v>
      </c>
      <c r="AQ26" s="43" t="str">
        <f>IF($A26=AQ$1, IF(ROW(AQ26)=2, "+", IF(COUNTIF($B26:AP26, "X")=0, "+", "-")), IF(MOD($A26, AQ$1)=0, "X", "O"))</f>
        <v>O</v>
      </c>
      <c r="AR26" s="43" t="str">
        <f>IF($A26=AR$1, IF(ROW(AR26)=2, "+", IF(COUNTIF($B26:AQ26, "X")=0, "+", "-")), IF(MOD($A26, AR$1)=0, "X", "O"))</f>
        <v>O</v>
      </c>
      <c r="AS26" s="43" t="str">
        <f>IF($A26=AS$1, IF(ROW(AS26)=2, "+", IF(COUNTIF($B26:AR26, "X")=0, "+", "-")), IF(MOD($A26, AS$1)=0, "X", "O"))</f>
        <v>O</v>
      </c>
      <c r="AT26" s="43" t="str">
        <f>IF($A26=AT$1, IF(ROW(AT26)=2, "+", IF(COUNTIF($B26:AS26, "X")=0, "+", "-")), IF(MOD($A26, AT$1)=0, "X", "O"))</f>
        <v>O</v>
      </c>
      <c r="AU26" s="43" t="str">
        <f>IF($A26=AU$1, IF(ROW(AU26)=2, "+", IF(COUNTIF($B26:AT26, "X")=0, "+", "-")), IF(MOD($A26, AU$1)=0, "X", "O"))</f>
        <v>O</v>
      </c>
      <c r="AV26" s="43" t="str">
        <f>IF($A26=AV$1, IF(ROW(AV26)=2, "+", IF(COUNTIF($B26:AU26, "X")=0, "+", "-")), IF(MOD($A26, AV$1)=0, "X", "O"))</f>
        <v>O</v>
      </c>
      <c r="AW26" s="43" t="str">
        <f>IF($A26=AW$1, IF(ROW(AW26)=2, "+", IF(COUNTIF($B26:AV26, "X")=0, "+", "-")), IF(MOD($A26, AW$1)=0, "X", "O"))</f>
        <v>O</v>
      </c>
      <c r="AX26" s="43" t="str">
        <f>IF($A26=AX$1, IF(ROW(AX26)=2, "+", IF(COUNTIF($B26:AW26, "X")=0, "+", "-")), IF(MOD($A26, AX$1)=0, "X", "O"))</f>
        <v>O</v>
      </c>
      <c r="AY26" s="43" t="str">
        <f>IF($A26=AY$1, IF(ROW(AY26)=2, "+", IF(COUNTIF($B26:AX26, "X")=0, "+", "-")), IF(MOD($A26, AY$1)=0, "X", "O"))</f>
        <v>O</v>
      </c>
      <c r="AZ26" s="43" t="str">
        <f>IF($A26=AZ$1, IF(ROW(AZ26)=2, "+", IF(COUNTIF($B26:AY26, "X")=0, "+", "-")), IF(MOD($A26, AZ$1)=0, "X", "O"))</f>
        <v>O</v>
      </c>
      <c r="BA26" s="43" t="str">
        <f>IF($A26=BA$1, IF(ROW(BA26)=2, "+", IF(COUNTIF($B26:AZ26, "X")=0, "+", "-")), IF(MOD($A26, BA$1)=0, "X", "O"))</f>
        <v>O</v>
      </c>
      <c r="BB26" s="43" t="str">
        <f>IF($A26=BB$1, IF(ROW(BB26)=2, "+", IF(COUNTIF($B26:BA26, "X")=0, "+", "-")), IF(MOD($A26, BB$1)=0, "X", "O"))</f>
        <v>O</v>
      </c>
      <c r="BC26" s="43" t="str">
        <f>IF($A26=BC$1, IF(ROW(BC26)=2, "+", IF(COUNTIF($B26:BB26, "X")=0, "+", "-")), IF(MOD($A26, BC$1)=0, "X", "O"))</f>
        <v>O</v>
      </c>
      <c r="BD26" s="43" t="str">
        <f>IF($A26=BD$1, IF(ROW(BD26)=2, "+", IF(COUNTIF($B26:BC26, "X")=0, "+", "-")), IF(MOD($A26, BD$1)=0, "X", "O"))</f>
        <v>O</v>
      </c>
      <c r="BE26" s="43" t="str">
        <f>IF($A26=BE$1, IF(ROW(BE26)=2, "+", IF(COUNTIF($B26:BD26, "X")=0, "+", "-")), IF(MOD($A26, BE$1)=0, "X", "O"))</f>
        <v>O</v>
      </c>
      <c r="BF26" s="43" t="str">
        <f>IF($A26=BF$1, IF(ROW(BF26)=2, "+", IF(COUNTIF($B26:BE26, "X")=0, "+", "-")), IF(MOD($A26, BF$1)=0, "X", "O"))</f>
        <v>O</v>
      </c>
      <c r="BG26" s="43" t="str">
        <f>IF($A26=BG$1, IF(ROW(BG26)=2, "+", IF(COUNTIF($B26:BF26, "X")=0, "+", "-")), IF(MOD($A26, BG$1)=0, "X", "O"))</f>
        <v>O</v>
      </c>
      <c r="BH26" s="43" t="str">
        <f>IF($A26=BH$1, IF(ROW(BH26)=2, "+", IF(COUNTIF($B26:BG26, "X")=0, "+", "-")), IF(MOD($A26, BH$1)=0, "X", "O"))</f>
        <v>O</v>
      </c>
    </row>
    <row r="27" spans="1:60" x14ac:dyDescent="0.25">
      <c r="A27">
        <v>27</v>
      </c>
      <c r="B27" s="43" t="str">
        <f>IF($A27=B$1, IF(ROW(B27)=2, "+", IF(COUNTIF(A27:$B27, "X")=0, "+", "-")), IF(MOD($A27, B$1)=0, "X", "O"))</f>
        <v>O</v>
      </c>
      <c r="C27" s="43" t="str">
        <f>IF($A27=C$1, IF(ROW(C27)=2, "+", IF(COUNTIF(B27:$B27, "X")=0, "+", "-")), IF(MOD($A27, C$1)=0, "X", "O"))</f>
        <v>X</v>
      </c>
      <c r="D27" s="43" t="str">
        <f>IF($A27=D$1, IF(ROW(D27)=2, "+", IF(COUNTIF($B27:C27, "X")=0, "+", "-")), IF(MOD($A27, D$1)=0, "X", "O"))</f>
        <v>O</v>
      </c>
      <c r="E27" s="43" t="str">
        <f>IF($A27=E$1, IF(ROW(E27)=2, "+", IF(COUNTIF($B27:D27, "X")=0, "+", "-")), IF(MOD($A27, E$1)=0, "X", "O"))</f>
        <v>O</v>
      </c>
      <c r="F27" s="43" t="str">
        <f>IF($A27=F$1, IF(ROW(F27)=2, "+", IF(COUNTIF($B27:E27, "X")=0, "+", "-")), IF(MOD($A27, F$1)=0, "X", "O"))</f>
        <v>O</v>
      </c>
      <c r="G27" s="43" t="str">
        <f>IF($A27=G$1, IF(ROW(G27)=2, "+", IF(COUNTIF($B27:F27, "X")=0, "+", "-")), IF(MOD($A27, G$1)=0, "X", "O"))</f>
        <v>O</v>
      </c>
      <c r="H27" s="43" t="str">
        <f>IF($A27=H$1, IF(ROW(H27)=2, "+", IF(COUNTIF($B27:G27, "X")=0, "+", "-")), IF(MOD($A27, H$1)=0, "X", "O"))</f>
        <v>O</v>
      </c>
      <c r="I27" s="43" t="str">
        <f>IF($A27=I$1, IF(ROW(I27)=2, "+", IF(COUNTIF($B27:H27, "X")=0, "+", "-")), IF(MOD($A27, I$1)=0, "X", "O"))</f>
        <v>X</v>
      </c>
      <c r="J27" s="43" t="str">
        <f>IF($A27=J$1, IF(ROW(J27)=2, "+", IF(COUNTIF($B27:I27, "X")=0, "+", "-")), IF(MOD($A27, J$1)=0, "X", "O"))</f>
        <v>O</v>
      </c>
      <c r="K27" s="43" t="str">
        <f>IF($A27=K$1, IF(ROW(K27)=2, "+", IF(COUNTIF($B27:J27, "X")=0, "+", "-")), IF(MOD($A27, K$1)=0, "X", "O"))</f>
        <v>O</v>
      </c>
      <c r="L27" s="43" t="str">
        <f>IF($A27=L$1, IF(ROW(L27)=2, "+", IF(COUNTIF($B27:K27, "X")=0, "+", "-")), IF(MOD($A27, L$1)=0, "X", "O"))</f>
        <v>O</v>
      </c>
      <c r="M27" s="43" t="str">
        <f>IF($A27=M$1, IF(ROW(M27)=2, "+", IF(COUNTIF($B27:L27, "X")=0, "+", "-")), IF(MOD($A27, M$1)=0, "X", "O"))</f>
        <v>O</v>
      </c>
      <c r="N27" s="43" t="str">
        <f>IF($A27=N$1, IF(ROW(N27)=2, "+", IF(COUNTIF($B27:M27, "X")=0, "+", "-")), IF(MOD($A27, N$1)=0, "X", "O"))</f>
        <v>O</v>
      </c>
      <c r="O27" s="43" t="str">
        <f>IF($A27=O$1, IF(ROW(O27)=2, "+", IF(COUNTIF($B27:N27, "X")=0, "+", "-")), IF(MOD($A27, O$1)=0, "X", "O"))</f>
        <v>O</v>
      </c>
      <c r="P27" s="43" t="str">
        <f>IF($A27=P$1, IF(ROW(P27)=2, "+", IF(COUNTIF($B27:O27, "X")=0, "+", "-")), IF(MOD($A27, P$1)=0, "X", "O"))</f>
        <v>O</v>
      </c>
      <c r="Q27" s="43" t="str">
        <f>IF($A27=Q$1, IF(ROW(Q27)=2, "+", IF(COUNTIF($B27:P27, "X")=0, "+", "-")), IF(MOD($A27, Q$1)=0, "X", "O"))</f>
        <v>O</v>
      </c>
      <c r="R27" s="43" t="str">
        <f>IF($A27=R$1, IF(ROW(R27)=2, "+", IF(COUNTIF($B27:Q27, "X")=0, "+", "-")), IF(MOD($A27, R$1)=0, "X", "O"))</f>
        <v>O</v>
      </c>
      <c r="S27" s="43" t="str">
        <f>IF($A27=S$1, IF(ROW(S27)=2, "+", IF(COUNTIF($B27:R27, "X")=0, "+", "-")), IF(MOD($A27, S$1)=0, "X", "O"))</f>
        <v>O</v>
      </c>
      <c r="T27" s="43" t="str">
        <f>IF($A27=T$1, IF(ROW(T27)=2, "+", IF(COUNTIF($B27:S27, "X")=0, "+", "-")), IF(MOD($A27, T$1)=0, "X", "O"))</f>
        <v>O</v>
      </c>
      <c r="U27" s="43" t="str">
        <f>IF($A27=U$1, IF(ROW(U27)=2, "+", IF(COUNTIF($B27:T27, "X")=0, "+", "-")), IF(MOD($A27, U$1)=0, "X", "O"))</f>
        <v>O</v>
      </c>
      <c r="V27" s="43" t="str">
        <f>IF($A27=V$1, IF(ROW(V27)=2, "+", IF(COUNTIF($B27:U27, "X")=0, "+", "-")), IF(MOD($A27, V$1)=0, "X", "O"))</f>
        <v>O</v>
      </c>
      <c r="W27" s="43" t="str">
        <f>IF($A27=W$1, IF(ROW(W27)=2, "+", IF(COUNTIF($B27:V27, "X")=0, "+", "-")), IF(MOD($A27, W$1)=0, "X", "O"))</f>
        <v>O</v>
      </c>
      <c r="X27" s="43" t="str">
        <f>IF($A27=X$1, IF(ROW(X27)=2, "+", IF(COUNTIF($B27:W27, "X")=0, "+", "-")), IF(MOD($A27, X$1)=0, "X", "O"))</f>
        <v>O</v>
      </c>
      <c r="Y27" s="43" t="str">
        <f>IF($A27=Y$1, IF(ROW(Y27)=2, "+", IF(COUNTIF($B27:X27, "X")=0, "+", "-")), IF(MOD($A27, Y$1)=0, "X", "O"))</f>
        <v>O</v>
      </c>
      <c r="Z27" s="43" t="str">
        <f>IF($A27=Z$1, IF(ROW(Z27)=2, "+", IF(COUNTIF($B27:Y27, "X")=0, "+", "-")), IF(MOD($A27, Z$1)=0, "X", "O"))</f>
        <v>O</v>
      </c>
      <c r="AA27" s="43" t="str">
        <f>IF($A27=AA$1, IF(ROW(AA27)=2, "+", IF(COUNTIF($B27:Z27, "X")=0, "+", "-")), IF(MOD($A27, AA$1)=0, "X", "O"))</f>
        <v>-</v>
      </c>
      <c r="AB27" s="43" t="str">
        <f>IF($A27=AB$1, IF(ROW(AB27)=2, "+", IF(COUNTIF($B27:AA27, "X")=0, "+", "-")), IF(MOD($A27, AB$1)=0, "X", "O"))</f>
        <v>O</v>
      </c>
      <c r="AC27" s="43" t="str">
        <f>IF($A27=AC$1, IF(ROW(AC27)=2, "+", IF(COUNTIF($B27:AB27, "X")=0, "+", "-")), IF(MOD($A27, AC$1)=0, "X", "O"))</f>
        <v>O</v>
      </c>
      <c r="AD27" s="43" t="str">
        <f>IF($A27=AD$1, IF(ROW(AD27)=2, "+", IF(COUNTIF($B27:AC27, "X")=0, "+", "-")), IF(MOD($A27, AD$1)=0, "X", "O"))</f>
        <v>O</v>
      </c>
      <c r="AE27" s="43" t="str">
        <f>IF($A27=AE$1, IF(ROW(AE27)=2, "+", IF(COUNTIF($B27:AD27, "X")=0, "+", "-")), IF(MOD($A27, AE$1)=0, "X", "O"))</f>
        <v>O</v>
      </c>
      <c r="AF27" s="43" t="str">
        <f>IF($A27=AF$1, IF(ROW(AF27)=2, "+", IF(COUNTIF($B27:AE27, "X")=0, "+", "-")), IF(MOD($A27, AF$1)=0, "X", "O"))</f>
        <v>O</v>
      </c>
      <c r="AG27" s="43" t="str">
        <f>IF($A27=AG$1, IF(ROW(AG27)=2, "+", IF(COUNTIF($B27:AF27, "X")=0, "+", "-")), IF(MOD($A27, AG$1)=0, "X", "O"))</f>
        <v>O</v>
      </c>
      <c r="AH27" s="43" t="str">
        <f>IF($A27=AH$1, IF(ROW(AH27)=2, "+", IF(COUNTIF($B27:AG27, "X")=0, "+", "-")), IF(MOD($A27, AH$1)=0, "X", "O"))</f>
        <v>O</v>
      </c>
      <c r="AI27" s="43" t="str">
        <f>IF($A27=AI$1, IF(ROW(AI27)=2, "+", IF(COUNTIF($B27:AH27, "X")=0, "+", "-")), IF(MOD($A27, AI$1)=0, "X", "O"))</f>
        <v>O</v>
      </c>
      <c r="AJ27" s="43" t="str">
        <f>IF($A27=AJ$1, IF(ROW(AJ27)=2, "+", IF(COUNTIF($B27:AI27, "X")=0, "+", "-")), IF(MOD($A27, AJ$1)=0, "X", "O"))</f>
        <v>O</v>
      </c>
      <c r="AK27" s="43" t="str">
        <f>IF($A27=AK$1, IF(ROW(AK27)=2, "+", IF(COUNTIF($B27:AJ27, "X")=0, "+", "-")), IF(MOD($A27, AK$1)=0, "X", "O"))</f>
        <v>O</v>
      </c>
      <c r="AL27" s="43" t="str">
        <f>IF($A27=AL$1, IF(ROW(AL27)=2, "+", IF(COUNTIF($B27:AK27, "X")=0, "+", "-")), IF(MOD($A27, AL$1)=0, "X", "O"))</f>
        <v>O</v>
      </c>
      <c r="AM27" s="43" t="str">
        <f>IF($A27=AM$1, IF(ROW(AM27)=2, "+", IF(COUNTIF($B27:AL27, "X")=0, "+", "-")), IF(MOD($A27, AM$1)=0, "X", "O"))</f>
        <v>O</v>
      </c>
      <c r="AN27" s="43" t="str">
        <f>IF($A27=AN$1, IF(ROW(AN27)=2, "+", IF(COUNTIF($B27:AM27, "X")=0, "+", "-")), IF(MOD($A27, AN$1)=0, "X", "O"))</f>
        <v>O</v>
      </c>
      <c r="AO27" s="43" t="str">
        <f>IF($A27=AO$1, IF(ROW(AO27)=2, "+", IF(COUNTIF($B27:AN27, "X")=0, "+", "-")), IF(MOD($A27, AO$1)=0, "X", "O"))</f>
        <v>O</v>
      </c>
      <c r="AP27" s="43" t="str">
        <f>IF($A27=AP$1, IF(ROW(AP27)=2, "+", IF(COUNTIF($B27:AO27, "X")=0, "+", "-")), IF(MOD($A27, AP$1)=0, "X", "O"))</f>
        <v>O</v>
      </c>
      <c r="AQ27" s="43" t="str">
        <f>IF($A27=AQ$1, IF(ROW(AQ27)=2, "+", IF(COUNTIF($B27:AP27, "X")=0, "+", "-")), IF(MOD($A27, AQ$1)=0, "X", "O"))</f>
        <v>O</v>
      </c>
      <c r="AR27" s="43" t="str">
        <f>IF($A27=AR$1, IF(ROW(AR27)=2, "+", IF(COUNTIF($B27:AQ27, "X")=0, "+", "-")), IF(MOD($A27, AR$1)=0, "X", "O"))</f>
        <v>O</v>
      </c>
      <c r="AS27" s="43" t="str">
        <f>IF($A27=AS$1, IF(ROW(AS27)=2, "+", IF(COUNTIF($B27:AR27, "X")=0, "+", "-")), IF(MOD($A27, AS$1)=0, "X", "O"))</f>
        <v>O</v>
      </c>
      <c r="AT27" s="43" t="str">
        <f>IF($A27=AT$1, IF(ROW(AT27)=2, "+", IF(COUNTIF($B27:AS27, "X")=0, "+", "-")), IF(MOD($A27, AT$1)=0, "X", "O"))</f>
        <v>O</v>
      </c>
      <c r="AU27" s="43" t="str">
        <f>IF($A27=AU$1, IF(ROW(AU27)=2, "+", IF(COUNTIF($B27:AT27, "X")=0, "+", "-")), IF(MOD($A27, AU$1)=0, "X", "O"))</f>
        <v>O</v>
      </c>
      <c r="AV27" s="43" t="str">
        <f>IF($A27=AV$1, IF(ROW(AV27)=2, "+", IF(COUNTIF($B27:AU27, "X")=0, "+", "-")), IF(MOD($A27, AV$1)=0, "X", "O"))</f>
        <v>O</v>
      </c>
      <c r="AW27" s="43" t="str">
        <f>IF($A27=AW$1, IF(ROW(AW27)=2, "+", IF(COUNTIF($B27:AV27, "X")=0, "+", "-")), IF(MOD($A27, AW$1)=0, "X", "O"))</f>
        <v>O</v>
      </c>
      <c r="AX27" s="43" t="str">
        <f>IF($A27=AX$1, IF(ROW(AX27)=2, "+", IF(COUNTIF($B27:AW27, "X")=0, "+", "-")), IF(MOD($A27, AX$1)=0, "X", "O"))</f>
        <v>O</v>
      </c>
      <c r="AY27" s="43" t="str">
        <f>IF($A27=AY$1, IF(ROW(AY27)=2, "+", IF(COUNTIF($B27:AX27, "X")=0, "+", "-")), IF(MOD($A27, AY$1)=0, "X", "O"))</f>
        <v>O</v>
      </c>
      <c r="AZ27" s="43" t="str">
        <f>IF($A27=AZ$1, IF(ROW(AZ27)=2, "+", IF(COUNTIF($B27:AY27, "X")=0, "+", "-")), IF(MOD($A27, AZ$1)=0, "X", "O"))</f>
        <v>O</v>
      </c>
      <c r="BA27" s="43" t="str">
        <f>IF($A27=BA$1, IF(ROW(BA27)=2, "+", IF(COUNTIF($B27:AZ27, "X")=0, "+", "-")), IF(MOD($A27, BA$1)=0, "X", "O"))</f>
        <v>O</v>
      </c>
      <c r="BB27" s="43" t="str">
        <f>IF($A27=BB$1, IF(ROW(BB27)=2, "+", IF(COUNTIF($B27:BA27, "X")=0, "+", "-")), IF(MOD($A27, BB$1)=0, "X", "O"))</f>
        <v>O</v>
      </c>
      <c r="BC27" s="43" t="str">
        <f>IF($A27=BC$1, IF(ROW(BC27)=2, "+", IF(COUNTIF($B27:BB27, "X")=0, "+", "-")), IF(MOD($A27, BC$1)=0, "X", "O"))</f>
        <v>O</v>
      </c>
      <c r="BD27" s="43" t="str">
        <f>IF($A27=BD$1, IF(ROW(BD27)=2, "+", IF(COUNTIF($B27:BC27, "X")=0, "+", "-")), IF(MOD($A27, BD$1)=0, "X", "O"))</f>
        <v>O</v>
      </c>
      <c r="BE27" s="43" t="str">
        <f>IF($A27=BE$1, IF(ROW(BE27)=2, "+", IF(COUNTIF($B27:BD27, "X")=0, "+", "-")), IF(MOD($A27, BE$1)=0, "X", "O"))</f>
        <v>O</v>
      </c>
      <c r="BF27" s="43" t="str">
        <f>IF($A27=BF$1, IF(ROW(BF27)=2, "+", IF(COUNTIF($B27:BE27, "X")=0, "+", "-")), IF(MOD($A27, BF$1)=0, "X", "O"))</f>
        <v>O</v>
      </c>
      <c r="BG27" s="43" t="str">
        <f>IF($A27=BG$1, IF(ROW(BG27)=2, "+", IF(COUNTIF($B27:BF27, "X")=0, "+", "-")), IF(MOD($A27, BG$1)=0, "X", "O"))</f>
        <v>O</v>
      </c>
      <c r="BH27" s="43" t="str">
        <f>IF($A27=BH$1, IF(ROW(BH27)=2, "+", IF(COUNTIF($B27:BG27, "X")=0, "+", "-")), IF(MOD($A27, BH$1)=0, "X", "O"))</f>
        <v>O</v>
      </c>
    </row>
    <row r="28" spans="1:60" x14ac:dyDescent="0.25">
      <c r="A28">
        <v>28</v>
      </c>
      <c r="B28" s="43" t="str">
        <f>IF($A28=B$1, IF(ROW(B28)=2, "+", IF(COUNTIF(A28:$B28, "X")=0, "+", "-")), IF(MOD($A28, B$1)=0, "X", "O"))</f>
        <v>X</v>
      </c>
      <c r="C28" s="43" t="str">
        <f>IF($A28=C$1, IF(ROW(C28)=2, "+", IF(COUNTIF(B28:$B28, "X")=0, "+", "-")), IF(MOD($A28, C$1)=0, "X", "O"))</f>
        <v>O</v>
      </c>
      <c r="D28" s="43" t="str">
        <f>IF($A28=D$1, IF(ROW(D28)=2, "+", IF(COUNTIF($B28:C28, "X")=0, "+", "-")), IF(MOD($A28, D$1)=0, "X", "O"))</f>
        <v>X</v>
      </c>
      <c r="E28" s="43" t="str">
        <f>IF($A28=E$1, IF(ROW(E28)=2, "+", IF(COUNTIF($B28:D28, "X")=0, "+", "-")), IF(MOD($A28, E$1)=0, "X", "O"))</f>
        <v>O</v>
      </c>
      <c r="F28" s="43" t="str">
        <f>IF($A28=F$1, IF(ROW(F28)=2, "+", IF(COUNTIF($B28:E28, "X")=0, "+", "-")), IF(MOD($A28, F$1)=0, "X", "O"))</f>
        <v>O</v>
      </c>
      <c r="G28" s="43" t="str">
        <f>IF($A28=G$1, IF(ROW(G28)=2, "+", IF(COUNTIF($B28:F28, "X")=0, "+", "-")), IF(MOD($A28, G$1)=0, "X", "O"))</f>
        <v>X</v>
      </c>
      <c r="H28" s="43" t="str">
        <f>IF($A28=H$1, IF(ROW(H28)=2, "+", IF(COUNTIF($B28:G28, "X")=0, "+", "-")), IF(MOD($A28, H$1)=0, "X", "O"))</f>
        <v>O</v>
      </c>
      <c r="I28" s="43" t="str">
        <f>IF($A28=I$1, IF(ROW(I28)=2, "+", IF(COUNTIF($B28:H28, "X")=0, "+", "-")), IF(MOD($A28, I$1)=0, "X", "O"))</f>
        <v>O</v>
      </c>
      <c r="J28" s="43" t="str">
        <f>IF($A28=J$1, IF(ROW(J28)=2, "+", IF(COUNTIF($B28:I28, "X")=0, "+", "-")), IF(MOD($A28, J$1)=0, "X", "O"))</f>
        <v>O</v>
      </c>
      <c r="K28" s="43" t="str">
        <f>IF($A28=K$1, IF(ROW(K28)=2, "+", IF(COUNTIF($B28:J28, "X")=0, "+", "-")), IF(MOD($A28, K$1)=0, "X", "O"))</f>
        <v>O</v>
      </c>
      <c r="L28" s="43" t="str">
        <f>IF($A28=L$1, IF(ROW(L28)=2, "+", IF(COUNTIF($B28:K28, "X")=0, "+", "-")), IF(MOD($A28, L$1)=0, "X", "O"))</f>
        <v>O</v>
      </c>
      <c r="M28" s="43" t="str">
        <f>IF($A28=M$1, IF(ROW(M28)=2, "+", IF(COUNTIF($B28:L28, "X")=0, "+", "-")), IF(MOD($A28, M$1)=0, "X", "O"))</f>
        <v>O</v>
      </c>
      <c r="N28" s="43" t="str">
        <f>IF($A28=N$1, IF(ROW(N28)=2, "+", IF(COUNTIF($B28:M28, "X")=0, "+", "-")), IF(MOD($A28, N$1)=0, "X", "O"))</f>
        <v>X</v>
      </c>
      <c r="O28" s="43" t="str">
        <f>IF($A28=O$1, IF(ROW(O28)=2, "+", IF(COUNTIF($B28:N28, "X")=0, "+", "-")), IF(MOD($A28, O$1)=0, "X", "O"))</f>
        <v>O</v>
      </c>
      <c r="P28" s="43" t="str">
        <f>IF($A28=P$1, IF(ROW(P28)=2, "+", IF(COUNTIF($B28:O28, "X")=0, "+", "-")), IF(MOD($A28, P$1)=0, "X", "O"))</f>
        <v>O</v>
      </c>
      <c r="Q28" s="43" t="str">
        <f>IF($A28=Q$1, IF(ROW(Q28)=2, "+", IF(COUNTIF($B28:P28, "X")=0, "+", "-")), IF(MOD($A28, Q$1)=0, "X", "O"))</f>
        <v>O</v>
      </c>
      <c r="R28" s="43" t="str">
        <f>IF($A28=R$1, IF(ROW(R28)=2, "+", IF(COUNTIF($B28:Q28, "X")=0, "+", "-")), IF(MOD($A28, R$1)=0, "X", "O"))</f>
        <v>O</v>
      </c>
      <c r="S28" s="43" t="str">
        <f>IF($A28=S$1, IF(ROW(S28)=2, "+", IF(COUNTIF($B28:R28, "X")=0, "+", "-")), IF(MOD($A28, S$1)=0, "X", "O"))</f>
        <v>O</v>
      </c>
      <c r="T28" s="43" t="str">
        <f>IF($A28=T$1, IF(ROW(T28)=2, "+", IF(COUNTIF($B28:S28, "X")=0, "+", "-")), IF(MOD($A28, T$1)=0, "X", "O"))</f>
        <v>O</v>
      </c>
      <c r="U28" s="43" t="str">
        <f>IF($A28=U$1, IF(ROW(U28)=2, "+", IF(COUNTIF($B28:T28, "X")=0, "+", "-")), IF(MOD($A28, U$1)=0, "X", "O"))</f>
        <v>O</v>
      </c>
      <c r="V28" s="43" t="str">
        <f>IF($A28=V$1, IF(ROW(V28)=2, "+", IF(COUNTIF($B28:U28, "X")=0, "+", "-")), IF(MOD($A28, V$1)=0, "X", "O"))</f>
        <v>O</v>
      </c>
      <c r="W28" s="43" t="str">
        <f>IF($A28=W$1, IF(ROW(W28)=2, "+", IF(COUNTIF($B28:V28, "X")=0, "+", "-")), IF(MOD($A28, W$1)=0, "X", "O"))</f>
        <v>O</v>
      </c>
      <c r="X28" s="43" t="str">
        <f>IF($A28=X$1, IF(ROW(X28)=2, "+", IF(COUNTIF($B28:W28, "X")=0, "+", "-")), IF(MOD($A28, X$1)=0, "X", "O"))</f>
        <v>O</v>
      </c>
      <c r="Y28" s="43" t="str">
        <f>IF($A28=Y$1, IF(ROW(Y28)=2, "+", IF(COUNTIF($B28:X28, "X")=0, "+", "-")), IF(MOD($A28, Y$1)=0, "X", "O"))</f>
        <v>O</v>
      </c>
      <c r="Z28" s="43" t="str">
        <f>IF($A28=Z$1, IF(ROW(Z28)=2, "+", IF(COUNTIF($B28:Y28, "X")=0, "+", "-")), IF(MOD($A28, Z$1)=0, "X", "O"))</f>
        <v>O</v>
      </c>
      <c r="AA28" s="43" t="str">
        <f>IF($A28=AA$1, IF(ROW(AA28)=2, "+", IF(COUNTIF($B28:Z28, "X")=0, "+", "-")), IF(MOD($A28, AA$1)=0, "X", "O"))</f>
        <v>O</v>
      </c>
      <c r="AB28" s="43" t="str">
        <f>IF($A28=AB$1, IF(ROW(AB28)=2, "+", IF(COUNTIF($B28:AA28, "X")=0, "+", "-")), IF(MOD($A28, AB$1)=0, "X", "O"))</f>
        <v>-</v>
      </c>
      <c r="AC28" s="43" t="str">
        <f>IF($A28=AC$1, IF(ROW(AC28)=2, "+", IF(COUNTIF($B28:AB28, "X")=0, "+", "-")), IF(MOD($A28, AC$1)=0, "X", "O"))</f>
        <v>O</v>
      </c>
      <c r="AD28" s="43" t="str">
        <f>IF($A28=AD$1, IF(ROW(AD28)=2, "+", IF(COUNTIF($B28:AC28, "X")=0, "+", "-")), IF(MOD($A28, AD$1)=0, "X", "O"))</f>
        <v>O</v>
      </c>
      <c r="AE28" s="43" t="str">
        <f>IF($A28=AE$1, IF(ROW(AE28)=2, "+", IF(COUNTIF($B28:AD28, "X")=0, "+", "-")), IF(MOD($A28, AE$1)=0, "X", "O"))</f>
        <v>O</v>
      </c>
      <c r="AF28" s="43" t="str">
        <f>IF($A28=AF$1, IF(ROW(AF28)=2, "+", IF(COUNTIF($B28:AE28, "X")=0, "+", "-")), IF(MOD($A28, AF$1)=0, "X", "O"))</f>
        <v>O</v>
      </c>
      <c r="AG28" s="43" t="str">
        <f>IF($A28=AG$1, IF(ROW(AG28)=2, "+", IF(COUNTIF($B28:AF28, "X")=0, "+", "-")), IF(MOD($A28, AG$1)=0, "X", "O"))</f>
        <v>O</v>
      </c>
      <c r="AH28" s="43" t="str">
        <f>IF($A28=AH$1, IF(ROW(AH28)=2, "+", IF(COUNTIF($B28:AG28, "X")=0, "+", "-")), IF(MOD($A28, AH$1)=0, "X", "O"))</f>
        <v>O</v>
      </c>
      <c r="AI28" s="43" t="str">
        <f>IF($A28=AI$1, IF(ROW(AI28)=2, "+", IF(COUNTIF($B28:AH28, "X")=0, "+", "-")), IF(MOD($A28, AI$1)=0, "X", "O"))</f>
        <v>O</v>
      </c>
      <c r="AJ28" s="43" t="str">
        <f>IF($A28=AJ$1, IF(ROW(AJ28)=2, "+", IF(COUNTIF($B28:AI28, "X")=0, "+", "-")), IF(MOD($A28, AJ$1)=0, "X", "O"))</f>
        <v>O</v>
      </c>
      <c r="AK28" s="43" t="str">
        <f>IF($A28=AK$1, IF(ROW(AK28)=2, "+", IF(COUNTIF($B28:AJ28, "X")=0, "+", "-")), IF(MOD($A28, AK$1)=0, "X", "O"))</f>
        <v>O</v>
      </c>
      <c r="AL28" s="43" t="str">
        <f>IF($A28=AL$1, IF(ROW(AL28)=2, "+", IF(COUNTIF($B28:AK28, "X")=0, "+", "-")), IF(MOD($A28, AL$1)=0, "X", "O"))</f>
        <v>O</v>
      </c>
      <c r="AM28" s="43" t="str">
        <f>IF($A28=AM$1, IF(ROW(AM28)=2, "+", IF(COUNTIF($B28:AL28, "X")=0, "+", "-")), IF(MOD($A28, AM$1)=0, "X", "O"))</f>
        <v>O</v>
      </c>
      <c r="AN28" s="43" t="str">
        <f>IF($A28=AN$1, IF(ROW(AN28)=2, "+", IF(COUNTIF($B28:AM28, "X")=0, "+", "-")), IF(MOD($A28, AN$1)=0, "X", "O"))</f>
        <v>O</v>
      </c>
      <c r="AO28" s="43" t="str">
        <f>IF($A28=AO$1, IF(ROW(AO28)=2, "+", IF(COUNTIF($B28:AN28, "X")=0, "+", "-")), IF(MOD($A28, AO$1)=0, "X", "O"))</f>
        <v>O</v>
      </c>
      <c r="AP28" s="43" t="str">
        <f>IF($A28=AP$1, IF(ROW(AP28)=2, "+", IF(COUNTIF($B28:AO28, "X")=0, "+", "-")), IF(MOD($A28, AP$1)=0, "X", "O"))</f>
        <v>O</v>
      </c>
      <c r="AQ28" s="43" t="str">
        <f>IF($A28=AQ$1, IF(ROW(AQ28)=2, "+", IF(COUNTIF($B28:AP28, "X")=0, "+", "-")), IF(MOD($A28, AQ$1)=0, "X", "O"))</f>
        <v>O</v>
      </c>
      <c r="AR28" s="43" t="str">
        <f>IF($A28=AR$1, IF(ROW(AR28)=2, "+", IF(COUNTIF($B28:AQ28, "X")=0, "+", "-")), IF(MOD($A28, AR$1)=0, "X", "O"))</f>
        <v>O</v>
      </c>
      <c r="AS28" s="43" t="str">
        <f>IF($A28=AS$1, IF(ROW(AS28)=2, "+", IF(COUNTIF($B28:AR28, "X")=0, "+", "-")), IF(MOD($A28, AS$1)=0, "X", "O"))</f>
        <v>O</v>
      </c>
      <c r="AT28" s="43" t="str">
        <f>IF($A28=AT$1, IF(ROW(AT28)=2, "+", IF(COUNTIF($B28:AS28, "X")=0, "+", "-")), IF(MOD($A28, AT$1)=0, "X", "O"))</f>
        <v>O</v>
      </c>
      <c r="AU28" s="43" t="str">
        <f>IF($A28=AU$1, IF(ROW(AU28)=2, "+", IF(COUNTIF($B28:AT28, "X")=0, "+", "-")), IF(MOD($A28, AU$1)=0, "X", "O"))</f>
        <v>O</v>
      </c>
      <c r="AV28" s="43" t="str">
        <f>IF($A28=AV$1, IF(ROW(AV28)=2, "+", IF(COUNTIF($B28:AU28, "X")=0, "+", "-")), IF(MOD($A28, AV$1)=0, "X", "O"))</f>
        <v>O</v>
      </c>
      <c r="AW28" s="43" t="str">
        <f>IF($A28=AW$1, IF(ROW(AW28)=2, "+", IF(COUNTIF($B28:AV28, "X")=0, "+", "-")), IF(MOD($A28, AW$1)=0, "X", "O"))</f>
        <v>O</v>
      </c>
      <c r="AX28" s="43" t="str">
        <f>IF($A28=AX$1, IF(ROW(AX28)=2, "+", IF(COUNTIF($B28:AW28, "X")=0, "+", "-")), IF(MOD($A28, AX$1)=0, "X", "O"))</f>
        <v>O</v>
      </c>
      <c r="AY28" s="43" t="str">
        <f>IF($A28=AY$1, IF(ROW(AY28)=2, "+", IF(COUNTIF($B28:AX28, "X")=0, "+", "-")), IF(MOD($A28, AY$1)=0, "X", "O"))</f>
        <v>O</v>
      </c>
      <c r="AZ28" s="43" t="str">
        <f>IF($A28=AZ$1, IF(ROW(AZ28)=2, "+", IF(COUNTIF($B28:AY28, "X")=0, "+", "-")), IF(MOD($A28, AZ$1)=0, "X", "O"))</f>
        <v>O</v>
      </c>
      <c r="BA28" s="43" t="str">
        <f>IF($A28=BA$1, IF(ROW(BA28)=2, "+", IF(COUNTIF($B28:AZ28, "X")=0, "+", "-")), IF(MOD($A28, BA$1)=0, "X", "O"))</f>
        <v>O</v>
      </c>
      <c r="BB28" s="43" t="str">
        <f>IF($A28=BB$1, IF(ROW(BB28)=2, "+", IF(COUNTIF($B28:BA28, "X")=0, "+", "-")), IF(MOD($A28, BB$1)=0, "X", "O"))</f>
        <v>O</v>
      </c>
      <c r="BC28" s="43" t="str">
        <f>IF($A28=BC$1, IF(ROW(BC28)=2, "+", IF(COUNTIF($B28:BB28, "X")=0, "+", "-")), IF(MOD($A28, BC$1)=0, "X", "O"))</f>
        <v>O</v>
      </c>
      <c r="BD28" s="43" t="str">
        <f>IF($A28=BD$1, IF(ROW(BD28)=2, "+", IF(COUNTIF($B28:BC28, "X")=0, "+", "-")), IF(MOD($A28, BD$1)=0, "X", "O"))</f>
        <v>O</v>
      </c>
      <c r="BE28" s="43" t="str">
        <f>IF($A28=BE$1, IF(ROW(BE28)=2, "+", IF(COUNTIF($B28:BD28, "X")=0, "+", "-")), IF(MOD($A28, BE$1)=0, "X", "O"))</f>
        <v>O</v>
      </c>
      <c r="BF28" s="43" t="str">
        <f>IF($A28=BF$1, IF(ROW(BF28)=2, "+", IF(COUNTIF($B28:BE28, "X")=0, "+", "-")), IF(MOD($A28, BF$1)=0, "X", "O"))</f>
        <v>O</v>
      </c>
      <c r="BG28" s="43" t="str">
        <f>IF($A28=BG$1, IF(ROW(BG28)=2, "+", IF(COUNTIF($B28:BF28, "X")=0, "+", "-")), IF(MOD($A28, BG$1)=0, "X", "O"))</f>
        <v>O</v>
      </c>
      <c r="BH28" s="43" t="str">
        <f>IF($A28=BH$1, IF(ROW(BH28)=2, "+", IF(COUNTIF($B28:BG28, "X")=0, "+", "-")), IF(MOD($A28, BH$1)=0, "X", "O"))</f>
        <v>O</v>
      </c>
    </row>
    <row r="29" spans="1:60" x14ac:dyDescent="0.25">
      <c r="A29">
        <v>29</v>
      </c>
      <c r="B29" s="43" t="str">
        <f>IF($A29=B$1, IF(ROW(B29)=2, "+", IF(COUNTIF(A29:$B29, "X")=0, "+", "-")), IF(MOD($A29, B$1)=0, "X", "O"))</f>
        <v>O</v>
      </c>
      <c r="C29" s="43" t="str">
        <f>IF($A29=C$1, IF(ROW(C29)=2, "+", IF(COUNTIF(B29:$B29, "X")=0, "+", "-")), IF(MOD($A29, C$1)=0, "X", "O"))</f>
        <v>O</v>
      </c>
      <c r="D29" s="43" t="str">
        <f>IF($A29=D$1, IF(ROW(D29)=2, "+", IF(COUNTIF($B29:C29, "X")=0, "+", "-")), IF(MOD($A29, D$1)=0, "X", "O"))</f>
        <v>O</v>
      </c>
      <c r="E29" s="43" t="str">
        <f>IF($A29=E$1, IF(ROW(E29)=2, "+", IF(COUNTIF($B29:D29, "X")=0, "+", "-")), IF(MOD($A29, E$1)=0, "X", "O"))</f>
        <v>O</v>
      </c>
      <c r="F29" s="43" t="str">
        <f>IF($A29=F$1, IF(ROW(F29)=2, "+", IF(COUNTIF($B29:E29, "X")=0, "+", "-")), IF(MOD($A29, F$1)=0, "X", "O"))</f>
        <v>O</v>
      </c>
      <c r="G29" s="43" t="str">
        <f>IF($A29=G$1, IF(ROW(G29)=2, "+", IF(COUNTIF($B29:F29, "X")=0, "+", "-")), IF(MOD($A29, G$1)=0, "X", "O"))</f>
        <v>O</v>
      </c>
      <c r="H29" s="43" t="str">
        <f>IF($A29=H$1, IF(ROW(H29)=2, "+", IF(COUNTIF($B29:G29, "X")=0, "+", "-")), IF(MOD($A29, H$1)=0, "X", "O"))</f>
        <v>O</v>
      </c>
      <c r="I29" s="43" t="str">
        <f>IF($A29=I$1, IF(ROW(I29)=2, "+", IF(COUNTIF($B29:H29, "X")=0, "+", "-")), IF(MOD($A29, I$1)=0, "X", "O"))</f>
        <v>O</v>
      </c>
      <c r="J29" s="43" t="str">
        <f>IF($A29=J$1, IF(ROW(J29)=2, "+", IF(COUNTIF($B29:I29, "X")=0, "+", "-")), IF(MOD($A29, J$1)=0, "X", "O"))</f>
        <v>O</v>
      </c>
      <c r="K29" s="43" t="str">
        <f>IF($A29=K$1, IF(ROW(K29)=2, "+", IF(COUNTIF($B29:J29, "X")=0, "+", "-")), IF(MOD($A29, K$1)=0, "X", "O"))</f>
        <v>O</v>
      </c>
      <c r="L29" s="43" t="str">
        <f>IF($A29=L$1, IF(ROW(L29)=2, "+", IF(COUNTIF($B29:K29, "X")=0, "+", "-")), IF(MOD($A29, L$1)=0, "X", "O"))</f>
        <v>O</v>
      </c>
      <c r="M29" s="43" t="str">
        <f>IF($A29=M$1, IF(ROW(M29)=2, "+", IF(COUNTIF($B29:L29, "X")=0, "+", "-")), IF(MOD($A29, M$1)=0, "X", "O"))</f>
        <v>O</v>
      </c>
      <c r="N29" s="43" t="str">
        <f>IF($A29=N$1, IF(ROW(N29)=2, "+", IF(COUNTIF($B29:M29, "X")=0, "+", "-")), IF(MOD($A29, N$1)=0, "X", "O"))</f>
        <v>O</v>
      </c>
      <c r="O29" s="43" t="str">
        <f>IF($A29=O$1, IF(ROW(O29)=2, "+", IF(COUNTIF($B29:N29, "X")=0, "+", "-")), IF(MOD($A29, O$1)=0, "X", "O"))</f>
        <v>O</v>
      </c>
      <c r="P29" s="43" t="str">
        <f>IF($A29=P$1, IF(ROW(P29)=2, "+", IF(COUNTIF($B29:O29, "X")=0, "+", "-")), IF(MOD($A29, P$1)=0, "X", "O"))</f>
        <v>O</v>
      </c>
      <c r="Q29" s="43" t="str">
        <f>IF($A29=Q$1, IF(ROW(Q29)=2, "+", IF(COUNTIF($B29:P29, "X")=0, "+", "-")), IF(MOD($A29, Q$1)=0, "X", "O"))</f>
        <v>O</v>
      </c>
      <c r="R29" s="43" t="str">
        <f>IF($A29=R$1, IF(ROW(R29)=2, "+", IF(COUNTIF($B29:Q29, "X")=0, "+", "-")), IF(MOD($A29, R$1)=0, "X", "O"))</f>
        <v>O</v>
      </c>
      <c r="S29" s="43" t="str">
        <f>IF($A29=S$1, IF(ROW(S29)=2, "+", IF(COUNTIF($B29:R29, "X")=0, "+", "-")), IF(MOD($A29, S$1)=0, "X", "O"))</f>
        <v>O</v>
      </c>
      <c r="T29" s="43" t="str">
        <f>IF($A29=T$1, IF(ROW(T29)=2, "+", IF(COUNTIF($B29:S29, "X")=0, "+", "-")), IF(MOD($A29, T$1)=0, "X", "O"))</f>
        <v>O</v>
      </c>
      <c r="U29" s="43" t="str">
        <f>IF($A29=U$1, IF(ROW(U29)=2, "+", IF(COUNTIF($B29:T29, "X")=0, "+", "-")), IF(MOD($A29, U$1)=0, "X", "O"))</f>
        <v>O</v>
      </c>
      <c r="V29" s="43" t="str">
        <f>IF($A29=V$1, IF(ROW(V29)=2, "+", IF(COUNTIF($B29:U29, "X")=0, "+", "-")), IF(MOD($A29, V$1)=0, "X", "O"))</f>
        <v>O</v>
      </c>
      <c r="W29" s="43" t="str">
        <f>IF($A29=W$1, IF(ROW(W29)=2, "+", IF(COUNTIF($B29:V29, "X")=0, "+", "-")), IF(MOD($A29, W$1)=0, "X", "O"))</f>
        <v>O</v>
      </c>
      <c r="X29" s="43" t="str">
        <f>IF($A29=X$1, IF(ROW(X29)=2, "+", IF(COUNTIF($B29:W29, "X")=0, "+", "-")), IF(MOD($A29, X$1)=0, "X", "O"))</f>
        <v>O</v>
      </c>
      <c r="Y29" s="43" t="str">
        <f>IF($A29=Y$1, IF(ROW(Y29)=2, "+", IF(COUNTIF($B29:X29, "X")=0, "+", "-")), IF(MOD($A29, Y$1)=0, "X", "O"))</f>
        <v>O</v>
      </c>
      <c r="Z29" s="43" t="str">
        <f>IF($A29=Z$1, IF(ROW(Z29)=2, "+", IF(COUNTIF($B29:Y29, "X")=0, "+", "-")), IF(MOD($A29, Z$1)=0, "X", "O"))</f>
        <v>O</v>
      </c>
      <c r="AA29" s="43" t="str">
        <f>IF($A29=AA$1, IF(ROW(AA29)=2, "+", IF(COUNTIF($B29:Z29, "X")=0, "+", "-")), IF(MOD($A29, AA$1)=0, "X", "O"))</f>
        <v>O</v>
      </c>
      <c r="AB29" s="43" t="str">
        <f>IF($A29=AB$1, IF(ROW(AB29)=2, "+", IF(COUNTIF($B29:AA29, "X")=0, "+", "-")), IF(MOD($A29, AB$1)=0, "X", "O"))</f>
        <v>O</v>
      </c>
      <c r="AC29" s="43" t="str">
        <f>IF($A29=AC$1, IF(ROW(AC29)=2, "+", IF(COUNTIF($B29:AB29, "X")=0, "+", "-")), IF(MOD($A29, AC$1)=0, "X", "O"))</f>
        <v>+</v>
      </c>
      <c r="AD29" s="43" t="str">
        <f>IF($A29=AD$1, IF(ROW(AD29)=2, "+", IF(COUNTIF($B29:AC29, "X")=0, "+", "-")), IF(MOD($A29, AD$1)=0, "X", "O"))</f>
        <v>O</v>
      </c>
      <c r="AE29" s="43" t="str">
        <f>IF($A29=AE$1, IF(ROW(AE29)=2, "+", IF(COUNTIF($B29:AD29, "X")=0, "+", "-")), IF(MOD($A29, AE$1)=0, "X", "O"))</f>
        <v>O</v>
      </c>
      <c r="AF29" s="43" t="str">
        <f>IF($A29=AF$1, IF(ROW(AF29)=2, "+", IF(COUNTIF($B29:AE29, "X")=0, "+", "-")), IF(MOD($A29, AF$1)=0, "X", "O"))</f>
        <v>O</v>
      </c>
      <c r="AG29" s="43" t="str">
        <f>IF($A29=AG$1, IF(ROW(AG29)=2, "+", IF(COUNTIF($B29:AF29, "X")=0, "+", "-")), IF(MOD($A29, AG$1)=0, "X", "O"))</f>
        <v>O</v>
      </c>
      <c r="AH29" s="43" t="str">
        <f>IF($A29=AH$1, IF(ROW(AH29)=2, "+", IF(COUNTIF($B29:AG29, "X")=0, "+", "-")), IF(MOD($A29, AH$1)=0, "X", "O"))</f>
        <v>O</v>
      </c>
      <c r="AI29" s="43" t="str">
        <f>IF($A29=AI$1, IF(ROW(AI29)=2, "+", IF(COUNTIF($B29:AH29, "X")=0, "+", "-")), IF(MOD($A29, AI$1)=0, "X", "O"))</f>
        <v>O</v>
      </c>
      <c r="AJ29" s="43" t="str">
        <f>IF($A29=AJ$1, IF(ROW(AJ29)=2, "+", IF(COUNTIF($B29:AI29, "X")=0, "+", "-")), IF(MOD($A29, AJ$1)=0, "X", "O"))</f>
        <v>O</v>
      </c>
      <c r="AK29" s="43" t="str">
        <f>IF($A29=AK$1, IF(ROW(AK29)=2, "+", IF(COUNTIF($B29:AJ29, "X")=0, "+", "-")), IF(MOD($A29, AK$1)=0, "X", "O"))</f>
        <v>O</v>
      </c>
      <c r="AL29" s="43" t="str">
        <f>IF($A29=AL$1, IF(ROW(AL29)=2, "+", IF(COUNTIF($B29:AK29, "X")=0, "+", "-")), IF(MOD($A29, AL$1)=0, "X", "O"))</f>
        <v>O</v>
      </c>
      <c r="AM29" s="43" t="str">
        <f>IF($A29=AM$1, IF(ROW(AM29)=2, "+", IF(COUNTIF($B29:AL29, "X")=0, "+", "-")), IF(MOD($A29, AM$1)=0, "X", "O"))</f>
        <v>O</v>
      </c>
      <c r="AN29" s="43" t="str">
        <f>IF($A29=AN$1, IF(ROW(AN29)=2, "+", IF(COUNTIF($B29:AM29, "X")=0, "+", "-")), IF(MOD($A29, AN$1)=0, "X", "O"))</f>
        <v>O</v>
      </c>
      <c r="AO29" s="43" t="str">
        <f>IF($A29=AO$1, IF(ROW(AO29)=2, "+", IF(COUNTIF($B29:AN29, "X")=0, "+", "-")), IF(MOD($A29, AO$1)=0, "X", "O"))</f>
        <v>O</v>
      </c>
      <c r="AP29" s="43" t="str">
        <f>IF($A29=AP$1, IF(ROW(AP29)=2, "+", IF(COUNTIF($B29:AO29, "X")=0, "+", "-")), IF(MOD($A29, AP$1)=0, "X", "O"))</f>
        <v>O</v>
      </c>
      <c r="AQ29" s="43" t="str">
        <f>IF($A29=AQ$1, IF(ROW(AQ29)=2, "+", IF(COUNTIF($B29:AP29, "X")=0, "+", "-")), IF(MOD($A29, AQ$1)=0, "X", "O"))</f>
        <v>O</v>
      </c>
      <c r="AR29" s="43" t="str">
        <f>IF($A29=AR$1, IF(ROW(AR29)=2, "+", IF(COUNTIF($B29:AQ29, "X")=0, "+", "-")), IF(MOD($A29, AR$1)=0, "X", "O"))</f>
        <v>O</v>
      </c>
      <c r="AS29" s="43" t="str">
        <f>IF($A29=AS$1, IF(ROW(AS29)=2, "+", IF(COUNTIF($B29:AR29, "X")=0, "+", "-")), IF(MOD($A29, AS$1)=0, "X", "O"))</f>
        <v>O</v>
      </c>
      <c r="AT29" s="43" t="str">
        <f>IF($A29=AT$1, IF(ROW(AT29)=2, "+", IF(COUNTIF($B29:AS29, "X")=0, "+", "-")), IF(MOD($A29, AT$1)=0, "X", "O"))</f>
        <v>O</v>
      </c>
      <c r="AU29" s="43" t="str">
        <f>IF($A29=AU$1, IF(ROW(AU29)=2, "+", IF(COUNTIF($B29:AT29, "X")=0, "+", "-")), IF(MOD($A29, AU$1)=0, "X", "O"))</f>
        <v>O</v>
      </c>
      <c r="AV29" s="43" t="str">
        <f>IF($A29=AV$1, IF(ROW(AV29)=2, "+", IF(COUNTIF($B29:AU29, "X")=0, "+", "-")), IF(MOD($A29, AV$1)=0, "X", "O"))</f>
        <v>O</v>
      </c>
      <c r="AW29" s="43" t="str">
        <f>IF($A29=AW$1, IF(ROW(AW29)=2, "+", IF(COUNTIF($B29:AV29, "X")=0, "+", "-")), IF(MOD($A29, AW$1)=0, "X", "O"))</f>
        <v>O</v>
      </c>
      <c r="AX29" s="43" t="str">
        <f>IF($A29=AX$1, IF(ROW(AX29)=2, "+", IF(COUNTIF($B29:AW29, "X")=0, "+", "-")), IF(MOD($A29, AX$1)=0, "X", "O"))</f>
        <v>O</v>
      </c>
      <c r="AY29" s="43" t="str">
        <f>IF($A29=AY$1, IF(ROW(AY29)=2, "+", IF(COUNTIF($B29:AX29, "X")=0, "+", "-")), IF(MOD($A29, AY$1)=0, "X", "O"))</f>
        <v>O</v>
      </c>
      <c r="AZ29" s="43" t="str">
        <f>IF($A29=AZ$1, IF(ROW(AZ29)=2, "+", IF(COUNTIF($B29:AY29, "X")=0, "+", "-")), IF(MOD($A29, AZ$1)=0, "X", "O"))</f>
        <v>O</v>
      </c>
      <c r="BA29" s="43" t="str">
        <f>IF($A29=BA$1, IF(ROW(BA29)=2, "+", IF(COUNTIF($B29:AZ29, "X")=0, "+", "-")), IF(MOD($A29, BA$1)=0, "X", "O"))</f>
        <v>O</v>
      </c>
      <c r="BB29" s="43" t="str">
        <f>IF($A29=BB$1, IF(ROW(BB29)=2, "+", IF(COUNTIF($B29:BA29, "X")=0, "+", "-")), IF(MOD($A29, BB$1)=0, "X", "O"))</f>
        <v>O</v>
      </c>
      <c r="BC29" s="43" t="str">
        <f>IF($A29=BC$1, IF(ROW(BC29)=2, "+", IF(COUNTIF($B29:BB29, "X")=0, "+", "-")), IF(MOD($A29, BC$1)=0, "X", "O"))</f>
        <v>O</v>
      </c>
      <c r="BD29" s="43" t="str">
        <f>IF($A29=BD$1, IF(ROW(BD29)=2, "+", IF(COUNTIF($B29:BC29, "X")=0, "+", "-")), IF(MOD($A29, BD$1)=0, "X", "O"))</f>
        <v>O</v>
      </c>
      <c r="BE29" s="43" t="str">
        <f>IF($A29=BE$1, IF(ROW(BE29)=2, "+", IF(COUNTIF($B29:BD29, "X")=0, "+", "-")), IF(MOD($A29, BE$1)=0, "X", "O"))</f>
        <v>O</v>
      </c>
      <c r="BF29" s="43" t="str">
        <f>IF($A29=BF$1, IF(ROW(BF29)=2, "+", IF(COUNTIF($B29:BE29, "X")=0, "+", "-")), IF(MOD($A29, BF$1)=0, "X", "O"))</f>
        <v>O</v>
      </c>
      <c r="BG29" s="43" t="str">
        <f>IF($A29=BG$1, IF(ROW(BG29)=2, "+", IF(COUNTIF($B29:BF29, "X")=0, "+", "-")), IF(MOD($A29, BG$1)=0, "X", "O"))</f>
        <v>O</v>
      </c>
      <c r="BH29" s="43" t="str">
        <f>IF($A29=BH$1, IF(ROW(BH29)=2, "+", IF(COUNTIF($B29:BG29, "X")=0, "+", "-")), IF(MOD($A29, BH$1)=0, "X", "O"))</f>
        <v>O</v>
      </c>
    </row>
    <row r="30" spans="1:60" x14ac:dyDescent="0.25">
      <c r="A30">
        <v>30</v>
      </c>
      <c r="B30" s="43" t="str">
        <f>IF($A30=B$1, IF(ROW(B30)=2, "+", IF(COUNTIF(A30:$B30, "X")=0, "+", "-")), IF(MOD($A30, B$1)=0, "X", "O"))</f>
        <v>X</v>
      </c>
      <c r="C30" s="43" t="str">
        <f>IF($A30=C$1, IF(ROW(C30)=2, "+", IF(COUNTIF(B30:$B30, "X")=0, "+", "-")), IF(MOD($A30, C$1)=0, "X", "O"))</f>
        <v>X</v>
      </c>
      <c r="D30" s="43" t="str">
        <f>IF($A30=D$1, IF(ROW(D30)=2, "+", IF(COUNTIF($B30:C30, "X")=0, "+", "-")), IF(MOD($A30, D$1)=0, "X", "O"))</f>
        <v>O</v>
      </c>
      <c r="E30" s="43" t="str">
        <f>IF($A30=E$1, IF(ROW(E30)=2, "+", IF(COUNTIF($B30:D30, "X")=0, "+", "-")), IF(MOD($A30, E$1)=0, "X", "O"))</f>
        <v>X</v>
      </c>
      <c r="F30" s="43" t="str">
        <f>IF($A30=F$1, IF(ROW(F30)=2, "+", IF(COUNTIF($B30:E30, "X")=0, "+", "-")), IF(MOD($A30, F$1)=0, "X", "O"))</f>
        <v>X</v>
      </c>
      <c r="G30" s="43" t="str">
        <f>IF($A30=G$1, IF(ROW(G30)=2, "+", IF(COUNTIF($B30:F30, "X")=0, "+", "-")), IF(MOD($A30, G$1)=0, "X", "O"))</f>
        <v>O</v>
      </c>
      <c r="H30" s="43" t="str">
        <f>IF($A30=H$1, IF(ROW(H30)=2, "+", IF(COUNTIF($B30:G30, "X")=0, "+", "-")), IF(MOD($A30, H$1)=0, "X", "O"))</f>
        <v>O</v>
      </c>
      <c r="I30" s="43" t="str">
        <f>IF($A30=I$1, IF(ROW(I30)=2, "+", IF(COUNTIF($B30:H30, "X")=0, "+", "-")), IF(MOD($A30, I$1)=0, "X", "O"))</f>
        <v>O</v>
      </c>
      <c r="J30" s="43" t="str">
        <f>IF($A30=J$1, IF(ROW(J30)=2, "+", IF(COUNTIF($B30:I30, "X")=0, "+", "-")), IF(MOD($A30, J$1)=0, "X", "O"))</f>
        <v>X</v>
      </c>
      <c r="K30" s="43" t="str">
        <f>IF($A30=K$1, IF(ROW(K30)=2, "+", IF(COUNTIF($B30:J30, "X")=0, "+", "-")), IF(MOD($A30, K$1)=0, "X", "O"))</f>
        <v>O</v>
      </c>
      <c r="L30" s="43" t="str">
        <f>IF($A30=L$1, IF(ROW(L30)=2, "+", IF(COUNTIF($B30:K30, "X")=0, "+", "-")), IF(MOD($A30, L$1)=0, "X", "O"))</f>
        <v>O</v>
      </c>
      <c r="M30" s="43" t="str">
        <f>IF($A30=M$1, IF(ROW(M30)=2, "+", IF(COUNTIF($B30:L30, "X")=0, "+", "-")), IF(MOD($A30, M$1)=0, "X", "O"))</f>
        <v>O</v>
      </c>
      <c r="N30" s="43" t="str">
        <f>IF($A30=N$1, IF(ROW(N30)=2, "+", IF(COUNTIF($B30:M30, "X")=0, "+", "-")), IF(MOD($A30, N$1)=0, "X", "O"))</f>
        <v>O</v>
      </c>
      <c r="O30" s="43" t="str">
        <f>IF($A30=O$1, IF(ROW(O30)=2, "+", IF(COUNTIF($B30:N30, "X")=0, "+", "-")), IF(MOD($A30, O$1)=0, "X", "O"))</f>
        <v>X</v>
      </c>
      <c r="P30" s="43" t="str">
        <f>IF($A30=P$1, IF(ROW(P30)=2, "+", IF(COUNTIF($B30:O30, "X")=0, "+", "-")), IF(MOD($A30, P$1)=0, "X", "O"))</f>
        <v>O</v>
      </c>
      <c r="Q30" s="43" t="str">
        <f>IF($A30=Q$1, IF(ROW(Q30)=2, "+", IF(COUNTIF($B30:P30, "X")=0, "+", "-")), IF(MOD($A30, Q$1)=0, "X", "O"))</f>
        <v>O</v>
      </c>
      <c r="R30" s="43" t="str">
        <f>IF($A30=R$1, IF(ROW(R30)=2, "+", IF(COUNTIF($B30:Q30, "X")=0, "+", "-")), IF(MOD($A30, R$1)=0, "X", "O"))</f>
        <v>O</v>
      </c>
      <c r="S30" s="43" t="str">
        <f>IF($A30=S$1, IF(ROW(S30)=2, "+", IF(COUNTIF($B30:R30, "X")=0, "+", "-")), IF(MOD($A30, S$1)=0, "X", "O"))</f>
        <v>O</v>
      </c>
      <c r="T30" s="43" t="str">
        <f>IF($A30=T$1, IF(ROW(T30)=2, "+", IF(COUNTIF($B30:S30, "X")=0, "+", "-")), IF(MOD($A30, T$1)=0, "X", "O"))</f>
        <v>O</v>
      </c>
      <c r="U30" s="43" t="str">
        <f>IF($A30=U$1, IF(ROW(U30)=2, "+", IF(COUNTIF($B30:T30, "X")=0, "+", "-")), IF(MOD($A30, U$1)=0, "X", "O"))</f>
        <v>O</v>
      </c>
      <c r="V30" s="43" t="str">
        <f>IF($A30=V$1, IF(ROW(V30)=2, "+", IF(COUNTIF($B30:U30, "X")=0, "+", "-")), IF(MOD($A30, V$1)=0, "X", "O"))</f>
        <v>O</v>
      </c>
      <c r="W30" s="43" t="str">
        <f>IF($A30=W$1, IF(ROW(W30)=2, "+", IF(COUNTIF($B30:V30, "X")=0, "+", "-")), IF(MOD($A30, W$1)=0, "X", "O"))</f>
        <v>O</v>
      </c>
      <c r="X30" s="43" t="str">
        <f>IF($A30=X$1, IF(ROW(X30)=2, "+", IF(COUNTIF($B30:W30, "X")=0, "+", "-")), IF(MOD($A30, X$1)=0, "X", "O"))</f>
        <v>O</v>
      </c>
      <c r="Y30" s="43" t="str">
        <f>IF($A30=Y$1, IF(ROW(Y30)=2, "+", IF(COUNTIF($B30:X30, "X")=0, "+", "-")), IF(MOD($A30, Y$1)=0, "X", "O"))</f>
        <v>O</v>
      </c>
      <c r="Z30" s="43" t="str">
        <f>IF($A30=Z$1, IF(ROW(Z30)=2, "+", IF(COUNTIF($B30:Y30, "X")=0, "+", "-")), IF(MOD($A30, Z$1)=0, "X", "O"))</f>
        <v>O</v>
      </c>
      <c r="AA30" s="43" t="str">
        <f>IF($A30=AA$1, IF(ROW(AA30)=2, "+", IF(COUNTIF($B30:Z30, "X")=0, "+", "-")), IF(MOD($A30, AA$1)=0, "X", "O"))</f>
        <v>O</v>
      </c>
      <c r="AB30" s="43" t="str">
        <f>IF($A30=AB$1, IF(ROW(AB30)=2, "+", IF(COUNTIF($B30:AA30, "X")=0, "+", "-")), IF(MOD($A30, AB$1)=0, "X", "O"))</f>
        <v>O</v>
      </c>
      <c r="AC30" s="43" t="str">
        <f>IF($A30=AC$1, IF(ROW(AC30)=2, "+", IF(COUNTIF($B30:AB30, "X")=0, "+", "-")), IF(MOD($A30, AC$1)=0, "X", "O"))</f>
        <v>O</v>
      </c>
      <c r="AD30" s="43" t="str">
        <f>IF($A30=AD$1, IF(ROW(AD30)=2, "+", IF(COUNTIF($B30:AC30, "X")=0, "+", "-")), IF(MOD($A30, AD$1)=0, "X", "O"))</f>
        <v>-</v>
      </c>
      <c r="AE30" s="43" t="str">
        <f>IF($A30=AE$1, IF(ROW(AE30)=2, "+", IF(COUNTIF($B30:AD30, "X")=0, "+", "-")), IF(MOD($A30, AE$1)=0, "X", "O"))</f>
        <v>O</v>
      </c>
      <c r="AF30" s="43" t="str">
        <f>IF($A30=AF$1, IF(ROW(AF30)=2, "+", IF(COUNTIF($B30:AE30, "X")=0, "+", "-")), IF(MOD($A30, AF$1)=0, "X", "O"))</f>
        <v>O</v>
      </c>
      <c r="AG30" s="43" t="str">
        <f>IF($A30=AG$1, IF(ROW(AG30)=2, "+", IF(COUNTIF($B30:AF30, "X")=0, "+", "-")), IF(MOD($A30, AG$1)=0, "X", "O"))</f>
        <v>O</v>
      </c>
      <c r="AH30" s="43" t="str">
        <f>IF($A30=AH$1, IF(ROW(AH30)=2, "+", IF(COUNTIF($B30:AG30, "X")=0, "+", "-")), IF(MOD($A30, AH$1)=0, "X", "O"))</f>
        <v>O</v>
      </c>
      <c r="AI30" s="43" t="str">
        <f>IF($A30=AI$1, IF(ROW(AI30)=2, "+", IF(COUNTIF($B30:AH30, "X")=0, "+", "-")), IF(MOD($A30, AI$1)=0, "X", "O"))</f>
        <v>O</v>
      </c>
      <c r="AJ30" s="43" t="str">
        <f>IF($A30=AJ$1, IF(ROW(AJ30)=2, "+", IF(COUNTIF($B30:AI30, "X")=0, "+", "-")), IF(MOD($A30, AJ$1)=0, "X", "O"))</f>
        <v>O</v>
      </c>
      <c r="AK30" s="43" t="str">
        <f>IF($A30=AK$1, IF(ROW(AK30)=2, "+", IF(COUNTIF($B30:AJ30, "X")=0, "+", "-")), IF(MOD($A30, AK$1)=0, "X", "O"))</f>
        <v>O</v>
      </c>
      <c r="AL30" s="43" t="str">
        <f>IF($A30=AL$1, IF(ROW(AL30)=2, "+", IF(COUNTIF($B30:AK30, "X")=0, "+", "-")), IF(MOD($A30, AL$1)=0, "X", "O"))</f>
        <v>O</v>
      </c>
      <c r="AM30" s="43" t="str">
        <f>IF($A30=AM$1, IF(ROW(AM30)=2, "+", IF(COUNTIF($B30:AL30, "X")=0, "+", "-")), IF(MOD($A30, AM$1)=0, "X", "O"))</f>
        <v>O</v>
      </c>
      <c r="AN30" s="43" t="str">
        <f>IF($A30=AN$1, IF(ROW(AN30)=2, "+", IF(COUNTIF($B30:AM30, "X")=0, "+", "-")), IF(MOD($A30, AN$1)=0, "X", "O"))</f>
        <v>O</v>
      </c>
      <c r="AO30" s="43" t="str">
        <f>IF($A30=AO$1, IF(ROW(AO30)=2, "+", IF(COUNTIF($B30:AN30, "X")=0, "+", "-")), IF(MOD($A30, AO$1)=0, "X", "O"))</f>
        <v>O</v>
      </c>
      <c r="AP30" s="43" t="str">
        <f>IF($A30=AP$1, IF(ROW(AP30)=2, "+", IF(COUNTIF($B30:AO30, "X")=0, "+", "-")), IF(MOD($A30, AP$1)=0, "X", "O"))</f>
        <v>O</v>
      </c>
      <c r="AQ30" s="43" t="str">
        <f>IF($A30=AQ$1, IF(ROW(AQ30)=2, "+", IF(COUNTIF($B30:AP30, "X")=0, "+", "-")), IF(MOD($A30, AQ$1)=0, "X", "O"))</f>
        <v>O</v>
      </c>
      <c r="AR30" s="43" t="str">
        <f>IF($A30=AR$1, IF(ROW(AR30)=2, "+", IF(COUNTIF($B30:AQ30, "X")=0, "+", "-")), IF(MOD($A30, AR$1)=0, "X", "O"))</f>
        <v>O</v>
      </c>
      <c r="AS30" s="43" t="str">
        <f>IF($A30=AS$1, IF(ROW(AS30)=2, "+", IF(COUNTIF($B30:AR30, "X")=0, "+", "-")), IF(MOD($A30, AS$1)=0, "X", "O"))</f>
        <v>O</v>
      </c>
      <c r="AT30" s="43" t="str">
        <f>IF($A30=AT$1, IF(ROW(AT30)=2, "+", IF(COUNTIF($B30:AS30, "X")=0, "+", "-")), IF(MOD($A30, AT$1)=0, "X", "O"))</f>
        <v>O</v>
      </c>
      <c r="AU30" s="43" t="str">
        <f>IF($A30=AU$1, IF(ROW(AU30)=2, "+", IF(COUNTIF($B30:AT30, "X")=0, "+", "-")), IF(MOD($A30, AU$1)=0, "X", "O"))</f>
        <v>O</v>
      </c>
      <c r="AV30" s="43" t="str">
        <f>IF($A30=AV$1, IF(ROW(AV30)=2, "+", IF(COUNTIF($B30:AU30, "X")=0, "+", "-")), IF(MOD($A30, AV$1)=0, "X", "O"))</f>
        <v>O</v>
      </c>
      <c r="AW30" s="43" t="str">
        <f>IF($A30=AW$1, IF(ROW(AW30)=2, "+", IF(COUNTIF($B30:AV30, "X")=0, "+", "-")), IF(MOD($A30, AW$1)=0, "X", "O"))</f>
        <v>O</v>
      </c>
      <c r="AX30" s="43" t="str">
        <f>IF($A30=AX$1, IF(ROW(AX30)=2, "+", IF(COUNTIF($B30:AW30, "X")=0, "+", "-")), IF(MOD($A30, AX$1)=0, "X", "O"))</f>
        <v>O</v>
      </c>
      <c r="AY30" s="43" t="str">
        <f>IF($A30=AY$1, IF(ROW(AY30)=2, "+", IF(COUNTIF($B30:AX30, "X")=0, "+", "-")), IF(MOD($A30, AY$1)=0, "X", "O"))</f>
        <v>O</v>
      </c>
      <c r="AZ30" s="43" t="str">
        <f>IF($A30=AZ$1, IF(ROW(AZ30)=2, "+", IF(COUNTIF($B30:AY30, "X")=0, "+", "-")), IF(MOD($A30, AZ$1)=0, "X", "O"))</f>
        <v>O</v>
      </c>
      <c r="BA30" s="43" t="str">
        <f>IF($A30=BA$1, IF(ROW(BA30)=2, "+", IF(COUNTIF($B30:AZ30, "X")=0, "+", "-")), IF(MOD($A30, BA$1)=0, "X", "O"))</f>
        <v>O</v>
      </c>
      <c r="BB30" s="43" t="str">
        <f>IF($A30=BB$1, IF(ROW(BB30)=2, "+", IF(COUNTIF($B30:BA30, "X")=0, "+", "-")), IF(MOD($A30, BB$1)=0, "X", "O"))</f>
        <v>O</v>
      </c>
      <c r="BC30" s="43" t="str">
        <f>IF($A30=BC$1, IF(ROW(BC30)=2, "+", IF(COUNTIF($B30:BB30, "X")=0, "+", "-")), IF(MOD($A30, BC$1)=0, "X", "O"))</f>
        <v>O</v>
      </c>
      <c r="BD30" s="43" t="str">
        <f>IF($A30=BD$1, IF(ROW(BD30)=2, "+", IF(COUNTIF($B30:BC30, "X")=0, "+", "-")), IF(MOD($A30, BD$1)=0, "X", "O"))</f>
        <v>O</v>
      </c>
      <c r="BE30" s="43" t="str">
        <f>IF($A30=BE$1, IF(ROW(BE30)=2, "+", IF(COUNTIF($B30:BD30, "X")=0, "+", "-")), IF(MOD($A30, BE$1)=0, "X", "O"))</f>
        <v>O</v>
      </c>
      <c r="BF30" s="43" t="str">
        <f>IF($A30=BF$1, IF(ROW(BF30)=2, "+", IF(COUNTIF($B30:BE30, "X")=0, "+", "-")), IF(MOD($A30, BF$1)=0, "X", "O"))</f>
        <v>O</v>
      </c>
      <c r="BG30" s="43" t="str">
        <f>IF($A30=BG$1, IF(ROW(BG30)=2, "+", IF(COUNTIF($B30:BF30, "X")=0, "+", "-")), IF(MOD($A30, BG$1)=0, "X", "O"))</f>
        <v>O</v>
      </c>
      <c r="BH30" s="43" t="str">
        <f>IF($A30=BH$1, IF(ROW(BH30)=2, "+", IF(COUNTIF($B30:BG30, "X")=0, "+", "-")), IF(MOD($A30, BH$1)=0, "X", "O"))</f>
        <v>O</v>
      </c>
    </row>
    <row r="31" spans="1:60" x14ac:dyDescent="0.25">
      <c r="A31">
        <v>31</v>
      </c>
      <c r="B31" s="43" t="str">
        <f>IF($A31=B$1, IF(ROW(B31)=2, "+", IF(COUNTIF(A31:$B31, "X")=0, "+", "-")), IF(MOD($A31, B$1)=0, "X", "O"))</f>
        <v>O</v>
      </c>
      <c r="C31" s="43" t="str">
        <f>IF($A31=C$1, IF(ROW(C31)=2, "+", IF(COUNTIF(B31:$B31, "X")=0, "+", "-")), IF(MOD($A31, C$1)=0, "X", "O"))</f>
        <v>O</v>
      </c>
      <c r="D31" s="43" t="str">
        <f>IF($A31=D$1, IF(ROW(D31)=2, "+", IF(COUNTIF($B31:C31, "X")=0, "+", "-")), IF(MOD($A31, D$1)=0, "X", "O"))</f>
        <v>O</v>
      </c>
      <c r="E31" s="43" t="str">
        <f>IF($A31=E$1, IF(ROW(E31)=2, "+", IF(COUNTIF($B31:D31, "X")=0, "+", "-")), IF(MOD($A31, E$1)=0, "X", "O"))</f>
        <v>O</v>
      </c>
      <c r="F31" s="43" t="str">
        <f>IF($A31=F$1, IF(ROW(F31)=2, "+", IF(COUNTIF($B31:E31, "X")=0, "+", "-")), IF(MOD($A31, F$1)=0, "X", "O"))</f>
        <v>O</v>
      </c>
      <c r="G31" s="43" t="str">
        <f>IF($A31=G$1, IF(ROW(G31)=2, "+", IF(COUNTIF($B31:F31, "X")=0, "+", "-")), IF(MOD($A31, G$1)=0, "X", "O"))</f>
        <v>O</v>
      </c>
      <c r="H31" s="43" t="str">
        <f>IF($A31=H$1, IF(ROW(H31)=2, "+", IF(COUNTIF($B31:G31, "X")=0, "+", "-")), IF(MOD($A31, H$1)=0, "X", "O"))</f>
        <v>O</v>
      </c>
      <c r="I31" s="43" t="str">
        <f>IF($A31=I$1, IF(ROW(I31)=2, "+", IF(COUNTIF($B31:H31, "X")=0, "+", "-")), IF(MOD($A31, I$1)=0, "X", "O"))</f>
        <v>O</v>
      </c>
      <c r="J31" s="43" t="str">
        <f>IF($A31=J$1, IF(ROW(J31)=2, "+", IF(COUNTIF($B31:I31, "X")=0, "+", "-")), IF(MOD($A31, J$1)=0, "X", "O"))</f>
        <v>O</v>
      </c>
      <c r="K31" s="43" t="str">
        <f>IF($A31=K$1, IF(ROW(K31)=2, "+", IF(COUNTIF($B31:J31, "X")=0, "+", "-")), IF(MOD($A31, K$1)=0, "X", "O"))</f>
        <v>O</v>
      </c>
      <c r="L31" s="43" t="str">
        <f>IF($A31=L$1, IF(ROW(L31)=2, "+", IF(COUNTIF($B31:K31, "X")=0, "+", "-")), IF(MOD($A31, L$1)=0, "X", "O"))</f>
        <v>O</v>
      </c>
      <c r="M31" s="43" t="str">
        <f>IF($A31=M$1, IF(ROW(M31)=2, "+", IF(COUNTIF($B31:L31, "X")=0, "+", "-")), IF(MOD($A31, M$1)=0, "X", "O"))</f>
        <v>O</v>
      </c>
      <c r="N31" s="43" t="str">
        <f>IF($A31=N$1, IF(ROW(N31)=2, "+", IF(COUNTIF($B31:M31, "X")=0, "+", "-")), IF(MOD($A31, N$1)=0, "X", "O"))</f>
        <v>O</v>
      </c>
      <c r="O31" s="43" t="str">
        <f>IF($A31=O$1, IF(ROW(O31)=2, "+", IF(COUNTIF($B31:N31, "X")=0, "+", "-")), IF(MOD($A31, O$1)=0, "X", "O"))</f>
        <v>O</v>
      </c>
      <c r="P31" s="43" t="str">
        <f>IF($A31=P$1, IF(ROW(P31)=2, "+", IF(COUNTIF($B31:O31, "X")=0, "+", "-")), IF(MOD($A31, P$1)=0, "X", "O"))</f>
        <v>O</v>
      </c>
      <c r="Q31" s="43" t="str">
        <f>IF($A31=Q$1, IF(ROW(Q31)=2, "+", IF(COUNTIF($B31:P31, "X")=0, "+", "-")), IF(MOD($A31, Q$1)=0, "X", "O"))</f>
        <v>O</v>
      </c>
      <c r="R31" s="43" t="str">
        <f>IF($A31=R$1, IF(ROW(R31)=2, "+", IF(COUNTIF($B31:Q31, "X")=0, "+", "-")), IF(MOD($A31, R$1)=0, "X", "O"))</f>
        <v>O</v>
      </c>
      <c r="S31" s="43" t="str">
        <f>IF($A31=S$1, IF(ROW(S31)=2, "+", IF(COUNTIF($B31:R31, "X")=0, "+", "-")), IF(MOD($A31, S$1)=0, "X", "O"))</f>
        <v>O</v>
      </c>
      <c r="T31" s="43" t="str">
        <f>IF($A31=T$1, IF(ROW(T31)=2, "+", IF(COUNTIF($B31:S31, "X")=0, "+", "-")), IF(MOD($A31, T$1)=0, "X", "O"))</f>
        <v>O</v>
      </c>
      <c r="U31" s="43" t="str">
        <f>IF($A31=U$1, IF(ROW(U31)=2, "+", IF(COUNTIF($B31:T31, "X")=0, "+", "-")), IF(MOD($A31, U$1)=0, "X", "O"))</f>
        <v>O</v>
      </c>
      <c r="V31" s="43" t="str">
        <f>IF($A31=V$1, IF(ROW(V31)=2, "+", IF(COUNTIF($B31:U31, "X")=0, "+", "-")), IF(MOD($A31, V$1)=0, "X", "O"))</f>
        <v>O</v>
      </c>
      <c r="W31" s="43" t="str">
        <f>IF($A31=W$1, IF(ROW(W31)=2, "+", IF(COUNTIF($B31:V31, "X")=0, "+", "-")), IF(MOD($A31, W$1)=0, "X", "O"))</f>
        <v>O</v>
      </c>
      <c r="X31" s="43" t="str">
        <f>IF($A31=X$1, IF(ROW(X31)=2, "+", IF(COUNTIF($B31:W31, "X")=0, "+", "-")), IF(MOD($A31, X$1)=0, "X", "O"))</f>
        <v>O</v>
      </c>
      <c r="Y31" s="43" t="str">
        <f>IF($A31=Y$1, IF(ROW(Y31)=2, "+", IF(COUNTIF($B31:X31, "X")=0, "+", "-")), IF(MOD($A31, Y$1)=0, "X", "O"))</f>
        <v>O</v>
      </c>
      <c r="Z31" s="43" t="str">
        <f>IF($A31=Z$1, IF(ROW(Z31)=2, "+", IF(COUNTIF($B31:Y31, "X")=0, "+", "-")), IF(MOD($A31, Z$1)=0, "X", "O"))</f>
        <v>O</v>
      </c>
      <c r="AA31" s="43" t="str">
        <f>IF($A31=AA$1, IF(ROW(AA31)=2, "+", IF(COUNTIF($B31:Z31, "X")=0, "+", "-")), IF(MOD($A31, AA$1)=0, "X", "O"))</f>
        <v>O</v>
      </c>
      <c r="AB31" s="43" t="str">
        <f>IF($A31=AB$1, IF(ROW(AB31)=2, "+", IF(COUNTIF($B31:AA31, "X")=0, "+", "-")), IF(MOD($A31, AB$1)=0, "X", "O"))</f>
        <v>O</v>
      </c>
      <c r="AC31" s="43" t="str">
        <f>IF($A31=AC$1, IF(ROW(AC31)=2, "+", IF(COUNTIF($B31:AB31, "X")=0, "+", "-")), IF(MOD($A31, AC$1)=0, "X", "O"))</f>
        <v>O</v>
      </c>
      <c r="AD31" s="43" t="str">
        <f>IF($A31=AD$1, IF(ROW(AD31)=2, "+", IF(COUNTIF($B31:AC31, "X")=0, "+", "-")), IF(MOD($A31, AD$1)=0, "X", "O"))</f>
        <v>O</v>
      </c>
      <c r="AE31" s="43" t="str">
        <f>IF($A31=AE$1, IF(ROW(AE31)=2, "+", IF(COUNTIF($B31:AD31, "X")=0, "+", "-")), IF(MOD($A31, AE$1)=0, "X", "O"))</f>
        <v>+</v>
      </c>
      <c r="AF31" s="43" t="str">
        <f>IF($A31=AF$1, IF(ROW(AF31)=2, "+", IF(COUNTIF($B31:AE31, "X")=0, "+", "-")), IF(MOD($A31, AF$1)=0, "X", "O"))</f>
        <v>O</v>
      </c>
      <c r="AG31" s="43" t="str">
        <f>IF($A31=AG$1, IF(ROW(AG31)=2, "+", IF(COUNTIF($B31:AF31, "X")=0, "+", "-")), IF(MOD($A31, AG$1)=0, "X", "O"))</f>
        <v>O</v>
      </c>
      <c r="AH31" s="43" t="str">
        <f>IF($A31=AH$1, IF(ROW(AH31)=2, "+", IF(COUNTIF($B31:AG31, "X")=0, "+", "-")), IF(MOD($A31, AH$1)=0, "X", "O"))</f>
        <v>O</v>
      </c>
      <c r="AI31" s="43" t="str">
        <f>IF($A31=AI$1, IF(ROW(AI31)=2, "+", IF(COUNTIF($B31:AH31, "X")=0, "+", "-")), IF(MOD($A31, AI$1)=0, "X", "O"))</f>
        <v>O</v>
      </c>
      <c r="AJ31" s="43" t="str">
        <f>IF($A31=AJ$1, IF(ROW(AJ31)=2, "+", IF(COUNTIF($B31:AI31, "X")=0, "+", "-")), IF(MOD($A31, AJ$1)=0, "X", "O"))</f>
        <v>O</v>
      </c>
      <c r="AK31" s="43" t="str">
        <f>IF($A31=AK$1, IF(ROW(AK31)=2, "+", IF(COUNTIF($B31:AJ31, "X")=0, "+", "-")), IF(MOD($A31, AK$1)=0, "X", "O"))</f>
        <v>O</v>
      </c>
      <c r="AL31" s="43" t="str">
        <f>IF($A31=AL$1, IF(ROW(AL31)=2, "+", IF(COUNTIF($B31:AK31, "X")=0, "+", "-")), IF(MOD($A31, AL$1)=0, "X", "O"))</f>
        <v>O</v>
      </c>
      <c r="AM31" s="43" t="str">
        <f>IF($A31=AM$1, IF(ROW(AM31)=2, "+", IF(COUNTIF($B31:AL31, "X")=0, "+", "-")), IF(MOD($A31, AM$1)=0, "X", "O"))</f>
        <v>O</v>
      </c>
      <c r="AN31" s="43" t="str">
        <f>IF($A31=AN$1, IF(ROW(AN31)=2, "+", IF(COUNTIF($B31:AM31, "X")=0, "+", "-")), IF(MOD($A31, AN$1)=0, "X", "O"))</f>
        <v>O</v>
      </c>
      <c r="AO31" s="43" t="str">
        <f>IF($A31=AO$1, IF(ROW(AO31)=2, "+", IF(COUNTIF($B31:AN31, "X")=0, "+", "-")), IF(MOD($A31, AO$1)=0, "X", "O"))</f>
        <v>O</v>
      </c>
      <c r="AP31" s="43" t="str">
        <f>IF($A31=AP$1, IF(ROW(AP31)=2, "+", IF(COUNTIF($B31:AO31, "X")=0, "+", "-")), IF(MOD($A31, AP$1)=0, "X", "O"))</f>
        <v>O</v>
      </c>
      <c r="AQ31" s="43" t="str">
        <f>IF($A31=AQ$1, IF(ROW(AQ31)=2, "+", IF(COUNTIF($B31:AP31, "X")=0, "+", "-")), IF(MOD($A31, AQ$1)=0, "X", "O"))</f>
        <v>O</v>
      </c>
      <c r="AR31" s="43" t="str">
        <f>IF($A31=AR$1, IF(ROW(AR31)=2, "+", IF(COUNTIF($B31:AQ31, "X")=0, "+", "-")), IF(MOD($A31, AR$1)=0, "X", "O"))</f>
        <v>O</v>
      </c>
      <c r="AS31" s="43" t="str">
        <f>IF($A31=AS$1, IF(ROW(AS31)=2, "+", IF(COUNTIF($B31:AR31, "X")=0, "+", "-")), IF(MOD($A31, AS$1)=0, "X", "O"))</f>
        <v>O</v>
      </c>
      <c r="AT31" s="43" t="str">
        <f>IF($A31=AT$1, IF(ROW(AT31)=2, "+", IF(COUNTIF($B31:AS31, "X")=0, "+", "-")), IF(MOD($A31, AT$1)=0, "X", "O"))</f>
        <v>O</v>
      </c>
      <c r="AU31" s="43" t="str">
        <f>IF($A31=AU$1, IF(ROW(AU31)=2, "+", IF(COUNTIF($B31:AT31, "X")=0, "+", "-")), IF(MOD($A31, AU$1)=0, "X", "O"))</f>
        <v>O</v>
      </c>
      <c r="AV31" s="43" t="str">
        <f>IF($A31=AV$1, IF(ROW(AV31)=2, "+", IF(COUNTIF($B31:AU31, "X")=0, "+", "-")), IF(MOD($A31, AV$1)=0, "X", "O"))</f>
        <v>O</v>
      </c>
      <c r="AW31" s="43" t="str">
        <f>IF($A31=AW$1, IF(ROW(AW31)=2, "+", IF(COUNTIF($B31:AV31, "X")=0, "+", "-")), IF(MOD($A31, AW$1)=0, "X", "O"))</f>
        <v>O</v>
      </c>
      <c r="AX31" s="43" t="str">
        <f>IF($A31=AX$1, IF(ROW(AX31)=2, "+", IF(COUNTIF($B31:AW31, "X")=0, "+", "-")), IF(MOD($A31, AX$1)=0, "X", "O"))</f>
        <v>O</v>
      </c>
      <c r="AY31" s="43" t="str">
        <f>IF($A31=AY$1, IF(ROW(AY31)=2, "+", IF(COUNTIF($B31:AX31, "X")=0, "+", "-")), IF(MOD($A31, AY$1)=0, "X", "O"))</f>
        <v>O</v>
      </c>
      <c r="AZ31" s="43" t="str">
        <f>IF($A31=AZ$1, IF(ROW(AZ31)=2, "+", IF(COUNTIF($B31:AY31, "X")=0, "+", "-")), IF(MOD($A31, AZ$1)=0, "X", "O"))</f>
        <v>O</v>
      </c>
      <c r="BA31" s="43" t="str">
        <f>IF($A31=BA$1, IF(ROW(BA31)=2, "+", IF(COUNTIF($B31:AZ31, "X")=0, "+", "-")), IF(MOD($A31, BA$1)=0, "X", "O"))</f>
        <v>O</v>
      </c>
      <c r="BB31" s="43" t="str">
        <f>IF($A31=BB$1, IF(ROW(BB31)=2, "+", IF(COUNTIF($B31:BA31, "X")=0, "+", "-")), IF(MOD($A31, BB$1)=0, "X", "O"))</f>
        <v>O</v>
      </c>
      <c r="BC31" s="43" t="str">
        <f>IF($A31=BC$1, IF(ROW(BC31)=2, "+", IF(COUNTIF($B31:BB31, "X")=0, "+", "-")), IF(MOD($A31, BC$1)=0, "X", "O"))</f>
        <v>O</v>
      </c>
      <c r="BD31" s="43" t="str">
        <f>IF($A31=BD$1, IF(ROW(BD31)=2, "+", IF(COUNTIF($B31:BC31, "X")=0, "+", "-")), IF(MOD($A31, BD$1)=0, "X", "O"))</f>
        <v>O</v>
      </c>
      <c r="BE31" s="43" t="str">
        <f>IF($A31=BE$1, IF(ROW(BE31)=2, "+", IF(COUNTIF($B31:BD31, "X")=0, "+", "-")), IF(MOD($A31, BE$1)=0, "X", "O"))</f>
        <v>O</v>
      </c>
      <c r="BF31" s="43" t="str">
        <f>IF($A31=BF$1, IF(ROW(BF31)=2, "+", IF(COUNTIF($B31:BE31, "X")=0, "+", "-")), IF(MOD($A31, BF$1)=0, "X", "O"))</f>
        <v>O</v>
      </c>
      <c r="BG31" s="43" t="str">
        <f>IF($A31=BG$1, IF(ROW(BG31)=2, "+", IF(COUNTIF($B31:BF31, "X")=0, "+", "-")), IF(MOD($A31, BG$1)=0, "X", "O"))</f>
        <v>O</v>
      </c>
      <c r="BH31" s="43" t="str">
        <f>IF($A31=BH$1, IF(ROW(BH31)=2, "+", IF(COUNTIF($B31:BG31, "X")=0, "+", "-")), IF(MOD($A31, BH$1)=0, "X", "O"))</f>
        <v>O</v>
      </c>
    </row>
    <row r="32" spans="1:60" x14ac:dyDescent="0.25">
      <c r="A32">
        <v>32</v>
      </c>
      <c r="B32" s="43" t="str">
        <f>IF($A32=B$1, IF(ROW(B32)=2, "+", IF(COUNTIF(A32:$B32, "X")=0, "+", "-")), IF(MOD($A32, B$1)=0, "X", "O"))</f>
        <v>X</v>
      </c>
      <c r="C32" s="43" t="str">
        <f>IF($A32=C$1, IF(ROW(C32)=2, "+", IF(COUNTIF(B32:$B32, "X")=0, "+", "-")), IF(MOD($A32, C$1)=0, "X", "O"))</f>
        <v>O</v>
      </c>
      <c r="D32" s="43" t="str">
        <f>IF($A32=D$1, IF(ROW(D32)=2, "+", IF(COUNTIF($B32:C32, "X")=0, "+", "-")), IF(MOD($A32, D$1)=0, "X", "O"))</f>
        <v>X</v>
      </c>
      <c r="E32" s="43" t="str">
        <f>IF($A32=E$1, IF(ROW(E32)=2, "+", IF(COUNTIF($B32:D32, "X")=0, "+", "-")), IF(MOD($A32, E$1)=0, "X", "O"))</f>
        <v>O</v>
      </c>
      <c r="F32" s="43" t="str">
        <f>IF($A32=F$1, IF(ROW(F32)=2, "+", IF(COUNTIF($B32:E32, "X")=0, "+", "-")), IF(MOD($A32, F$1)=0, "X", "O"))</f>
        <v>O</v>
      </c>
      <c r="G32" s="43" t="str">
        <f>IF($A32=G$1, IF(ROW(G32)=2, "+", IF(COUNTIF($B32:F32, "X")=0, "+", "-")), IF(MOD($A32, G$1)=0, "X", "O"))</f>
        <v>O</v>
      </c>
      <c r="H32" s="43" t="str">
        <f>IF($A32=H$1, IF(ROW(H32)=2, "+", IF(COUNTIF($B32:G32, "X")=0, "+", "-")), IF(MOD($A32, H$1)=0, "X", "O"))</f>
        <v>X</v>
      </c>
      <c r="I32" s="43" t="str">
        <f>IF($A32=I$1, IF(ROW(I32)=2, "+", IF(COUNTIF($B32:H32, "X")=0, "+", "-")), IF(MOD($A32, I$1)=0, "X", "O"))</f>
        <v>O</v>
      </c>
      <c r="J32" s="43" t="str">
        <f>IF($A32=J$1, IF(ROW(J32)=2, "+", IF(COUNTIF($B32:I32, "X")=0, "+", "-")), IF(MOD($A32, J$1)=0, "X", "O"))</f>
        <v>O</v>
      </c>
      <c r="K32" s="43" t="str">
        <f>IF($A32=K$1, IF(ROW(K32)=2, "+", IF(COUNTIF($B32:J32, "X")=0, "+", "-")), IF(MOD($A32, K$1)=0, "X", "O"))</f>
        <v>O</v>
      </c>
      <c r="L32" s="43" t="str">
        <f>IF($A32=L$1, IF(ROW(L32)=2, "+", IF(COUNTIF($B32:K32, "X")=0, "+", "-")), IF(MOD($A32, L$1)=0, "X", "O"))</f>
        <v>O</v>
      </c>
      <c r="M32" s="43" t="str">
        <f>IF($A32=M$1, IF(ROW(M32)=2, "+", IF(COUNTIF($B32:L32, "X")=0, "+", "-")), IF(MOD($A32, M$1)=0, "X", "O"))</f>
        <v>O</v>
      </c>
      <c r="N32" s="43" t="str">
        <f>IF($A32=N$1, IF(ROW(N32)=2, "+", IF(COUNTIF($B32:M32, "X")=0, "+", "-")), IF(MOD($A32, N$1)=0, "X", "O"))</f>
        <v>O</v>
      </c>
      <c r="O32" s="43" t="str">
        <f>IF($A32=O$1, IF(ROW(O32)=2, "+", IF(COUNTIF($B32:N32, "X")=0, "+", "-")), IF(MOD($A32, O$1)=0, "X", "O"))</f>
        <v>O</v>
      </c>
      <c r="P32" s="43" t="str">
        <f>IF($A32=P$1, IF(ROW(P32)=2, "+", IF(COUNTIF($B32:O32, "X")=0, "+", "-")), IF(MOD($A32, P$1)=0, "X", "O"))</f>
        <v>X</v>
      </c>
      <c r="Q32" s="43" t="str">
        <f>IF($A32=Q$1, IF(ROW(Q32)=2, "+", IF(COUNTIF($B32:P32, "X")=0, "+", "-")), IF(MOD($A32, Q$1)=0, "X", "O"))</f>
        <v>O</v>
      </c>
      <c r="R32" s="43" t="str">
        <f>IF($A32=R$1, IF(ROW(R32)=2, "+", IF(COUNTIF($B32:Q32, "X")=0, "+", "-")), IF(MOD($A32, R$1)=0, "X", "O"))</f>
        <v>O</v>
      </c>
      <c r="S32" s="43" t="str">
        <f>IF($A32=S$1, IF(ROW(S32)=2, "+", IF(COUNTIF($B32:R32, "X")=0, "+", "-")), IF(MOD($A32, S$1)=0, "X", "O"))</f>
        <v>O</v>
      </c>
      <c r="T32" s="43" t="str">
        <f>IF($A32=T$1, IF(ROW(T32)=2, "+", IF(COUNTIF($B32:S32, "X")=0, "+", "-")), IF(MOD($A32, T$1)=0, "X", "O"))</f>
        <v>O</v>
      </c>
      <c r="U32" s="43" t="str">
        <f>IF($A32=U$1, IF(ROW(U32)=2, "+", IF(COUNTIF($B32:T32, "X")=0, "+", "-")), IF(MOD($A32, U$1)=0, "X", "O"))</f>
        <v>O</v>
      </c>
      <c r="V32" s="43" t="str">
        <f>IF($A32=V$1, IF(ROW(V32)=2, "+", IF(COUNTIF($B32:U32, "X")=0, "+", "-")), IF(MOD($A32, V$1)=0, "X", "O"))</f>
        <v>O</v>
      </c>
      <c r="W32" s="43" t="str">
        <f>IF($A32=W$1, IF(ROW(W32)=2, "+", IF(COUNTIF($B32:V32, "X")=0, "+", "-")), IF(MOD($A32, W$1)=0, "X", "O"))</f>
        <v>O</v>
      </c>
      <c r="X32" s="43" t="str">
        <f>IF($A32=X$1, IF(ROW(X32)=2, "+", IF(COUNTIF($B32:W32, "X")=0, "+", "-")), IF(MOD($A32, X$1)=0, "X", "O"))</f>
        <v>O</v>
      </c>
      <c r="Y32" s="43" t="str">
        <f>IF($A32=Y$1, IF(ROW(Y32)=2, "+", IF(COUNTIF($B32:X32, "X")=0, "+", "-")), IF(MOD($A32, Y$1)=0, "X", "O"))</f>
        <v>O</v>
      </c>
      <c r="Z32" s="43" t="str">
        <f>IF($A32=Z$1, IF(ROW(Z32)=2, "+", IF(COUNTIF($B32:Y32, "X")=0, "+", "-")), IF(MOD($A32, Z$1)=0, "X", "O"))</f>
        <v>O</v>
      </c>
      <c r="AA32" s="43" t="str">
        <f>IF($A32=AA$1, IF(ROW(AA32)=2, "+", IF(COUNTIF($B32:Z32, "X")=0, "+", "-")), IF(MOD($A32, AA$1)=0, "X", "O"))</f>
        <v>O</v>
      </c>
      <c r="AB32" s="43" t="str">
        <f>IF($A32=AB$1, IF(ROW(AB32)=2, "+", IF(COUNTIF($B32:AA32, "X")=0, "+", "-")), IF(MOD($A32, AB$1)=0, "X", "O"))</f>
        <v>O</v>
      </c>
      <c r="AC32" s="43" t="str">
        <f>IF($A32=AC$1, IF(ROW(AC32)=2, "+", IF(COUNTIF($B32:AB32, "X")=0, "+", "-")), IF(MOD($A32, AC$1)=0, "X", "O"))</f>
        <v>O</v>
      </c>
      <c r="AD32" s="43" t="str">
        <f>IF($A32=AD$1, IF(ROW(AD32)=2, "+", IF(COUNTIF($B32:AC32, "X")=0, "+", "-")), IF(MOD($A32, AD$1)=0, "X", "O"))</f>
        <v>O</v>
      </c>
      <c r="AE32" s="43" t="str">
        <f>IF($A32=AE$1, IF(ROW(AE32)=2, "+", IF(COUNTIF($B32:AD32, "X")=0, "+", "-")), IF(MOD($A32, AE$1)=0, "X", "O"))</f>
        <v>O</v>
      </c>
      <c r="AF32" s="43" t="str">
        <f>IF($A32=AF$1, IF(ROW(AF32)=2, "+", IF(COUNTIF($B32:AE32, "X")=0, "+", "-")), IF(MOD($A32, AF$1)=0, "X", "O"))</f>
        <v>-</v>
      </c>
      <c r="AG32" s="43" t="str">
        <f>IF($A32=AG$1, IF(ROW(AG32)=2, "+", IF(COUNTIF($B32:AF32, "X")=0, "+", "-")), IF(MOD($A32, AG$1)=0, "X", "O"))</f>
        <v>O</v>
      </c>
      <c r="AH32" s="43" t="str">
        <f>IF($A32=AH$1, IF(ROW(AH32)=2, "+", IF(COUNTIF($B32:AG32, "X")=0, "+", "-")), IF(MOD($A32, AH$1)=0, "X", "O"))</f>
        <v>O</v>
      </c>
      <c r="AI32" s="43" t="str">
        <f>IF($A32=AI$1, IF(ROW(AI32)=2, "+", IF(COUNTIF($B32:AH32, "X")=0, "+", "-")), IF(MOD($A32, AI$1)=0, "X", "O"))</f>
        <v>O</v>
      </c>
      <c r="AJ32" s="43" t="str">
        <f>IF($A32=AJ$1, IF(ROW(AJ32)=2, "+", IF(COUNTIF($B32:AI32, "X")=0, "+", "-")), IF(MOD($A32, AJ$1)=0, "X", "O"))</f>
        <v>O</v>
      </c>
      <c r="AK32" s="43" t="str">
        <f>IF($A32=AK$1, IF(ROW(AK32)=2, "+", IF(COUNTIF($B32:AJ32, "X")=0, "+", "-")), IF(MOD($A32, AK$1)=0, "X", "O"))</f>
        <v>O</v>
      </c>
      <c r="AL32" s="43" t="str">
        <f>IF($A32=AL$1, IF(ROW(AL32)=2, "+", IF(COUNTIF($B32:AK32, "X")=0, "+", "-")), IF(MOD($A32, AL$1)=0, "X", "O"))</f>
        <v>O</v>
      </c>
      <c r="AM32" s="43" t="str">
        <f>IF($A32=AM$1, IF(ROW(AM32)=2, "+", IF(COUNTIF($B32:AL32, "X")=0, "+", "-")), IF(MOD($A32, AM$1)=0, "X", "O"))</f>
        <v>O</v>
      </c>
      <c r="AN32" s="43" t="str">
        <f>IF($A32=AN$1, IF(ROW(AN32)=2, "+", IF(COUNTIF($B32:AM32, "X")=0, "+", "-")), IF(MOD($A32, AN$1)=0, "X", "O"))</f>
        <v>O</v>
      </c>
      <c r="AO32" s="43" t="str">
        <f>IF($A32=AO$1, IF(ROW(AO32)=2, "+", IF(COUNTIF($B32:AN32, "X")=0, "+", "-")), IF(MOD($A32, AO$1)=0, "X", "O"))</f>
        <v>O</v>
      </c>
      <c r="AP32" s="43" t="str">
        <f>IF($A32=AP$1, IF(ROW(AP32)=2, "+", IF(COUNTIF($B32:AO32, "X")=0, "+", "-")), IF(MOD($A32, AP$1)=0, "X", "O"))</f>
        <v>O</v>
      </c>
      <c r="AQ32" s="43" t="str">
        <f>IF($A32=AQ$1, IF(ROW(AQ32)=2, "+", IF(COUNTIF($B32:AP32, "X")=0, "+", "-")), IF(MOD($A32, AQ$1)=0, "X", "O"))</f>
        <v>O</v>
      </c>
      <c r="AR32" s="43" t="str">
        <f>IF($A32=AR$1, IF(ROW(AR32)=2, "+", IF(COUNTIF($B32:AQ32, "X")=0, "+", "-")), IF(MOD($A32, AR$1)=0, "X", "O"))</f>
        <v>O</v>
      </c>
      <c r="AS32" s="43" t="str">
        <f>IF($A32=AS$1, IF(ROW(AS32)=2, "+", IF(COUNTIF($B32:AR32, "X")=0, "+", "-")), IF(MOD($A32, AS$1)=0, "X", "O"))</f>
        <v>O</v>
      </c>
      <c r="AT32" s="43" t="str">
        <f>IF($A32=AT$1, IF(ROW(AT32)=2, "+", IF(COUNTIF($B32:AS32, "X")=0, "+", "-")), IF(MOD($A32, AT$1)=0, "X", "O"))</f>
        <v>O</v>
      </c>
      <c r="AU32" s="43" t="str">
        <f>IF($A32=AU$1, IF(ROW(AU32)=2, "+", IF(COUNTIF($B32:AT32, "X")=0, "+", "-")), IF(MOD($A32, AU$1)=0, "X", "O"))</f>
        <v>O</v>
      </c>
      <c r="AV32" s="43" t="str">
        <f>IF($A32=AV$1, IF(ROW(AV32)=2, "+", IF(COUNTIF($B32:AU32, "X")=0, "+", "-")), IF(MOD($A32, AV$1)=0, "X", "O"))</f>
        <v>O</v>
      </c>
      <c r="AW32" s="43" t="str">
        <f>IF($A32=AW$1, IF(ROW(AW32)=2, "+", IF(COUNTIF($B32:AV32, "X")=0, "+", "-")), IF(MOD($A32, AW$1)=0, "X", "O"))</f>
        <v>O</v>
      </c>
      <c r="AX32" s="43" t="str">
        <f>IF($A32=AX$1, IF(ROW(AX32)=2, "+", IF(COUNTIF($B32:AW32, "X")=0, "+", "-")), IF(MOD($A32, AX$1)=0, "X", "O"))</f>
        <v>O</v>
      </c>
      <c r="AY32" s="43" t="str">
        <f>IF($A32=AY$1, IF(ROW(AY32)=2, "+", IF(COUNTIF($B32:AX32, "X")=0, "+", "-")), IF(MOD($A32, AY$1)=0, "X", "O"))</f>
        <v>O</v>
      </c>
      <c r="AZ32" s="43" t="str">
        <f>IF($A32=AZ$1, IF(ROW(AZ32)=2, "+", IF(COUNTIF($B32:AY32, "X")=0, "+", "-")), IF(MOD($A32, AZ$1)=0, "X", "O"))</f>
        <v>O</v>
      </c>
      <c r="BA32" s="43" t="str">
        <f>IF($A32=BA$1, IF(ROW(BA32)=2, "+", IF(COUNTIF($B32:AZ32, "X")=0, "+", "-")), IF(MOD($A32, BA$1)=0, "X", "O"))</f>
        <v>O</v>
      </c>
      <c r="BB32" s="43" t="str">
        <f>IF($A32=BB$1, IF(ROW(BB32)=2, "+", IF(COUNTIF($B32:BA32, "X")=0, "+", "-")), IF(MOD($A32, BB$1)=0, "X", "O"))</f>
        <v>O</v>
      </c>
      <c r="BC32" s="43" t="str">
        <f>IF($A32=BC$1, IF(ROW(BC32)=2, "+", IF(COUNTIF($B32:BB32, "X")=0, "+", "-")), IF(MOD($A32, BC$1)=0, "X", "O"))</f>
        <v>O</v>
      </c>
      <c r="BD32" s="43" t="str">
        <f>IF($A32=BD$1, IF(ROW(BD32)=2, "+", IF(COUNTIF($B32:BC32, "X")=0, "+", "-")), IF(MOD($A32, BD$1)=0, "X", "O"))</f>
        <v>O</v>
      </c>
      <c r="BE32" s="43" t="str">
        <f>IF($A32=BE$1, IF(ROW(BE32)=2, "+", IF(COUNTIF($B32:BD32, "X")=0, "+", "-")), IF(MOD($A32, BE$1)=0, "X", "O"))</f>
        <v>O</v>
      </c>
      <c r="BF32" s="43" t="str">
        <f>IF($A32=BF$1, IF(ROW(BF32)=2, "+", IF(COUNTIF($B32:BE32, "X")=0, "+", "-")), IF(MOD($A32, BF$1)=0, "X", "O"))</f>
        <v>O</v>
      </c>
      <c r="BG32" s="43" t="str">
        <f>IF($A32=BG$1, IF(ROW(BG32)=2, "+", IF(COUNTIF($B32:BF32, "X")=0, "+", "-")), IF(MOD($A32, BG$1)=0, "X", "O"))</f>
        <v>O</v>
      </c>
      <c r="BH32" s="43" t="str">
        <f>IF($A32=BH$1, IF(ROW(BH32)=2, "+", IF(COUNTIF($B32:BG32, "X")=0, "+", "-")), IF(MOD($A32, BH$1)=0, "X", "O"))</f>
        <v>O</v>
      </c>
    </row>
    <row r="33" spans="1:60" x14ac:dyDescent="0.25">
      <c r="A33">
        <v>33</v>
      </c>
      <c r="B33" s="43" t="str">
        <f>IF($A33=B$1, IF(ROW(B33)=2, "+", IF(COUNTIF(A33:$B33, "X")=0, "+", "-")), IF(MOD($A33, B$1)=0, "X", "O"))</f>
        <v>O</v>
      </c>
      <c r="C33" s="43" t="str">
        <f>IF($A33=C$1, IF(ROW(C33)=2, "+", IF(COUNTIF(B33:$B33, "X")=0, "+", "-")), IF(MOD($A33, C$1)=0, "X", "O"))</f>
        <v>X</v>
      </c>
      <c r="D33" s="43" t="str">
        <f>IF($A33=D$1, IF(ROW(D33)=2, "+", IF(COUNTIF($B33:C33, "X")=0, "+", "-")), IF(MOD($A33, D$1)=0, "X", "O"))</f>
        <v>O</v>
      </c>
      <c r="E33" s="43" t="str">
        <f>IF($A33=E$1, IF(ROW(E33)=2, "+", IF(COUNTIF($B33:D33, "X")=0, "+", "-")), IF(MOD($A33, E$1)=0, "X", "O"))</f>
        <v>O</v>
      </c>
      <c r="F33" s="43" t="str">
        <f>IF($A33=F$1, IF(ROW(F33)=2, "+", IF(COUNTIF($B33:E33, "X")=0, "+", "-")), IF(MOD($A33, F$1)=0, "X", "O"))</f>
        <v>O</v>
      </c>
      <c r="G33" s="43" t="str">
        <f>IF($A33=G$1, IF(ROW(G33)=2, "+", IF(COUNTIF($B33:F33, "X")=0, "+", "-")), IF(MOD($A33, G$1)=0, "X", "O"))</f>
        <v>O</v>
      </c>
      <c r="H33" s="43" t="str">
        <f>IF($A33=H$1, IF(ROW(H33)=2, "+", IF(COUNTIF($B33:G33, "X")=0, "+", "-")), IF(MOD($A33, H$1)=0, "X", "O"))</f>
        <v>O</v>
      </c>
      <c r="I33" s="43" t="str">
        <f>IF($A33=I$1, IF(ROW(I33)=2, "+", IF(COUNTIF($B33:H33, "X")=0, "+", "-")), IF(MOD($A33, I$1)=0, "X", "O"))</f>
        <v>O</v>
      </c>
      <c r="J33" s="43" t="str">
        <f>IF($A33=J$1, IF(ROW(J33)=2, "+", IF(COUNTIF($B33:I33, "X")=0, "+", "-")), IF(MOD($A33, J$1)=0, "X", "O"))</f>
        <v>O</v>
      </c>
      <c r="K33" s="43" t="str">
        <f>IF($A33=K$1, IF(ROW(K33)=2, "+", IF(COUNTIF($B33:J33, "X")=0, "+", "-")), IF(MOD($A33, K$1)=0, "X", "O"))</f>
        <v>X</v>
      </c>
      <c r="L33" s="43" t="str">
        <f>IF($A33=L$1, IF(ROW(L33)=2, "+", IF(COUNTIF($B33:K33, "X")=0, "+", "-")), IF(MOD($A33, L$1)=0, "X", "O"))</f>
        <v>O</v>
      </c>
      <c r="M33" s="43" t="str">
        <f>IF($A33=M$1, IF(ROW(M33)=2, "+", IF(COUNTIF($B33:L33, "X")=0, "+", "-")), IF(MOD($A33, M$1)=0, "X", "O"))</f>
        <v>O</v>
      </c>
      <c r="N33" s="43" t="str">
        <f>IF($A33=N$1, IF(ROW(N33)=2, "+", IF(COUNTIF($B33:M33, "X")=0, "+", "-")), IF(MOD($A33, N$1)=0, "X", "O"))</f>
        <v>O</v>
      </c>
      <c r="O33" s="43" t="str">
        <f>IF($A33=O$1, IF(ROW(O33)=2, "+", IF(COUNTIF($B33:N33, "X")=0, "+", "-")), IF(MOD($A33, O$1)=0, "X", "O"))</f>
        <v>O</v>
      </c>
      <c r="P33" s="43" t="str">
        <f>IF($A33=P$1, IF(ROW(P33)=2, "+", IF(COUNTIF($B33:O33, "X")=0, "+", "-")), IF(MOD($A33, P$1)=0, "X", "O"))</f>
        <v>O</v>
      </c>
      <c r="Q33" s="43" t="str">
        <f>IF($A33=Q$1, IF(ROW(Q33)=2, "+", IF(COUNTIF($B33:P33, "X")=0, "+", "-")), IF(MOD($A33, Q$1)=0, "X", "O"))</f>
        <v>O</v>
      </c>
      <c r="R33" s="43" t="str">
        <f>IF($A33=R$1, IF(ROW(R33)=2, "+", IF(COUNTIF($B33:Q33, "X")=0, "+", "-")), IF(MOD($A33, R$1)=0, "X", "O"))</f>
        <v>O</v>
      </c>
      <c r="S33" s="43" t="str">
        <f>IF($A33=S$1, IF(ROW(S33)=2, "+", IF(COUNTIF($B33:R33, "X")=0, "+", "-")), IF(MOD($A33, S$1)=0, "X", "O"))</f>
        <v>O</v>
      </c>
      <c r="T33" s="43" t="str">
        <f>IF($A33=T$1, IF(ROW(T33)=2, "+", IF(COUNTIF($B33:S33, "X")=0, "+", "-")), IF(MOD($A33, T$1)=0, "X", "O"))</f>
        <v>O</v>
      </c>
      <c r="U33" s="43" t="str">
        <f>IF($A33=U$1, IF(ROW(U33)=2, "+", IF(COUNTIF($B33:T33, "X")=0, "+", "-")), IF(MOD($A33, U$1)=0, "X", "O"))</f>
        <v>O</v>
      </c>
      <c r="V33" s="43" t="str">
        <f>IF($A33=V$1, IF(ROW(V33)=2, "+", IF(COUNTIF($B33:U33, "X")=0, "+", "-")), IF(MOD($A33, V$1)=0, "X", "O"))</f>
        <v>O</v>
      </c>
      <c r="W33" s="43" t="str">
        <f>IF($A33=W$1, IF(ROW(W33)=2, "+", IF(COUNTIF($B33:V33, "X")=0, "+", "-")), IF(MOD($A33, W$1)=0, "X", "O"))</f>
        <v>O</v>
      </c>
      <c r="X33" s="43" t="str">
        <f>IF($A33=X$1, IF(ROW(X33)=2, "+", IF(COUNTIF($B33:W33, "X")=0, "+", "-")), IF(MOD($A33, X$1)=0, "X", "O"))</f>
        <v>O</v>
      </c>
      <c r="Y33" s="43" t="str">
        <f>IF($A33=Y$1, IF(ROW(Y33)=2, "+", IF(COUNTIF($B33:X33, "X")=0, "+", "-")), IF(MOD($A33, Y$1)=0, "X", "O"))</f>
        <v>O</v>
      </c>
      <c r="Z33" s="43" t="str">
        <f>IF($A33=Z$1, IF(ROW(Z33)=2, "+", IF(COUNTIF($B33:Y33, "X")=0, "+", "-")), IF(MOD($A33, Z$1)=0, "X", "O"))</f>
        <v>O</v>
      </c>
      <c r="AA33" s="43" t="str">
        <f>IF($A33=AA$1, IF(ROW(AA33)=2, "+", IF(COUNTIF($B33:Z33, "X")=0, "+", "-")), IF(MOD($A33, AA$1)=0, "X", "O"))</f>
        <v>O</v>
      </c>
      <c r="AB33" s="43" t="str">
        <f>IF($A33=AB$1, IF(ROW(AB33)=2, "+", IF(COUNTIF($B33:AA33, "X")=0, "+", "-")), IF(MOD($A33, AB$1)=0, "X", "O"))</f>
        <v>O</v>
      </c>
      <c r="AC33" s="43" t="str">
        <f>IF($A33=AC$1, IF(ROW(AC33)=2, "+", IF(COUNTIF($B33:AB33, "X")=0, "+", "-")), IF(MOD($A33, AC$1)=0, "X", "O"))</f>
        <v>O</v>
      </c>
      <c r="AD33" s="43" t="str">
        <f>IF($A33=AD$1, IF(ROW(AD33)=2, "+", IF(COUNTIF($B33:AC33, "X")=0, "+", "-")), IF(MOD($A33, AD$1)=0, "X", "O"))</f>
        <v>O</v>
      </c>
      <c r="AE33" s="43" t="str">
        <f>IF($A33=AE$1, IF(ROW(AE33)=2, "+", IF(COUNTIF($B33:AD33, "X")=0, "+", "-")), IF(MOD($A33, AE$1)=0, "X", "O"))</f>
        <v>O</v>
      </c>
      <c r="AF33" s="43" t="str">
        <f>IF($A33=AF$1, IF(ROW(AF33)=2, "+", IF(COUNTIF($B33:AE33, "X")=0, "+", "-")), IF(MOD($A33, AF$1)=0, "X", "O"))</f>
        <v>O</v>
      </c>
      <c r="AG33" s="43" t="str">
        <f>IF($A33=AG$1, IF(ROW(AG33)=2, "+", IF(COUNTIF($B33:AF33, "X")=0, "+", "-")), IF(MOD($A33, AG$1)=0, "X", "O"))</f>
        <v>-</v>
      </c>
      <c r="AH33" s="43" t="str">
        <f>IF($A33=AH$1, IF(ROW(AH33)=2, "+", IF(COUNTIF($B33:AG33, "X")=0, "+", "-")), IF(MOD($A33, AH$1)=0, "X", "O"))</f>
        <v>O</v>
      </c>
      <c r="AI33" s="43" t="str">
        <f>IF($A33=AI$1, IF(ROW(AI33)=2, "+", IF(COUNTIF($B33:AH33, "X")=0, "+", "-")), IF(MOD($A33, AI$1)=0, "X", "O"))</f>
        <v>O</v>
      </c>
      <c r="AJ33" s="43" t="str">
        <f>IF($A33=AJ$1, IF(ROW(AJ33)=2, "+", IF(COUNTIF($B33:AI33, "X")=0, "+", "-")), IF(MOD($A33, AJ$1)=0, "X", "O"))</f>
        <v>O</v>
      </c>
      <c r="AK33" s="43" t="str">
        <f>IF($A33=AK$1, IF(ROW(AK33)=2, "+", IF(COUNTIF($B33:AJ33, "X")=0, "+", "-")), IF(MOD($A33, AK$1)=0, "X", "O"))</f>
        <v>O</v>
      </c>
      <c r="AL33" s="43" t="str">
        <f>IF($A33=AL$1, IF(ROW(AL33)=2, "+", IF(COUNTIF($B33:AK33, "X")=0, "+", "-")), IF(MOD($A33, AL$1)=0, "X", "O"))</f>
        <v>O</v>
      </c>
      <c r="AM33" s="43" t="str">
        <f>IF($A33=AM$1, IF(ROW(AM33)=2, "+", IF(COUNTIF($B33:AL33, "X")=0, "+", "-")), IF(MOD($A33, AM$1)=0, "X", "O"))</f>
        <v>O</v>
      </c>
      <c r="AN33" s="43" t="str">
        <f>IF($A33=AN$1, IF(ROW(AN33)=2, "+", IF(COUNTIF($B33:AM33, "X")=0, "+", "-")), IF(MOD($A33, AN$1)=0, "X", "O"))</f>
        <v>O</v>
      </c>
      <c r="AO33" s="43" t="str">
        <f>IF($A33=AO$1, IF(ROW(AO33)=2, "+", IF(COUNTIF($B33:AN33, "X")=0, "+", "-")), IF(MOD($A33, AO$1)=0, "X", "O"))</f>
        <v>O</v>
      </c>
      <c r="AP33" s="43" t="str">
        <f>IF($A33=AP$1, IF(ROW(AP33)=2, "+", IF(COUNTIF($B33:AO33, "X")=0, "+", "-")), IF(MOD($A33, AP$1)=0, "X", "O"))</f>
        <v>O</v>
      </c>
      <c r="AQ33" s="43" t="str">
        <f>IF($A33=AQ$1, IF(ROW(AQ33)=2, "+", IF(COUNTIF($B33:AP33, "X")=0, "+", "-")), IF(MOD($A33, AQ$1)=0, "X", "O"))</f>
        <v>O</v>
      </c>
      <c r="AR33" s="43" t="str">
        <f>IF($A33=AR$1, IF(ROW(AR33)=2, "+", IF(COUNTIF($B33:AQ33, "X")=0, "+", "-")), IF(MOD($A33, AR$1)=0, "X", "O"))</f>
        <v>O</v>
      </c>
      <c r="AS33" s="43" t="str">
        <f>IF($A33=AS$1, IF(ROW(AS33)=2, "+", IF(COUNTIF($B33:AR33, "X")=0, "+", "-")), IF(MOD($A33, AS$1)=0, "X", "O"))</f>
        <v>O</v>
      </c>
      <c r="AT33" s="43" t="str">
        <f>IF($A33=AT$1, IF(ROW(AT33)=2, "+", IF(COUNTIF($B33:AS33, "X")=0, "+", "-")), IF(MOD($A33, AT$1)=0, "X", "O"))</f>
        <v>O</v>
      </c>
      <c r="AU33" s="43" t="str">
        <f>IF($A33=AU$1, IF(ROW(AU33)=2, "+", IF(COUNTIF($B33:AT33, "X")=0, "+", "-")), IF(MOD($A33, AU$1)=0, "X", "O"))</f>
        <v>O</v>
      </c>
      <c r="AV33" s="43" t="str">
        <f>IF($A33=AV$1, IF(ROW(AV33)=2, "+", IF(COUNTIF($B33:AU33, "X")=0, "+", "-")), IF(MOD($A33, AV$1)=0, "X", "O"))</f>
        <v>O</v>
      </c>
      <c r="AW33" s="43" t="str">
        <f>IF($A33=AW$1, IF(ROW(AW33)=2, "+", IF(COUNTIF($B33:AV33, "X")=0, "+", "-")), IF(MOD($A33, AW$1)=0, "X", "O"))</f>
        <v>O</v>
      </c>
      <c r="AX33" s="43" t="str">
        <f>IF($A33=AX$1, IF(ROW(AX33)=2, "+", IF(COUNTIF($B33:AW33, "X")=0, "+", "-")), IF(MOD($A33, AX$1)=0, "X", "O"))</f>
        <v>O</v>
      </c>
      <c r="AY33" s="43" t="str">
        <f>IF($A33=AY$1, IF(ROW(AY33)=2, "+", IF(COUNTIF($B33:AX33, "X")=0, "+", "-")), IF(MOD($A33, AY$1)=0, "X", "O"))</f>
        <v>O</v>
      </c>
      <c r="AZ33" s="43" t="str">
        <f>IF($A33=AZ$1, IF(ROW(AZ33)=2, "+", IF(COUNTIF($B33:AY33, "X")=0, "+", "-")), IF(MOD($A33, AZ$1)=0, "X", "O"))</f>
        <v>O</v>
      </c>
      <c r="BA33" s="43" t="str">
        <f>IF($A33=BA$1, IF(ROW(BA33)=2, "+", IF(COUNTIF($B33:AZ33, "X")=0, "+", "-")), IF(MOD($A33, BA$1)=0, "X", "O"))</f>
        <v>O</v>
      </c>
      <c r="BB33" s="43" t="str">
        <f>IF($A33=BB$1, IF(ROW(BB33)=2, "+", IF(COUNTIF($B33:BA33, "X")=0, "+", "-")), IF(MOD($A33, BB$1)=0, "X", "O"))</f>
        <v>O</v>
      </c>
      <c r="BC33" s="43" t="str">
        <f>IF($A33=BC$1, IF(ROW(BC33)=2, "+", IF(COUNTIF($B33:BB33, "X")=0, "+", "-")), IF(MOD($A33, BC$1)=0, "X", "O"))</f>
        <v>O</v>
      </c>
      <c r="BD33" s="43" t="str">
        <f>IF($A33=BD$1, IF(ROW(BD33)=2, "+", IF(COUNTIF($B33:BC33, "X")=0, "+", "-")), IF(MOD($A33, BD$1)=0, "X", "O"))</f>
        <v>O</v>
      </c>
      <c r="BE33" s="43" t="str">
        <f>IF($A33=BE$1, IF(ROW(BE33)=2, "+", IF(COUNTIF($B33:BD33, "X")=0, "+", "-")), IF(MOD($A33, BE$1)=0, "X", "O"))</f>
        <v>O</v>
      </c>
      <c r="BF33" s="43" t="str">
        <f>IF($A33=BF$1, IF(ROW(BF33)=2, "+", IF(COUNTIF($B33:BE33, "X")=0, "+", "-")), IF(MOD($A33, BF$1)=0, "X", "O"))</f>
        <v>O</v>
      </c>
      <c r="BG33" s="43" t="str">
        <f>IF($A33=BG$1, IF(ROW(BG33)=2, "+", IF(COUNTIF($B33:BF33, "X")=0, "+", "-")), IF(MOD($A33, BG$1)=0, "X", "O"))</f>
        <v>O</v>
      </c>
      <c r="BH33" s="43" t="str">
        <f>IF($A33=BH$1, IF(ROW(BH33)=2, "+", IF(COUNTIF($B33:BG33, "X")=0, "+", "-")), IF(MOD($A33, BH$1)=0, "X", "O"))</f>
        <v>O</v>
      </c>
    </row>
    <row r="34" spans="1:60" x14ac:dyDescent="0.25">
      <c r="A34">
        <v>34</v>
      </c>
      <c r="B34" s="43" t="str">
        <f>IF($A34=B$1, IF(ROW(B34)=2, "+", IF(COUNTIF(A34:$B34, "X")=0, "+", "-")), IF(MOD($A34, B$1)=0, "X", "O"))</f>
        <v>X</v>
      </c>
      <c r="C34" s="43" t="str">
        <f>IF($A34=C$1, IF(ROW(C34)=2, "+", IF(COUNTIF(B34:$B34, "X")=0, "+", "-")), IF(MOD($A34, C$1)=0, "X", "O"))</f>
        <v>O</v>
      </c>
      <c r="D34" s="43" t="str">
        <f>IF($A34=D$1, IF(ROW(D34)=2, "+", IF(COUNTIF($B34:C34, "X")=0, "+", "-")), IF(MOD($A34, D$1)=0, "X", "O"))</f>
        <v>O</v>
      </c>
      <c r="E34" s="43" t="str">
        <f>IF($A34=E$1, IF(ROW(E34)=2, "+", IF(COUNTIF($B34:D34, "X")=0, "+", "-")), IF(MOD($A34, E$1)=0, "X", "O"))</f>
        <v>O</v>
      </c>
      <c r="F34" s="43" t="str">
        <f>IF($A34=F$1, IF(ROW(F34)=2, "+", IF(COUNTIF($B34:E34, "X")=0, "+", "-")), IF(MOD($A34, F$1)=0, "X", "O"))</f>
        <v>O</v>
      </c>
      <c r="G34" s="43" t="str">
        <f>IF($A34=G$1, IF(ROW(G34)=2, "+", IF(COUNTIF($B34:F34, "X")=0, "+", "-")), IF(MOD($A34, G$1)=0, "X", "O"))</f>
        <v>O</v>
      </c>
      <c r="H34" s="43" t="str">
        <f>IF($A34=H$1, IF(ROW(H34)=2, "+", IF(COUNTIF($B34:G34, "X")=0, "+", "-")), IF(MOD($A34, H$1)=0, "X", "O"))</f>
        <v>O</v>
      </c>
      <c r="I34" s="43" t="str">
        <f>IF($A34=I$1, IF(ROW(I34)=2, "+", IF(COUNTIF($B34:H34, "X")=0, "+", "-")), IF(MOD($A34, I$1)=0, "X", "O"))</f>
        <v>O</v>
      </c>
      <c r="J34" s="43" t="str">
        <f>IF($A34=J$1, IF(ROW(J34)=2, "+", IF(COUNTIF($B34:I34, "X")=0, "+", "-")), IF(MOD($A34, J$1)=0, "X", "O"))</f>
        <v>O</v>
      </c>
      <c r="K34" s="43" t="str">
        <f>IF($A34=K$1, IF(ROW(K34)=2, "+", IF(COUNTIF($B34:J34, "X")=0, "+", "-")), IF(MOD($A34, K$1)=0, "X", "O"))</f>
        <v>O</v>
      </c>
      <c r="L34" s="43" t="str">
        <f>IF($A34=L$1, IF(ROW(L34)=2, "+", IF(COUNTIF($B34:K34, "X")=0, "+", "-")), IF(MOD($A34, L$1)=0, "X", "O"))</f>
        <v>O</v>
      </c>
      <c r="M34" s="43" t="str">
        <f>IF($A34=M$1, IF(ROW(M34)=2, "+", IF(COUNTIF($B34:L34, "X")=0, "+", "-")), IF(MOD($A34, M$1)=0, "X", "O"))</f>
        <v>O</v>
      </c>
      <c r="N34" s="43" t="str">
        <f>IF($A34=N$1, IF(ROW(N34)=2, "+", IF(COUNTIF($B34:M34, "X")=0, "+", "-")), IF(MOD($A34, N$1)=0, "X", "O"))</f>
        <v>O</v>
      </c>
      <c r="O34" s="43" t="str">
        <f>IF($A34=O$1, IF(ROW(O34)=2, "+", IF(COUNTIF($B34:N34, "X")=0, "+", "-")), IF(MOD($A34, O$1)=0, "X", "O"))</f>
        <v>O</v>
      </c>
      <c r="P34" s="43" t="str">
        <f>IF($A34=P$1, IF(ROW(P34)=2, "+", IF(COUNTIF($B34:O34, "X")=0, "+", "-")), IF(MOD($A34, P$1)=0, "X", "O"))</f>
        <v>O</v>
      </c>
      <c r="Q34" s="43" t="str">
        <f>IF($A34=Q$1, IF(ROW(Q34)=2, "+", IF(COUNTIF($B34:P34, "X")=0, "+", "-")), IF(MOD($A34, Q$1)=0, "X", "O"))</f>
        <v>X</v>
      </c>
      <c r="R34" s="43" t="str">
        <f>IF($A34=R$1, IF(ROW(R34)=2, "+", IF(COUNTIF($B34:Q34, "X")=0, "+", "-")), IF(MOD($A34, R$1)=0, "X", "O"))</f>
        <v>O</v>
      </c>
      <c r="S34" s="43" t="str">
        <f>IF($A34=S$1, IF(ROW(S34)=2, "+", IF(COUNTIF($B34:R34, "X")=0, "+", "-")), IF(MOD($A34, S$1)=0, "X", "O"))</f>
        <v>O</v>
      </c>
      <c r="T34" s="43" t="str">
        <f>IF($A34=T$1, IF(ROW(T34)=2, "+", IF(COUNTIF($B34:S34, "X")=0, "+", "-")), IF(MOD($A34, T$1)=0, "X", "O"))</f>
        <v>O</v>
      </c>
      <c r="U34" s="43" t="str">
        <f>IF($A34=U$1, IF(ROW(U34)=2, "+", IF(COUNTIF($B34:T34, "X")=0, "+", "-")), IF(MOD($A34, U$1)=0, "X", "O"))</f>
        <v>O</v>
      </c>
      <c r="V34" s="43" t="str">
        <f>IF($A34=V$1, IF(ROW(V34)=2, "+", IF(COUNTIF($B34:U34, "X")=0, "+", "-")), IF(MOD($A34, V$1)=0, "X", "O"))</f>
        <v>O</v>
      </c>
      <c r="W34" s="43" t="str">
        <f>IF($A34=W$1, IF(ROW(W34)=2, "+", IF(COUNTIF($B34:V34, "X")=0, "+", "-")), IF(MOD($A34, W$1)=0, "X", "O"))</f>
        <v>O</v>
      </c>
      <c r="X34" s="43" t="str">
        <f>IF($A34=X$1, IF(ROW(X34)=2, "+", IF(COUNTIF($B34:W34, "X")=0, "+", "-")), IF(MOD($A34, X$1)=0, "X", "O"))</f>
        <v>O</v>
      </c>
      <c r="Y34" s="43" t="str">
        <f>IF($A34=Y$1, IF(ROW(Y34)=2, "+", IF(COUNTIF($B34:X34, "X")=0, "+", "-")), IF(MOD($A34, Y$1)=0, "X", "O"))</f>
        <v>O</v>
      </c>
      <c r="Z34" s="43" t="str">
        <f>IF($A34=Z$1, IF(ROW(Z34)=2, "+", IF(COUNTIF($B34:Y34, "X")=0, "+", "-")), IF(MOD($A34, Z$1)=0, "X", "O"))</f>
        <v>O</v>
      </c>
      <c r="AA34" s="43" t="str">
        <f>IF($A34=AA$1, IF(ROW(AA34)=2, "+", IF(COUNTIF($B34:Z34, "X")=0, "+", "-")), IF(MOD($A34, AA$1)=0, "X", "O"))</f>
        <v>O</v>
      </c>
      <c r="AB34" s="43" t="str">
        <f>IF($A34=AB$1, IF(ROW(AB34)=2, "+", IF(COUNTIF($B34:AA34, "X")=0, "+", "-")), IF(MOD($A34, AB$1)=0, "X", "O"))</f>
        <v>O</v>
      </c>
      <c r="AC34" s="43" t="str">
        <f>IF($A34=AC$1, IF(ROW(AC34)=2, "+", IF(COUNTIF($B34:AB34, "X")=0, "+", "-")), IF(MOD($A34, AC$1)=0, "X", "O"))</f>
        <v>O</v>
      </c>
      <c r="AD34" s="43" t="str">
        <f>IF($A34=AD$1, IF(ROW(AD34)=2, "+", IF(COUNTIF($B34:AC34, "X")=0, "+", "-")), IF(MOD($A34, AD$1)=0, "X", "O"))</f>
        <v>O</v>
      </c>
      <c r="AE34" s="43" t="str">
        <f>IF($A34=AE$1, IF(ROW(AE34)=2, "+", IF(COUNTIF($B34:AD34, "X")=0, "+", "-")), IF(MOD($A34, AE$1)=0, "X", "O"))</f>
        <v>O</v>
      </c>
      <c r="AF34" s="43" t="str">
        <f>IF($A34=AF$1, IF(ROW(AF34)=2, "+", IF(COUNTIF($B34:AE34, "X")=0, "+", "-")), IF(MOD($A34, AF$1)=0, "X", "O"))</f>
        <v>O</v>
      </c>
      <c r="AG34" s="43" t="str">
        <f>IF($A34=AG$1, IF(ROW(AG34)=2, "+", IF(COUNTIF($B34:AF34, "X")=0, "+", "-")), IF(MOD($A34, AG$1)=0, "X", "O"))</f>
        <v>O</v>
      </c>
      <c r="AH34" s="43" t="str">
        <f>IF($A34=AH$1, IF(ROW(AH34)=2, "+", IF(COUNTIF($B34:AG34, "X")=0, "+", "-")), IF(MOD($A34, AH$1)=0, "X", "O"))</f>
        <v>-</v>
      </c>
      <c r="AI34" s="43" t="str">
        <f>IF($A34=AI$1, IF(ROW(AI34)=2, "+", IF(COUNTIF($B34:AH34, "X")=0, "+", "-")), IF(MOD($A34, AI$1)=0, "X", "O"))</f>
        <v>O</v>
      </c>
      <c r="AJ34" s="43" t="str">
        <f>IF($A34=AJ$1, IF(ROW(AJ34)=2, "+", IF(COUNTIF($B34:AI34, "X")=0, "+", "-")), IF(MOD($A34, AJ$1)=0, "X", "O"))</f>
        <v>O</v>
      </c>
      <c r="AK34" s="43" t="str">
        <f>IF($A34=AK$1, IF(ROW(AK34)=2, "+", IF(COUNTIF($B34:AJ34, "X")=0, "+", "-")), IF(MOD($A34, AK$1)=0, "X", "O"))</f>
        <v>O</v>
      </c>
      <c r="AL34" s="43" t="str">
        <f>IF($A34=AL$1, IF(ROW(AL34)=2, "+", IF(COUNTIF($B34:AK34, "X")=0, "+", "-")), IF(MOD($A34, AL$1)=0, "X", "O"))</f>
        <v>O</v>
      </c>
      <c r="AM34" s="43" t="str">
        <f>IF($A34=AM$1, IF(ROW(AM34)=2, "+", IF(COUNTIF($B34:AL34, "X")=0, "+", "-")), IF(MOD($A34, AM$1)=0, "X", "O"))</f>
        <v>O</v>
      </c>
      <c r="AN34" s="43" t="str">
        <f>IF($A34=AN$1, IF(ROW(AN34)=2, "+", IF(COUNTIF($B34:AM34, "X")=0, "+", "-")), IF(MOD($A34, AN$1)=0, "X", "O"))</f>
        <v>O</v>
      </c>
      <c r="AO34" s="43" t="str">
        <f>IF($A34=AO$1, IF(ROW(AO34)=2, "+", IF(COUNTIF($B34:AN34, "X")=0, "+", "-")), IF(MOD($A34, AO$1)=0, "X", "O"))</f>
        <v>O</v>
      </c>
      <c r="AP34" s="43" t="str">
        <f>IF($A34=AP$1, IF(ROW(AP34)=2, "+", IF(COUNTIF($B34:AO34, "X")=0, "+", "-")), IF(MOD($A34, AP$1)=0, "X", "O"))</f>
        <v>O</v>
      </c>
      <c r="AQ34" s="43" t="str">
        <f>IF($A34=AQ$1, IF(ROW(AQ34)=2, "+", IF(COUNTIF($B34:AP34, "X")=0, "+", "-")), IF(MOD($A34, AQ$1)=0, "X", "O"))</f>
        <v>O</v>
      </c>
      <c r="AR34" s="43" t="str">
        <f>IF($A34=AR$1, IF(ROW(AR34)=2, "+", IF(COUNTIF($B34:AQ34, "X")=0, "+", "-")), IF(MOD($A34, AR$1)=0, "X", "O"))</f>
        <v>O</v>
      </c>
      <c r="AS34" s="43" t="str">
        <f>IF($A34=AS$1, IF(ROW(AS34)=2, "+", IF(COUNTIF($B34:AR34, "X")=0, "+", "-")), IF(MOD($A34, AS$1)=0, "X", "O"))</f>
        <v>O</v>
      </c>
      <c r="AT34" s="43" t="str">
        <f>IF($A34=AT$1, IF(ROW(AT34)=2, "+", IF(COUNTIF($B34:AS34, "X")=0, "+", "-")), IF(MOD($A34, AT$1)=0, "X", "O"))</f>
        <v>O</v>
      </c>
      <c r="AU34" s="43" t="str">
        <f>IF($A34=AU$1, IF(ROW(AU34)=2, "+", IF(COUNTIF($B34:AT34, "X")=0, "+", "-")), IF(MOD($A34, AU$1)=0, "X", "O"))</f>
        <v>O</v>
      </c>
      <c r="AV34" s="43" t="str">
        <f>IF($A34=AV$1, IF(ROW(AV34)=2, "+", IF(COUNTIF($B34:AU34, "X")=0, "+", "-")), IF(MOD($A34, AV$1)=0, "X", "O"))</f>
        <v>O</v>
      </c>
      <c r="AW34" s="43" t="str">
        <f>IF($A34=AW$1, IF(ROW(AW34)=2, "+", IF(COUNTIF($B34:AV34, "X")=0, "+", "-")), IF(MOD($A34, AW$1)=0, "X", "O"))</f>
        <v>O</v>
      </c>
      <c r="AX34" s="43" t="str">
        <f>IF($A34=AX$1, IF(ROW(AX34)=2, "+", IF(COUNTIF($B34:AW34, "X")=0, "+", "-")), IF(MOD($A34, AX$1)=0, "X", "O"))</f>
        <v>O</v>
      </c>
      <c r="AY34" s="43" t="str">
        <f>IF($A34=AY$1, IF(ROW(AY34)=2, "+", IF(COUNTIF($B34:AX34, "X")=0, "+", "-")), IF(MOD($A34, AY$1)=0, "X", "O"))</f>
        <v>O</v>
      </c>
      <c r="AZ34" s="43" t="str">
        <f>IF($A34=AZ$1, IF(ROW(AZ34)=2, "+", IF(COUNTIF($B34:AY34, "X")=0, "+", "-")), IF(MOD($A34, AZ$1)=0, "X", "O"))</f>
        <v>O</v>
      </c>
      <c r="BA34" s="43" t="str">
        <f>IF($A34=BA$1, IF(ROW(BA34)=2, "+", IF(COUNTIF($B34:AZ34, "X")=0, "+", "-")), IF(MOD($A34, BA$1)=0, "X", "O"))</f>
        <v>O</v>
      </c>
      <c r="BB34" s="43" t="str">
        <f>IF($A34=BB$1, IF(ROW(BB34)=2, "+", IF(COUNTIF($B34:BA34, "X")=0, "+", "-")), IF(MOD($A34, BB$1)=0, "X", "O"))</f>
        <v>O</v>
      </c>
      <c r="BC34" s="43" t="str">
        <f>IF($A34=BC$1, IF(ROW(BC34)=2, "+", IF(COUNTIF($B34:BB34, "X")=0, "+", "-")), IF(MOD($A34, BC$1)=0, "X", "O"))</f>
        <v>O</v>
      </c>
      <c r="BD34" s="43" t="str">
        <f>IF($A34=BD$1, IF(ROW(BD34)=2, "+", IF(COUNTIF($B34:BC34, "X")=0, "+", "-")), IF(MOD($A34, BD$1)=0, "X", "O"))</f>
        <v>O</v>
      </c>
      <c r="BE34" s="43" t="str">
        <f>IF($A34=BE$1, IF(ROW(BE34)=2, "+", IF(COUNTIF($B34:BD34, "X")=0, "+", "-")), IF(MOD($A34, BE$1)=0, "X", "O"))</f>
        <v>O</v>
      </c>
      <c r="BF34" s="43" t="str">
        <f>IF($A34=BF$1, IF(ROW(BF34)=2, "+", IF(COUNTIF($B34:BE34, "X")=0, "+", "-")), IF(MOD($A34, BF$1)=0, "X", "O"))</f>
        <v>O</v>
      </c>
      <c r="BG34" s="43" t="str">
        <f>IF($A34=BG$1, IF(ROW(BG34)=2, "+", IF(COUNTIF($B34:BF34, "X")=0, "+", "-")), IF(MOD($A34, BG$1)=0, "X", "O"))</f>
        <v>O</v>
      </c>
      <c r="BH34" s="43" t="str">
        <f>IF($A34=BH$1, IF(ROW(BH34)=2, "+", IF(COUNTIF($B34:BG34, "X")=0, "+", "-")), IF(MOD($A34, BH$1)=0, "X", "O"))</f>
        <v>O</v>
      </c>
    </row>
    <row r="35" spans="1:60" x14ac:dyDescent="0.25">
      <c r="A35">
        <v>35</v>
      </c>
      <c r="B35" s="43" t="str">
        <f>IF($A35=B$1, IF(ROW(B35)=2, "+", IF(COUNTIF(A35:$B35, "X")=0, "+", "-")), IF(MOD($A35, B$1)=0, "X", "O"))</f>
        <v>O</v>
      </c>
      <c r="C35" s="43" t="str">
        <f>IF($A35=C$1, IF(ROW(C35)=2, "+", IF(COUNTIF(B35:$B35, "X")=0, "+", "-")), IF(MOD($A35, C$1)=0, "X", "O"))</f>
        <v>O</v>
      </c>
      <c r="D35" s="43" t="str">
        <f>IF($A35=D$1, IF(ROW(D35)=2, "+", IF(COUNTIF($B35:C35, "X")=0, "+", "-")), IF(MOD($A35, D$1)=0, "X", "O"))</f>
        <v>O</v>
      </c>
      <c r="E35" s="43" t="str">
        <f>IF($A35=E$1, IF(ROW(E35)=2, "+", IF(COUNTIF($B35:D35, "X")=0, "+", "-")), IF(MOD($A35, E$1)=0, "X", "O"))</f>
        <v>X</v>
      </c>
      <c r="F35" s="43" t="str">
        <f>IF($A35=F$1, IF(ROW(F35)=2, "+", IF(COUNTIF($B35:E35, "X")=0, "+", "-")), IF(MOD($A35, F$1)=0, "X", "O"))</f>
        <v>O</v>
      </c>
      <c r="G35" s="43" t="str">
        <f>IF($A35=G$1, IF(ROW(G35)=2, "+", IF(COUNTIF($B35:F35, "X")=0, "+", "-")), IF(MOD($A35, G$1)=0, "X", "O"))</f>
        <v>X</v>
      </c>
      <c r="H35" s="43" t="str">
        <f>IF($A35=H$1, IF(ROW(H35)=2, "+", IF(COUNTIF($B35:G35, "X")=0, "+", "-")), IF(MOD($A35, H$1)=0, "X", "O"))</f>
        <v>O</v>
      </c>
      <c r="I35" s="43" t="str">
        <f>IF($A35=I$1, IF(ROW(I35)=2, "+", IF(COUNTIF($B35:H35, "X")=0, "+", "-")), IF(MOD($A35, I$1)=0, "X", "O"))</f>
        <v>O</v>
      </c>
      <c r="J35" s="43" t="str">
        <f>IF($A35=J$1, IF(ROW(J35)=2, "+", IF(COUNTIF($B35:I35, "X")=0, "+", "-")), IF(MOD($A35, J$1)=0, "X", "O"))</f>
        <v>O</v>
      </c>
      <c r="K35" s="43" t="str">
        <f>IF($A35=K$1, IF(ROW(K35)=2, "+", IF(COUNTIF($B35:J35, "X")=0, "+", "-")), IF(MOD($A35, K$1)=0, "X", "O"))</f>
        <v>O</v>
      </c>
      <c r="L35" s="43" t="str">
        <f>IF($A35=L$1, IF(ROW(L35)=2, "+", IF(COUNTIF($B35:K35, "X")=0, "+", "-")), IF(MOD($A35, L$1)=0, "X", "O"))</f>
        <v>O</v>
      </c>
      <c r="M35" s="43" t="str">
        <f>IF($A35=M$1, IF(ROW(M35)=2, "+", IF(COUNTIF($B35:L35, "X")=0, "+", "-")), IF(MOD($A35, M$1)=0, "X", "O"))</f>
        <v>O</v>
      </c>
      <c r="N35" s="43" t="str">
        <f>IF($A35=N$1, IF(ROW(N35)=2, "+", IF(COUNTIF($B35:M35, "X")=0, "+", "-")), IF(MOD($A35, N$1)=0, "X", "O"))</f>
        <v>O</v>
      </c>
      <c r="O35" s="43" t="str">
        <f>IF($A35=O$1, IF(ROW(O35)=2, "+", IF(COUNTIF($B35:N35, "X")=0, "+", "-")), IF(MOD($A35, O$1)=0, "X", "O"))</f>
        <v>O</v>
      </c>
      <c r="P35" s="43" t="str">
        <f>IF($A35=P$1, IF(ROW(P35)=2, "+", IF(COUNTIF($B35:O35, "X")=0, "+", "-")), IF(MOD($A35, P$1)=0, "X", "O"))</f>
        <v>O</v>
      </c>
      <c r="Q35" s="43" t="str">
        <f>IF($A35=Q$1, IF(ROW(Q35)=2, "+", IF(COUNTIF($B35:P35, "X")=0, "+", "-")), IF(MOD($A35, Q$1)=0, "X", "O"))</f>
        <v>O</v>
      </c>
      <c r="R35" s="43" t="str">
        <f>IF($A35=R$1, IF(ROW(R35)=2, "+", IF(COUNTIF($B35:Q35, "X")=0, "+", "-")), IF(MOD($A35, R$1)=0, "X", "O"))</f>
        <v>O</v>
      </c>
      <c r="S35" s="43" t="str">
        <f>IF($A35=S$1, IF(ROW(S35)=2, "+", IF(COUNTIF($B35:R35, "X")=0, "+", "-")), IF(MOD($A35, S$1)=0, "X", "O"))</f>
        <v>O</v>
      </c>
      <c r="T35" s="43" t="str">
        <f>IF($A35=T$1, IF(ROW(T35)=2, "+", IF(COUNTIF($B35:S35, "X")=0, "+", "-")), IF(MOD($A35, T$1)=0, "X", "O"))</f>
        <v>O</v>
      </c>
      <c r="U35" s="43" t="str">
        <f>IF($A35=U$1, IF(ROW(U35)=2, "+", IF(COUNTIF($B35:T35, "X")=0, "+", "-")), IF(MOD($A35, U$1)=0, "X", "O"))</f>
        <v>O</v>
      </c>
      <c r="V35" s="43" t="str">
        <f>IF($A35=V$1, IF(ROW(V35)=2, "+", IF(COUNTIF($B35:U35, "X")=0, "+", "-")), IF(MOD($A35, V$1)=0, "X", "O"))</f>
        <v>O</v>
      </c>
      <c r="W35" s="43" t="str">
        <f>IF($A35=W$1, IF(ROW(W35)=2, "+", IF(COUNTIF($B35:V35, "X")=0, "+", "-")), IF(MOD($A35, W$1)=0, "X", "O"))</f>
        <v>O</v>
      </c>
      <c r="X35" s="43" t="str">
        <f>IF($A35=X$1, IF(ROW(X35)=2, "+", IF(COUNTIF($B35:W35, "X")=0, "+", "-")), IF(MOD($A35, X$1)=0, "X", "O"))</f>
        <v>O</v>
      </c>
      <c r="Y35" s="43" t="str">
        <f>IF($A35=Y$1, IF(ROW(Y35)=2, "+", IF(COUNTIF($B35:X35, "X")=0, "+", "-")), IF(MOD($A35, Y$1)=0, "X", "O"))</f>
        <v>O</v>
      </c>
      <c r="Z35" s="43" t="str">
        <f>IF($A35=Z$1, IF(ROW(Z35)=2, "+", IF(COUNTIF($B35:Y35, "X")=0, "+", "-")), IF(MOD($A35, Z$1)=0, "X", "O"))</f>
        <v>O</v>
      </c>
      <c r="AA35" s="43" t="str">
        <f>IF($A35=AA$1, IF(ROW(AA35)=2, "+", IF(COUNTIF($B35:Z35, "X")=0, "+", "-")), IF(MOD($A35, AA$1)=0, "X", "O"))</f>
        <v>O</v>
      </c>
      <c r="AB35" s="43" t="str">
        <f>IF($A35=AB$1, IF(ROW(AB35)=2, "+", IF(COUNTIF($B35:AA35, "X")=0, "+", "-")), IF(MOD($A35, AB$1)=0, "X", "O"))</f>
        <v>O</v>
      </c>
      <c r="AC35" s="43" t="str">
        <f>IF($A35=AC$1, IF(ROW(AC35)=2, "+", IF(COUNTIF($B35:AB35, "X")=0, "+", "-")), IF(MOD($A35, AC$1)=0, "X", "O"))</f>
        <v>O</v>
      </c>
      <c r="AD35" s="43" t="str">
        <f>IF($A35=AD$1, IF(ROW(AD35)=2, "+", IF(COUNTIF($B35:AC35, "X")=0, "+", "-")), IF(MOD($A35, AD$1)=0, "X", "O"))</f>
        <v>O</v>
      </c>
      <c r="AE35" s="43" t="str">
        <f>IF($A35=AE$1, IF(ROW(AE35)=2, "+", IF(COUNTIF($B35:AD35, "X")=0, "+", "-")), IF(MOD($A35, AE$1)=0, "X", "O"))</f>
        <v>O</v>
      </c>
      <c r="AF35" s="43" t="str">
        <f>IF($A35=AF$1, IF(ROW(AF35)=2, "+", IF(COUNTIF($B35:AE35, "X")=0, "+", "-")), IF(MOD($A35, AF$1)=0, "X", "O"))</f>
        <v>O</v>
      </c>
      <c r="AG35" s="43" t="str">
        <f>IF($A35=AG$1, IF(ROW(AG35)=2, "+", IF(COUNTIF($B35:AF35, "X")=0, "+", "-")), IF(MOD($A35, AG$1)=0, "X", "O"))</f>
        <v>O</v>
      </c>
      <c r="AH35" s="43" t="str">
        <f>IF($A35=AH$1, IF(ROW(AH35)=2, "+", IF(COUNTIF($B35:AG35, "X")=0, "+", "-")), IF(MOD($A35, AH$1)=0, "X", "O"))</f>
        <v>O</v>
      </c>
      <c r="AI35" s="43" t="str">
        <f>IF($A35=AI$1, IF(ROW(AI35)=2, "+", IF(COUNTIF($B35:AH35, "X")=0, "+", "-")), IF(MOD($A35, AI$1)=0, "X", "O"))</f>
        <v>-</v>
      </c>
      <c r="AJ35" s="43" t="str">
        <f>IF($A35=AJ$1, IF(ROW(AJ35)=2, "+", IF(COUNTIF($B35:AI35, "X")=0, "+", "-")), IF(MOD($A35, AJ$1)=0, "X", "O"))</f>
        <v>O</v>
      </c>
      <c r="AK35" s="43" t="str">
        <f>IF($A35=AK$1, IF(ROW(AK35)=2, "+", IF(COUNTIF($B35:AJ35, "X")=0, "+", "-")), IF(MOD($A35, AK$1)=0, "X", "O"))</f>
        <v>O</v>
      </c>
      <c r="AL35" s="43" t="str">
        <f>IF($A35=AL$1, IF(ROW(AL35)=2, "+", IF(COUNTIF($B35:AK35, "X")=0, "+", "-")), IF(MOD($A35, AL$1)=0, "X", "O"))</f>
        <v>O</v>
      </c>
      <c r="AM35" s="43" t="str">
        <f>IF($A35=AM$1, IF(ROW(AM35)=2, "+", IF(COUNTIF($B35:AL35, "X")=0, "+", "-")), IF(MOD($A35, AM$1)=0, "X", "O"))</f>
        <v>O</v>
      </c>
      <c r="AN35" s="43" t="str">
        <f>IF($A35=AN$1, IF(ROW(AN35)=2, "+", IF(COUNTIF($B35:AM35, "X")=0, "+", "-")), IF(MOD($A35, AN$1)=0, "X", "O"))</f>
        <v>O</v>
      </c>
      <c r="AO35" s="43" t="str">
        <f>IF($A35=AO$1, IF(ROW(AO35)=2, "+", IF(COUNTIF($B35:AN35, "X")=0, "+", "-")), IF(MOD($A35, AO$1)=0, "X", "O"))</f>
        <v>O</v>
      </c>
      <c r="AP35" s="43" t="str">
        <f>IF($A35=AP$1, IF(ROW(AP35)=2, "+", IF(COUNTIF($B35:AO35, "X")=0, "+", "-")), IF(MOD($A35, AP$1)=0, "X", "O"))</f>
        <v>O</v>
      </c>
      <c r="AQ35" s="43" t="str">
        <f>IF($A35=AQ$1, IF(ROW(AQ35)=2, "+", IF(COUNTIF($B35:AP35, "X")=0, "+", "-")), IF(MOD($A35, AQ$1)=0, "X", "O"))</f>
        <v>O</v>
      </c>
      <c r="AR35" s="43" t="str">
        <f>IF($A35=AR$1, IF(ROW(AR35)=2, "+", IF(COUNTIF($B35:AQ35, "X")=0, "+", "-")), IF(MOD($A35, AR$1)=0, "X", "O"))</f>
        <v>O</v>
      </c>
      <c r="AS35" s="43" t="str">
        <f>IF($A35=AS$1, IF(ROW(AS35)=2, "+", IF(COUNTIF($B35:AR35, "X")=0, "+", "-")), IF(MOD($A35, AS$1)=0, "X", "O"))</f>
        <v>O</v>
      </c>
      <c r="AT35" s="43" t="str">
        <f>IF($A35=AT$1, IF(ROW(AT35)=2, "+", IF(COUNTIF($B35:AS35, "X")=0, "+", "-")), IF(MOD($A35, AT$1)=0, "X", "O"))</f>
        <v>O</v>
      </c>
      <c r="AU35" s="43" t="str">
        <f>IF($A35=AU$1, IF(ROW(AU35)=2, "+", IF(COUNTIF($B35:AT35, "X")=0, "+", "-")), IF(MOD($A35, AU$1)=0, "X", "O"))</f>
        <v>O</v>
      </c>
      <c r="AV35" s="43" t="str">
        <f>IF($A35=AV$1, IF(ROW(AV35)=2, "+", IF(COUNTIF($B35:AU35, "X")=0, "+", "-")), IF(MOD($A35, AV$1)=0, "X", "O"))</f>
        <v>O</v>
      </c>
      <c r="AW35" s="43" t="str">
        <f>IF($A35=AW$1, IF(ROW(AW35)=2, "+", IF(COUNTIF($B35:AV35, "X")=0, "+", "-")), IF(MOD($A35, AW$1)=0, "X", "O"))</f>
        <v>O</v>
      </c>
      <c r="AX35" s="43" t="str">
        <f>IF($A35=AX$1, IF(ROW(AX35)=2, "+", IF(COUNTIF($B35:AW35, "X")=0, "+", "-")), IF(MOD($A35, AX$1)=0, "X", "O"))</f>
        <v>O</v>
      </c>
      <c r="AY35" s="43" t="str">
        <f>IF($A35=AY$1, IF(ROW(AY35)=2, "+", IF(COUNTIF($B35:AX35, "X")=0, "+", "-")), IF(MOD($A35, AY$1)=0, "X", "O"))</f>
        <v>O</v>
      </c>
      <c r="AZ35" s="43" t="str">
        <f>IF($A35=AZ$1, IF(ROW(AZ35)=2, "+", IF(COUNTIF($B35:AY35, "X")=0, "+", "-")), IF(MOD($A35, AZ$1)=0, "X", "O"))</f>
        <v>O</v>
      </c>
      <c r="BA35" s="43" t="str">
        <f>IF($A35=BA$1, IF(ROW(BA35)=2, "+", IF(COUNTIF($B35:AZ35, "X")=0, "+", "-")), IF(MOD($A35, BA$1)=0, "X", "O"))</f>
        <v>O</v>
      </c>
      <c r="BB35" s="43" t="str">
        <f>IF($A35=BB$1, IF(ROW(BB35)=2, "+", IF(COUNTIF($B35:BA35, "X")=0, "+", "-")), IF(MOD($A35, BB$1)=0, "X", "O"))</f>
        <v>O</v>
      </c>
      <c r="BC35" s="43" t="str">
        <f>IF($A35=BC$1, IF(ROW(BC35)=2, "+", IF(COUNTIF($B35:BB35, "X")=0, "+", "-")), IF(MOD($A35, BC$1)=0, "X", "O"))</f>
        <v>O</v>
      </c>
      <c r="BD35" s="43" t="str">
        <f>IF($A35=BD$1, IF(ROW(BD35)=2, "+", IF(COUNTIF($B35:BC35, "X")=0, "+", "-")), IF(MOD($A35, BD$1)=0, "X", "O"))</f>
        <v>O</v>
      </c>
      <c r="BE35" s="43" t="str">
        <f>IF($A35=BE$1, IF(ROW(BE35)=2, "+", IF(COUNTIF($B35:BD35, "X")=0, "+", "-")), IF(MOD($A35, BE$1)=0, "X", "O"))</f>
        <v>O</v>
      </c>
      <c r="BF35" s="43" t="str">
        <f>IF($A35=BF$1, IF(ROW(BF35)=2, "+", IF(COUNTIF($B35:BE35, "X")=0, "+", "-")), IF(MOD($A35, BF$1)=0, "X", "O"))</f>
        <v>O</v>
      </c>
      <c r="BG35" s="43" t="str">
        <f>IF($A35=BG$1, IF(ROW(BG35)=2, "+", IF(COUNTIF($B35:BF35, "X")=0, "+", "-")), IF(MOD($A35, BG$1)=0, "X", "O"))</f>
        <v>O</v>
      </c>
      <c r="BH35" s="43" t="str">
        <f>IF($A35=BH$1, IF(ROW(BH35)=2, "+", IF(COUNTIF($B35:BG35, "X")=0, "+", "-")), IF(MOD($A35, BH$1)=0, "X", "O"))</f>
        <v>O</v>
      </c>
    </row>
    <row r="36" spans="1:60" x14ac:dyDescent="0.25">
      <c r="A36">
        <v>36</v>
      </c>
      <c r="B36" s="43" t="str">
        <f>IF($A36=B$1, IF(ROW(B36)=2, "+", IF(COUNTIF(A36:$B36, "X")=0, "+", "-")), IF(MOD($A36, B$1)=0, "X", "O"))</f>
        <v>X</v>
      </c>
      <c r="C36" s="43" t="str">
        <f>IF($A36=C$1, IF(ROW(C36)=2, "+", IF(COUNTIF(B36:$B36, "X")=0, "+", "-")), IF(MOD($A36, C$1)=0, "X", "O"))</f>
        <v>X</v>
      </c>
      <c r="D36" s="43" t="str">
        <f>IF($A36=D$1, IF(ROW(D36)=2, "+", IF(COUNTIF($B36:C36, "X")=0, "+", "-")), IF(MOD($A36, D$1)=0, "X", "O"))</f>
        <v>X</v>
      </c>
      <c r="E36" s="43" t="str">
        <f>IF($A36=E$1, IF(ROW(E36)=2, "+", IF(COUNTIF($B36:D36, "X")=0, "+", "-")), IF(MOD($A36, E$1)=0, "X", "O"))</f>
        <v>O</v>
      </c>
      <c r="F36" s="43" t="str">
        <f>IF($A36=F$1, IF(ROW(F36)=2, "+", IF(COUNTIF($B36:E36, "X")=0, "+", "-")), IF(MOD($A36, F$1)=0, "X", "O"))</f>
        <v>X</v>
      </c>
      <c r="G36" s="43" t="str">
        <f>IF($A36=G$1, IF(ROW(G36)=2, "+", IF(COUNTIF($B36:F36, "X")=0, "+", "-")), IF(MOD($A36, G$1)=0, "X", "O"))</f>
        <v>O</v>
      </c>
      <c r="H36" s="43" t="str">
        <f>IF($A36=H$1, IF(ROW(H36)=2, "+", IF(COUNTIF($B36:G36, "X")=0, "+", "-")), IF(MOD($A36, H$1)=0, "X", "O"))</f>
        <v>O</v>
      </c>
      <c r="I36" s="43" t="str">
        <f>IF($A36=I$1, IF(ROW(I36)=2, "+", IF(COUNTIF($B36:H36, "X")=0, "+", "-")), IF(MOD($A36, I$1)=0, "X", "O"))</f>
        <v>X</v>
      </c>
      <c r="J36" s="43" t="str">
        <f>IF($A36=J$1, IF(ROW(J36)=2, "+", IF(COUNTIF($B36:I36, "X")=0, "+", "-")), IF(MOD($A36, J$1)=0, "X", "O"))</f>
        <v>O</v>
      </c>
      <c r="K36" s="43" t="str">
        <f>IF($A36=K$1, IF(ROW(K36)=2, "+", IF(COUNTIF($B36:J36, "X")=0, "+", "-")), IF(MOD($A36, K$1)=0, "X", "O"))</f>
        <v>O</v>
      </c>
      <c r="L36" s="43" t="str">
        <f>IF($A36=L$1, IF(ROW(L36)=2, "+", IF(COUNTIF($B36:K36, "X")=0, "+", "-")), IF(MOD($A36, L$1)=0, "X", "O"))</f>
        <v>X</v>
      </c>
      <c r="M36" s="43" t="str">
        <f>IF($A36=M$1, IF(ROW(M36)=2, "+", IF(COUNTIF($B36:L36, "X")=0, "+", "-")), IF(MOD($A36, M$1)=0, "X", "O"))</f>
        <v>O</v>
      </c>
      <c r="N36" s="43" t="str">
        <f>IF($A36=N$1, IF(ROW(N36)=2, "+", IF(COUNTIF($B36:M36, "X")=0, "+", "-")), IF(MOD($A36, N$1)=0, "X", "O"))</f>
        <v>O</v>
      </c>
      <c r="O36" s="43" t="str">
        <f>IF($A36=O$1, IF(ROW(O36)=2, "+", IF(COUNTIF($B36:N36, "X")=0, "+", "-")), IF(MOD($A36, O$1)=0, "X", "O"))</f>
        <v>O</v>
      </c>
      <c r="P36" s="43" t="str">
        <f>IF($A36=P$1, IF(ROW(P36)=2, "+", IF(COUNTIF($B36:O36, "X")=0, "+", "-")), IF(MOD($A36, P$1)=0, "X", "O"))</f>
        <v>O</v>
      </c>
      <c r="Q36" s="43" t="str">
        <f>IF($A36=Q$1, IF(ROW(Q36)=2, "+", IF(COUNTIF($B36:P36, "X")=0, "+", "-")), IF(MOD($A36, Q$1)=0, "X", "O"))</f>
        <v>O</v>
      </c>
      <c r="R36" s="43" t="str">
        <f>IF($A36=R$1, IF(ROW(R36)=2, "+", IF(COUNTIF($B36:Q36, "X")=0, "+", "-")), IF(MOD($A36, R$1)=0, "X", "O"))</f>
        <v>X</v>
      </c>
      <c r="S36" s="43" t="str">
        <f>IF($A36=S$1, IF(ROW(S36)=2, "+", IF(COUNTIF($B36:R36, "X")=0, "+", "-")), IF(MOD($A36, S$1)=0, "X", "O"))</f>
        <v>O</v>
      </c>
      <c r="T36" s="43" t="str">
        <f>IF($A36=T$1, IF(ROW(T36)=2, "+", IF(COUNTIF($B36:S36, "X")=0, "+", "-")), IF(MOD($A36, T$1)=0, "X", "O"))</f>
        <v>O</v>
      </c>
      <c r="U36" s="43" t="str">
        <f>IF($A36=U$1, IF(ROW(U36)=2, "+", IF(COUNTIF($B36:T36, "X")=0, "+", "-")), IF(MOD($A36, U$1)=0, "X", "O"))</f>
        <v>O</v>
      </c>
      <c r="V36" s="43" t="str">
        <f>IF($A36=V$1, IF(ROW(V36)=2, "+", IF(COUNTIF($B36:U36, "X")=0, "+", "-")), IF(MOD($A36, V$1)=0, "X", "O"))</f>
        <v>O</v>
      </c>
      <c r="W36" s="43" t="str">
        <f>IF($A36=W$1, IF(ROW(W36)=2, "+", IF(COUNTIF($B36:V36, "X")=0, "+", "-")), IF(MOD($A36, W$1)=0, "X", "O"))</f>
        <v>O</v>
      </c>
      <c r="X36" s="43" t="str">
        <f>IF($A36=X$1, IF(ROW(X36)=2, "+", IF(COUNTIF($B36:W36, "X")=0, "+", "-")), IF(MOD($A36, X$1)=0, "X", "O"))</f>
        <v>O</v>
      </c>
      <c r="Y36" s="43" t="str">
        <f>IF($A36=Y$1, IF(ROW(Y36)=2, "+", IF(COUNTIF($B36:X36, "X")=0, "+", "-")), IF(MOD($A36, Y$1)=0, "X", "O"))</f>
        <v>O</v>
      </c>
      <c r="Z36" s="43" t="str">
        <f>IF($A36=Z$1, IF(ROW(Z36)=2, "+", IF(COUNTIF($B36:Y36, "X")=0, "+", "-")), IF(MOD($A36, Z$1)=0, "X", "O"))</f>
        <v>O</v>
      </c>
      <c r="AA36" s="43" t="str">
        <f>IF($A36=AA$1, IF(ROW(AA36)=2, "+", IF(COUNTIF($B36:Z36, "X")=0, "+", "-")), IF(MOD($A36, AA$1)=0, "X", "O"))</f>
        <v>O</v>
      </c>
      <c r="AB36" s="43" t="str">
        <f>IF($A36=AB$1, IF(ROW(AB36)=2, "+", IF(COUNTIF($B36:AA36, "X")=0, "+", "-")), IF(MOD($A36, AB$1)=0, "X", "O"))</f>
        <v>O</v>
      </c>
      <c r="AC36" s="43" t="str">
        <f>IF($A36=AC$1, IF(ROW(AC36)=2, "+", IF(COUNTIF($B36:AB36, "X")=0, "+", "-")), IF(MOD($A36, AC$1)=0, "X", "O"))</f>
        <v>O</v>
      </c>
      <c r="AD36" s="43" t="str">
        <f>IF($A36=AD$1, IF(ROW(AD36)=2, "+", IF(COUNTIF($B36:AC36, "X")=0, "+", "-")), IF(MOD($A36, AD$1)=0, "X", "O"))</f>
        <v>O</v>
      </c>
      <c r="AE36" s="43" t="str">
        <f>IF($A36=AE$1, IF(ROW(AE36)=2, "+", IF(COUNTIF($B36:AD36, "X")=0, "+", "-")), IF(MOD($A36, AE$1)=0, "X", "O"))</f>
        <v>O</v>
      </c>
      <c r="AF36" s="43" t="str">
        <f>IF($A36=AF$1, IF(ROW(AF36)=2, "+", IF(COUNTIF($B36:AE36, "X")=0, "+", "-")), IF(MOD($A36, AF$1)=0, "X", "O"))</f>
        <v>O</v>
      </c>
      <c r="AG36" s="43" t="str">
        <f>IF($A36=AG$1, IF(ROW(AG36)=2, "+", IF(COUNTIF($B36:AF36, "X")=0, "+", "-")), IF(MOD($A36, AG$1)=0, "X", "O"))</f>
        <v>O</v>
      </c>
      <c r="AH36" s="43" t="str">
        <f>IF($A36=AH$1, IF(ROW(AH36)=2, "+", IF(COUNTIF($B36:AG36, "X")=0, "+", "-")), IF(MOD($A36, AH$1)=0, "X", "O"))</f>
        <v>O</v>
      </c>
      <c r="AI36" s="43" t="str">
        <f>IF($A36=AI$1, IF(ROW(AI36)=2, "+", IF(COUNTIF($B36:AH36, "X")=0, "+", "-")), IF(MOD($A36, AI$1)=0, "X", "O"))</f>
        <v>O</v>
      </c>
      <c r="AJ36" s="43" t="str">
        <f>IF($A36=AJ$1, IF(ROW(AJ36)=2, "+", IF(COUNTIF($B36:AI36, "X")=0, "+", "-")), IF(MOD($A36, AJ$1)=0, "X", "O"))</f>
        <v>-</v>
      </c>
      <c r="AK36" s="43" t="str">
        <f>IF($A36=AK$1, IF(ROW(AK36)=2, "+", IF(COUNTIF($B36:AJ36, "X")=0, "+", "-")), IF(MOD($A36, AK$1)=0, "X", "O"))</f>
        <v>O</v>
      </c>
      <c r="AL36" s="43" t="str">
        <f>IF($A36=AL$1, IF(ROW(AL36)=2, "+", IF(COUNTIF($B36:AK36, "X")=0, "+", "-")), IF(MOD($A36, AL$1)=0, "X", "O"))</f>
        <v>O</v>
      </c>
      <c r="AM36" s="43" t="str">
        <f>IF($A36=AM$1, IF(ROW(AM36)=2, "+", IF(COUNTIF($B36:AL36, "X")=0, "+", "-")), IF(MOD($A36, AM$1)=0, "X", "O"))</f>
        <v>O</v>
      </c>
      <c r="AN36" s="43" t="str">
        <f>IF($A36=AN$1, IF(ROW(AN36)=2, "+", IF(COUNTIF($B36:AM36, "X")=0, "+", "-")), IF(MOD($A36, AN$1)=0, "X", "O"))</f>
        <v>O</v>
      </c>
      <c r="AO36" s="43" t="str">
        <f>IF($A36=AO$1, IF(ROW(AO36)=2, "+", IF(COUNTIF($B36:AN36, "X")=0, "+", "-")), IF(MOD($A36, AO$1)=0, "X", "O"))</f>
        <v>O</v>
      </c>
      <c r="AP36" s="43" t="str">
        <f>IF($A36=AP$1, IF(ROW(AP36)=2, "+", IF(COUNTIF($B36:AO36, "X")=0, "+", "-")), IF(MOD($A36, AP$1)=0, "X", "O"))</f>
        <v>O</v>
      </c>
      <c r="AQ36" s="43" t="str">
        <f>IF($A36=AQ$1, IF(ROW(AQ36)=2, "+", IF(COUNTIF($B36:AP36, "X")=0, "+", "-")), IF(MOD($A36, AQ$1)=0, "X", "O"))</f>
        <v>O</v>
      </c>
      <c r="AR36" s="43" t="str">
        <f>IF($A36=AR$1, IF(ROW(AR36)=2, "+", IF(COUNTIF($B36:AQ36, "X")=0, "+", "-")), IF(MOD($A36, AR$1)=0, "X", "O"))</f>
        <v>O</v>
      </c>
      <c r="AS36" s="43" t="str">
        <f>IF($A36=AS$1, IF(ROW(AS36)=2, "+", IF(COUNTIF($B36:AR36, "X")=0, "+", "-")), IF(MOD($A36, AS$1)=0, "X", "O"))</f>
        <v>O</v>
      </c>
      <c r="AT36" s="43" t="str">
        <f>IF($A36=AT$1, IF(ROW(AT36)=2, "+", IF(COUNTIF($B36:AS36, "X")=0, "+", "-")), IF(MOD($A36, AT$1)=0, "X", "O"))</f>
        <v>O</v>
      </c>
      <c r="AU36" s="43" t="str">
        <f>IF($A36=AU$1, IF(ROW(AU36)=2, "+", IF(COUNTIF($B36:AT36, "X")=0, "+", "-")), IF(MOD($A36, AU$1)=0, "X", "O"))</f>
        <v>O</v>
      </c>
      <c r="AV36" s="43" t="str">
        <f>IF($A36=AV$1, IF(ROW(AV36)=2, "+", IF(COUNTIF($B36:AU36, "X")=0, "+", "-")), IF(MOD($A36, AV$1)=0, "X", "O"))</f>
        <v>O</v>
      </c>
      <c r="AW36" s="43" t="str">
        <f>IF($A36=AW$1, IF(ROW(AW36)=2, "+", IF(COUNTIF($B36:AV36, "X")=0, "+", "-")), IF(MOD($A36, AW$1)=0, "X", "O"))</f>
        <v>O</v>
      </c>
      <c r="AX36" s="43" t="str">
        <f>IF($A36=AX$1, IF(ROW(AX36)=2, "+", IF(COUNTIF($B36:AW36, "X")=0, "+", "-")), IF(MOD($A36, AX$1)=0, "X", "O"))</f>
        <v>O</v>
      </c>
      <c r="AY36" s="43" t="str">
        <f>IF($A36=AY$1, IF(ROW(AY36)=2, "+", IF(COUNTIF($B36:AX36, "X")=0, "+", "-")), IF(MOD($A36, AY$1)=0, "X", "O"))</f>
        <v>O</v>
      </c>
      <c r="AZ36" s="43" t="str">
        <f>IF($A36=AZ$1, IF(ROW(AZ36)=2, "+", IF(COUNTIF($B36:AY36, "X")=0, "+", "-")), IF(MOD($A36, AZ$1)=0, "X", "O"))</f>
        <v>O</v>
      </c>
      <c r="BA36" s="43" t="str">
        <f>IF($A36=BA$1, IF(ROW(BA36)=2, "+", IF(COUNTIF($B36:AZ36, "X")=0, "+", "-")), IF(MOD($A36, BA$1)=0, "X", "O"))</f>
        <v>O</v>
      </c>
      <c r="BB36" s="43" t="str">
        <f>IF($A36=BB$1, IF(ROW(BB36)=2, "+", IF(COUNTIF($B36:BA36, "X")=0, "+", "-")), IF(MOD($A36, BB$1)=0, "X", "O"))</f>
        <v>O</v>
      </c>
      <c r="BC36" s="43" t="str">
        <f>IF($A36=BC$1, IF(ROW(BC36)=2, "+", IF(COUNTIF($B36:BB36, "X")=0, "+", "-")), IF(MOD($A36, BC$1)=0, "X", "O"))</f>
        <v>O</v>
      </c>
      <c r="BD36" s="43" t="str">
        <f>IF($A36=BD$1, IF(ROW(BD36)=2, "+", IF(COUNTIF($B36:BC36, "X")=0, "+", "-")), IF(MOD($A36, BD$1)=0, "X", "O"))</f>
        <v>O</v>
      </c>
      <c r="BE36" s="43" t="str">
        <f>IF($A36=BE$1, IF(ROW(BE36)=2, "+", IF(COUNTIF($B36:BD36, "X")=0, "+", "-")), IF(MOD($A36, BE$1)=0, "X", "O"))</f>
        <v>O</v>
      </c>
      <c r="BF36" s="43" t="str">
        <f>IF($A36=BF$1, IF(ROW(BF36)=2, "+", IF(COUNTIF($B36:BE36, "X")=0, "+", "-")), IF(MOD($A36, BF$1)=0, "X", "O"))</f>
        <v>O</v>
      </c>
      <c r="BG36" s="43" t="str">
        <f>IF($A36=BG$1, IF(ROW(BG36)=2, "+", IF(COUNTIF($B36:BF36, "X")=0, "+", "-")), IF(MOD($A36, BG$1)=0, "X", "O"))</f>
        <v>O</v>
      </c>
      <c r="BH36" s="43" t="str">
        <f>IF($A36=BH$1, IF(ROW(BH36)=2, "+", IF(COUNTIF($B36:BG36, "X")=0, "+", "-")), IF(MOD($A36, BH$1)=0, "X", "O"))</f>
        <v>O</v>
      </c>
    </row>
    <row r="37" spans="1:60" x14ac:dyDescent="0.25">
      <c r="A37">
        <v>37</v>
      </c>
      <c r="B37" s="43" t="str">
        <f>IF($A37=B$1, IF(ROW(B37)=2, "+", IF(COUNTIF(A37:$B37, "X")=0, "+", "-")), IF(MOD($A37, B$1)=0, "X", "O"))</f>
        <v>O</v>
      </c>
      <c r="C37" s="43" t="str">
        <f>IF($A37=C$1, IF(ROW(C37)=2, "+", IF(COUNTIF(B37:$B37, "X")=0, "+", "-")), IF(MOD($A37, C$1)=0, "X", "O"))</f>
        <v>O</v>
      </c>
      <c r="D37" s="43" t="str">
        <f>IF($A37=D$1, IF(ROW(D37)=2, "+", IF(COUNTIF($B37:C37, "X")=0, "+", "-")), IF(MOD($A37, D$1)=0, "X", "O"))</f>
        <v>O</v>
      </c>
      <c r="E37" s="43" t="str">
        <f>IF($A37=E$1, IF(ROW(E37)=2, "+", IF(COUNTIF($B37:D37, "X")=0, "+", "-")), IF(MOD($A37, E$1)=0, "X", "O"))</f>
        <v>O</v>
      </c>
      <c r="F37" s="43" t="str">
        <f>IF($A37=F$1, IF(ROW(F37)=2, "+", IF(COUNTIF($B37:E37, "X")=0, "+", "-")), IF(MOD($A37, F$1)=0, "X", "O"))</f>
        <v>O</v>
      </c>
      <c r="G37" s="43" t="str">
        <f>IF($A37=G$1, IF(ROW(G37)=2, "+", IF(COUNTIF($B37:F37, "X")=0, "+", "-")), IF(MOD($A37, G$1)=0, "X", "O"))</f>
        <v>O</v>
      </c>
      <c r="H37" s="43" t="str">
        <f>IF($A37=H$1, IF(ROW(H37)=2, "+", IF(COUNTIF($B37:G37, "X")=0, "+", "-")), IF(MOD($A37, H$1)=0, "X", "O"))</f>
        <v>O</v>
      </c>
      <c r="I37" s="43" t="str">
        <f>IF($A37=I$1, IF(ROW(I37)=2, "+", IF(COUNTIF($B37:H37, "X")=0, "+", "-")), IF(MOD($A37, I$1)=0, "X", "O"))</f>
        <v>O</v>
      </c>
      <c r="J37" s="43" t="str">
        <f>IF($A37=J$1, IF(ROW(J37)=2, "+", IF(COUNTIF($B37:I37, "X")=0, "+", "-")), IF(MOD($A37, J$1)=0, "X", "O"))</f>
        <v>O</v>
      </c>
      <c r="K37" s="43" t="str">
        <f>IF($A37=K$1, IF(ROW(K37)=2, "+", IF(COUNTIF($B37:J37, "X")=0, "+", "-")), IF(MOD($A37, K$1)=0, "X", "O"))</f>
        <v>O</v>
      </c>
      <c r="L37" s="43" t="str">
        <f>IF($A37=L$1, IF(ROW(L37)=2, "+", IF(COUNTIF($B37:K37, "X")=0, "+", "-")), IF(MOD($A37, L$1)=0, "X", "O"))</f>
        <v>O</v>
      </c>
      <c r="M37" s="43" t="str">
        <f>IF($A37=M$1, IF(ROW(M37)=2, "+", IF(COUNTIF($B37:L37, "X")=0, "+", "-")), IF(MOD($A37, M$1)=0, "X", "O"))</f>
        <v>O</v>
      </c>
      <c r="N37" s="43" t="str">
        <f>IF($A37=N$1, IF(ROW(N37)=2, "+", IF(COUNTIF($B37:M37, "X")=0, "+", "-")), IF(MOD($A37, N$1)=0, "X", "O"))</f>
        <v>O</v>
      </c>
      <c r="O37" s="43" t="str">
        <f>IF($A37=O$1, IF(ROW(O37)=2, "+", IF(COUNTIF($B37:N37, "X")=0, "+", "-")), IF(MOD($A37, O$1)=0, "X", "O"))</f>
        <v>O</v>
      </c>
      <c r="P37" s="43" t="str">
        <f>IF($A37=P$1, IF(ROW(P37)=2, "+", IF(COUNTIF($B37:O37, "X")=0, "+", "-")), IF(MOD($A37, P$1)=0, "X", "O"))</f>
        <v>O</v>
      </c>
      <c r="Q37" s="43" t="str">
        <f>IF($A37=Q$1, IF(ROW(Q37)=2, "+", IF(COUNTIF($B37:P37, "X")=0, "+", "-")), IF(MOD($A37, Q$1)=0, "X", "O"))</f>
        <v>O</v>
      </c>
      <c r="R37" s="43" t="str">
        <f>IF($A37=R$1, IF(ROW(R37)=2, "+", IF(COUNTIF($B37:Q37, "X")=0, "+", "-")), IF(MOD($A37, R$1)=0, "X", "O"))</f>
        <v>O</v>
      </c>
      <c r="S37" s="43" t="str">
        <f>IF($A37=S$1, IF(ROW(S37)=2, "+", IF(COUNTIF($B37:R37, "X")=0, "+", "-")), IF(MOD($A37, S$1)=0, "X", "O"))</f>
        <v>O</v>
      </c>
      <c r="T37" s="43" t="str">
        <f>IF($A37=T$1, IF(ROW(T37)=2, "+", IF(COUNTIF($B37:S37, "X")=0, "+", "-")), IF(MOD($A37, T$1)=0, "X", "O"))</f>
        <v>O</v>
      </c>
      <c r="U37" s="43" t="str">
        <f>IF($A37=U$1, IF(ROW(U37)=2, "+", IF(COUNTIF($B37:T37, "X")=0, "+", "-")), IF(MOD($A37, U$1)=0, "X", "O"))</f>
        <v>O</v>
      </c>
      <c r="V37" s="43" t="str">
        <f>IF($A37=V$1, IF(ROW(V37)=2, "+", IF(COUNTIF($B37:U37, "X")=0, "+", "-")), IF(MOD($A37, V$1)=0, "X", "O"))</f>
        <v>O</v>
      </c>
      <c r="W37" s="43" t="str">
        <f>IF($A37=W$1, IF(ROW(W37)=2, "+", IF(COUNTIF($B37:V37, "X")=0, "+", "-")), IF(MOD($A37, W$1)=0, "X", "O"))</f>
        <v>O</v>
      </c>
      <c r="X37" s="43" t="str">
        <f>IF($A37=X$1, IF(ROW(X37)=2, "+", IF(COUNTIF($B37:W37, "X")=0, "+", "-")), IF(MOD($A37, X$1)=0, "X", "O"))</f>
        <v>O</v>
      </c>
      <c r="Y37" s="43" t="str">
        <f>IF($A37=Y$1, IF(ROW(Y37)=2, "+", IF(COUNTIF($B37:X37, "X")=0, "+", "-")), IF(MOD($A37, Y$1)=0, "X", "O"))</f>
        <v>O</v>
      </c>
      <c r="Z37" s="43" t="str">
        <f>IF($A37=Z$1, IF(ROW(Z37)=2, "+", IF(COUNTIF($B37:Y37, "X")=0, "+", "-")), IF(MOD($A37, Z$1)=0, "X", "O"))</f>
        <v>O</v>
      </c>
      <c r="AA37" s="43" t="str">
        <f>IF($A37=AA$1, IF(ROW(AA37)=2, "+", IF(COUNTIF($B37:Z37, "X")=0, "+", "-")), IF(MOD($A37, AA$1)=0, "X", "O"))</f>
        <v>O</v>
      </c>
      <c r="AB37" s="43" t="str">
        <f>IF($A37=AB$1, IF(ROW(AB37)=2, "+", IF(COUNTIF($B37:AA37, "X")=0, "+", "-")), IF(MOD($A37, AB$1)=0, "X", "O"))</f>
        <v>O</v>
      </c>
      <c r="AC37" s="43" t="str">
        <f>IF($A37=AC$1, IF(ROW(AC37)=2, "+", IF(COUNTIF($B37:AB37, "X")=0, "+", "-")), IF(MOD($A37, AC$1)=0, "X", "O"))</f>
        <v>O</v>
      </c>
      <c r="AD37" s="43" t="str">
        <f>IF($A37=AD$1, IF(ROW(AD37)=2, "+", IF(COUNTIF($B37:AC37, "X")=0, "+", "-")), IF(MOD($A37, AD$1)=0, "X", "O"))</f>
        <v>O</v>
      </c>
      <c r="AE37" s="43" t="str">
        <f>IF($A37=AE$1, IF(ROW(AE37)=2, "+", IF(COUNTIF($B37:AD37, "X")=0, "+", "-")), IF(MOD($A37, AE$1)=0, "X", "O"))</f>
        <v>O</v>
      </c>
      <c r="AF37" s="43" t="str">
        <f>IF($A37=AF$1, IF(ROW(AF37)=2, "+", IF(COUNTIF($B37:AE37, "X")=0, "+", "-")), IF(MOD($A37, AF$1)=0, "X", "O"))</f>
        <v>O</v>
      </c>
      <c r="AG37" s="43" t="str">
        <f>IF($A37=AG$1, IF(ROW(AG37)=2, "+", IF(COUNTIF($B37:AF37, "X")=0, "+", "-")), IF(MOD($A37, AG$1)=0, "X", "O"))</f>
        <v>O</v>
      </c>
      <c r="AH37" s="43" t="str">
        <f>IF($A37=AH$1, IF(ROW(AH37)=2, "+", IF(COUNTIF($B37:AG37, "X")=0, "+", "-")), IF(MOD($A37, AH$1)=0, "X", "O"))</f>
        <v>O</v>
      </c>
      <c r="AI37" s="43" t="str">
        <f>IF($A37=AI$1, IF(ROW(AI37)=2, "+", IF(COUNTIF($B37:AH37, "X")=0, "+", "-")), IF(MOD($A37, AI$1)=0, "X", "O"))</f>
        <v>O</v>
      </c>
      <c r="AJ37" s="43" t="str">
        <f>IF($A37=AJ$1, IF(ROW(AJ37)=2, "+", IF(COUNTIF($B37:AI37, "X")=0, "+", "-")), IF(MOD($A37, AJ$1)=0, "X", "O"))</f>
        <v>O</v>
      </c>
      <c r="AK37" s="43" t="str">
        <f>IF($A37=AK$1, IF(ROW(AK37)=2, "+", IF(COUNTIF($B37:AJ37, "X")=0, "+", "-")), IF(MOD($A37, AK$1)=0, "X", "O"))</f>
        <v>+</v>
      </c>
      <c r="AL37" s="43" t="str">
        <f>IF($A37=AL$1, IF(ROW(AL37)=2, "+", IF(COUNTIF($B37:AK37, "X")=0, "+", "-")), IF(MOD($A37, AL$1)=0, "X", "O"))</f>
        <v>O</v>
      </c>
      <c r="AM37" s="43" t="str">
        <f>IF($A37=AM$1, IF(ROW(AM37)=2, "+", IF(COUNTIF($B37:AL37, "X")=0, "+", "-")), IF(MOD($A37, AM$1)=0, "X", "O"))</f>
        <v>O</v>
      </c>
      <c r="AN37" s="43" t="str">
        <f>IF($A37=AN$1, IF(ROW(AN37)=2, "+", IF(COUNTIF($B37:AM37, "X")=0, "+", "-")), IF(MOD($A37, AN$1)=0, "X", "O"))</f>
        <v>O</v>
      </c>
      <c r="AO37" s="43" t="str">
        <f>IF($A37=AO$1, IF(ROW(AO37)=2, "+", IF(COUNTIF($B37:AN37, "X")=0, "+", "-")), IF(MOD($A37, AO$1)=0, "X", "O"))</f>
        <v>O</v>
      </c>
      <c r="AP37" s="43" t="str">
        <f>IF($A37=AP$1, IF(ROW(AP37)=2, "+", IF(COUNTIF($B37:AO37, "X")=0, "+", "-")), IF(MOD($A37, AP$1)=0, "X", "O"))</f>
        <v>O</v>
      </c>
      <c r="AQ37" s="43" t="str">
        <f>IF($A37=AQ$1, IF(ROW(AQ37)=2, "+", IF(COUNTIF($B37:AP37, "X")=0, "+", "-")), IF(MOD($A37, AQ$1)=0, "X", "O"))</f>
        <v>O</v>
      </c>
      <c r="AR37" s="43" t="str">
        <f>IF($A37=AR$1, IF(ROW(AR37)=2, "+", IF(COUNTIF($B37:AQ37, "X")=0, "+", "-")), IF(MOD($A37, AR$1)=0, "X", "O"))</f>
        <v>O</v>
      </c>
      <c r="AS37" s="43" t="str">
        <f>IF($A37=AS$1, IF(ROW(AS37)=2, "+", IF(COUNTIF($B37:AR37, "X")=0, "+", "-")), IF(MOD($A37, AS$1)=0, "X", "O"))</f>
        <v>O</v>
      </c>
      <c r="AT37" s="43" t="str">
        <f>IF($A37=AT$1, IF(ROW(AT37)=2, "+", IF(COUNTIF($B37:AS37, "X")=0, "+", "-")), IF(MOD($A37, AT$1)=0, "X", "O"))</f>
        <v>O</v>
      </c>
      <c r="AU37" s="43" t="str">
        <f>IF($A37=AU$1, IF(ROW(AU37)=2, "+", IF(COUNTIF($B37:AT37, "X")=0, "+", "-")), IF(MOD($A37, AU$1)=0, "X", "O"))</f>
        <v>O</v>
      </c>
      <c r="AV37" s="43" t="str">
        <f>IF($A37=AV$1, IF(ROW(AV37)=2, "+", IF(COUNTIF($B37:AU37, "X")=0, "+", "-")), IF(MOD($A37, AV$1)=0, "X", "O"))</f>
        <v>O</v>
      </c>
      <c r="AW37" s="43" t="str">
        <f>IF($A37=AW$1, IF(ROW(AW37)=2, "+", IF(COUNTIF($B37:AV37, "X")=0, "+", "-")), IF(MOD($A37, AW$1)=0, "X", "O"))</f>
        <v>O</v>
      </c>
      <c r="AX37" s="43" t="str">
        <f>IF($A37=AX$1, IF(ROW(AX37)=2, "+", IF(COUNTIF($B37:AW37, "X")=0, "+", "-")), IF(MOD($A37, AX$1)=0, "X", "O"))</f>
        <v>O</v>
      </c>
      <c r="AY37" s="43" t="str">
        <f>IF($A37=AY$1, IF(ROW(AY37)=2, "+", IF(COUNTIF($B37:AX37, "X")=0, "+", "-")), IF(MOD($A37, AY$1)=0, "X", "O"))</f>
        <v>O</v>
      </c>
      <c r="AZ37" s="43" t="str">
        <f>IF($A37=AZ$1, IF(ROW(AZ37)=2, "+", IF(COUNTIF($B37:AY37, "X")=0, "+", "-")), IF(MOD($A37, AZ$1)=0, "X", "O"))</f>
        <v>O</v>
      </c>
      <c r="BA37" s="43" t="str">
        <f>IF($A37=BA$1, IF(ROW(BA37)=2, "+", IF(COUNTIF($B37:AZ37, "X")=0, "+", "-")), IF(MOD($A37, BA$1)=0, "X", "O"))</f>
        <v>O</v>
      </c>
      <c r="BB37" s="43" t="str">
        <f>IF($A37=BB$1, IF(ROW(BB37)=2, "+", IF(COUNTIF($B37:BA37, "X")=0, "+", "-")), IF(MOD($A37, BB$1)=0, "X", "O"))</f>
        <v>O</v>
      </c>
      <c r="BC37" s="43" t="str">
        <f>IF($A37=BC$1, IF(ROW(BC37)=2, "+", IF(COUNTIF($B37:BB37, "X")=0, "+", "-")), IF(MOD($A37, BC$1)=0, "X", "O"))</f>
        <v>O</v>
      </c>
      <c r="BD37" s="43" t="str">
        <f>IF($A37=BD$1, IF(ROW(BD37)=2, "+", IF(COUNTIF($B37:BC37, "X")=0, "+", "-")), IF(MOD($A37, BD$1)=0, "X", "O"))</f>
        <v>O</v>
      </c>
      <c r="BE37" s="43" t="str">
        <f>IF($A37=BE$1, IF(ROW(BE37)=2, "+", IF(COUNTIF($B37:BD37, "X")=0, "+", "-")), IF(MOD($A37, BE$1)=0, "X", "O"))</f>
        <v>O</v>
      </c>
      <c r="BF37" s="43" t="str">
        <f>IF($A37=BF$1, IF(ROW(BF37)=2, "+", IF(COUNTIF($B37:BE37, "X")=0, "+", "-")), IF(MOD($A37, BF$1)=0, "X", "O"))</f>
        <v>O</v>
      </c>
      <c r="BG37" s="43" t="str">
        <f>IF($A37=BG$1, IF(ROW(BG37)=2, "+", IF(COUNTIF($B37:BF37, "X")=0, "+", "-")), IF(MOD($A37, BG$1)=0, "X", "O"))</f>
        <v>O</v>
      </c>
      <c r="BH37" s="43" t="str">
        <f>IF($A37=BH$1, IF(ROW(BH37)=2, "+", IF(COUNTIF($B37:BG37, "X")=0, "+", "-")), IF(MOD($A37, BH$1)=0, "X", "O"))</f>
        <v>O</v>
      </c>
    </row>
    <row r="38" spans="1:60" x14ac:dyDescent="0.25">
      <c r="A38">
        <v>38</v>
      </c>
      <c r="B38" s="43" t="str">
        <f>IF($A38=B$1, IF(ROW(B38)=2, "+", IF(COUNTIF(A38:$B38, "X")=0, "+", "-")), IF(MOD($A38, B$1)=0, "X", "O"))</f>
        <v>X</v>
      </c>
      <c r="C38" s="43" t="str">
        <f>IF($A38=C$1, IF(ROW(C38)=2, "+", IF(COUNTIF(B38:$B38, "X")=0, "+", "-")), IF(MOD($A38, C$1)=0, "X", "O"))</f>
        <v>O</v>
      </c>
      <c r="D38" s="43" t="str">
        <f>IF($A38=D$1, IF(ROW(D38)=2, "+", IF(COUNTIF($B38:C38, "X")=0, "+", "-")), IF(MOD($A38, D$1)=0, "X", "O"))</f>
        <v>O</v>
      </c>
      <c r="E38" s="43" t="str">
        <f>IF($A38=E$1, IF(ROW(E38)=2, "+", IF(COUNTIF($B38:D38, "X")=0, "+", "-")), IF(MOD($A38, E$1)=0, "X", "O"))</f>
        <v>O</v>
      </c>
      <c r="F38" s="43" t="str">
        <f>IF($A38=F$1, IF(ROW(F38)=2, "+", IF(COUNTIF($B38:E38, "X")=0, "+", "-")), IF(MOD($A38, F$1)=0, "X", "O"))</f>
        <v>O</v>
      </c>
      <c r="G38" s="43" t="str">
        <f>IF($A38=G$1, IF(ROW(G38)=2, "+", IF(COUNTIF($B38:F38, "X")=0, "+", "-")), IF(MOD($A38, G$1)=0, "X", "O"))</f>
        <v>O</v>
      </c>
      <c r="H38" s="43" t="str">
        <f>IF($A38=H$1, IF(ROW(H38)=2, "+", IF(COUNTIF($B38:G38, "X")=0, "+", "-")), IF(MOD($A38, H$1)=0, "X", "O"))</f>
        <v>O</v>
      </c>
      <c r="I38" s="43" t="str">
        <f>IF($A38=I$1, IF(ROW(I38)=2, "+", IF(COUNTIF($B38:H38, "X")=0, "+", "-")), IF(MOD($A38, I$1)=0, "X", "O"))</f>
        <v>O</v>
      </c>
      <c r="J38" s="43" t="str">
        <f>IF($A38=J$1, IF(ROW(J38)=2, "+", IF(COUNTIF($B38:I38, "X")=0, "+", "-")), IF(MOD($A38, J$1)=0, "X", "O"))</f>
        <v>O</v>
      </c>
      <c r="K38" s="43" t="str">
        <f>IF($A38=K$1, IF(ROW(K38)=2, "+", IF(COUNTIF($B38:J38, "X")=0, "+", "-")), IF(MOD($A38, K$1)=0, "X", "O"))</f>
        <v>O</v>
      </c>
      <c r="L38" s="43" t="str">
        <f>IF($A38=L$1, IF(ROW(L38)=2, "+", IF(COUNTIF($B38:K38, "X")=0, "+", "-")), IF(MOD($A38, L$1)=0, "X", "O"))</f>
        <v>O</v>
      </c>
      <c r="M38" s="43" t="str">
        <f>IF($A38=M$1, IF(ROW(M38)=2, "+", IF(COUNTIF($B38:L38, "X")=0, "+", "-")), IF(MOD($A38, M$1)=0, "X", "O"))</f>
        <v>O</v>
      </c>
      <c r="N38" s="43" t="str">
        <f>IF($A38=N$1, IF(ROW(N38)=2, "+", IF(COUNTIF($B38:M38, "X")=0, "+", "-")), IF(MOD($A38, N$1)=0, "X", "O"))</f>
        <v>O</v>
      </c>
      <c r="O38" s="43" t="str">
        <f>IF($A38=O$1, IF(ROW(O38)=2, "+", IF(COUNTIF($B38:N38, "X")=0, "+", "-")), IF(MOD($A38, O$1)=0, "X", "O"))</f>
        <v>O</v>
      </c>
      <c r="P38" s="43" t="str">
        <f>IF($A38=P$1, IF(ROW(P38)=2, "+", IF(COUNTIF($B38:O38, "X")=0, "+", "-")), IF(MOD($A38, P$1)=0, "X", "O"))</f>
        <v>O</v>
      </c>
      <c r="Q38" s="43" t="str">
        <f>IF($A38=Q$1, IF(ROW(Q38)=2, "+", IF(COUNTIF($B38:P38, "X")=0, "+", "-")), IF(MOD($A38, Q$1)=0, "X", "O"))</f>
        <v>O</v>
      </c>
      <c r="R38" s="43" t="str">
        <f>IF($A38=R$1, IF(ROW(R38)=2, "+", IF(COUNTIF($B38:Q38, "X")=0, "+", "-")), IF(MOD($A38, R$1)=0, "X", "O"))</f>
        <v>O</v>
      </c>
      <c r="S38" s="43" t="str">
        <f>IF($A38=S$1, IF(ROW(S38)=2, "+", IF(COUNTIF($B38:R38, "X")=0, "+", "-")), IF(MOD($A38, S$1)=0, "X", "O"))</f>
        <v>X</v>
      </c>
      <c r="T38" s="43" t="str">
        <f>IF($A38=T$1, IF(ROW(T38)=2, "+", IF(COUNTIF($B38:S38, "X")=0, "+", "-")), IF(MOD($A38, T$1)=0, "X", "O"))</f>
        <v>O</v>
      </c>
      <c r="U38" s="43" t="str">
        <f>IF($A38=U$1, IF(ROW(U38)=2, "+", IF(COUNTIF($B38:T38, "X")=0, "+", "-")), IF(MOD($A38, U$1)=0, "X", "O"))</f>
        <v>O</v>
      </c>
      <c r="V38" s="43" t="str">
        <f>IF($A38=V$1, IF(ROW(V38)=2, "+", IF(COUNTIF($B38:U38, "X")=0, "+", "-")), IF(MOD($A38, V$1)=0, "X", "O"))</f>
        <v>O</v>
      </c>
      <c r="W38" s="43" t="str">
        <f>IF($A38=W$1, IF(ROW(W38)=2, "+", IF(COUNTIF($B38:V38, "X")=0, "+", "-")), IF(MOD($A38, W$1)=0, "X", "O"))</f>
        <v>O</v>
      </c>
      <c r="X38" s="43" t="str">
        <f>IF($A38=X$1, IF(ROW(X38)=2, "+", IF(COUNTIF($B38:W38, "X")=0, "+", "-")), IF(MOD($A38, X$1)=0, "X", "O"))</f>
        <v>O</v>
      </c>
      <c r="Y38" s="43" t="str">
        <f>IF($A38=Y$1, IF(ROW(Y38)=2, "+", IF(COUNTIF($B38:X38, "X")=0, "+", "-")), IF(MOD($A38, Y$1)=0, "X", "O"))</f>
        <v>O</v>
      </c>
      <c r="Z38" s="43" t="str">
        <f>IF($A38=Z$1, IF(ROW(Z38)=2, "+", IF(COUNTIF($B38:Y38, "X")=0, "+", "-")), IF(MOD($A38, Z$1)=0, "X", "O"))</f>
        <v>O</v>
      </c>
      <c r="AA38" s="43" t="str">
        <f>IF($A38=AA$1, IF(ROW(AA38)=2, "+", IF(COUNTIF($B38:Z38, "X")=0, "+", "-")), IF(MOD($A38, AA$1)=0, "X", "O"))</f>
        <v>O</v>
      </c>
      <c r="AB38" s="43" t="str">
        <f>IF($A38=AB$1, IF(ROW(AB38)=2, "+", IF(COUNTIF($B38:AA38, "X")=0, "+", "-")), IF(MOD($A38, AB$1)=0, "X", "O"))</f>
        <v>O</v>
      </c>
      <c r="AC38" s="43" t="str">
        <f>IF($A38=AC$1, IF(ROW(AC38)=2, "+", IF(COUNTIF($B38:AB38, "X")=0, "+", "-")), IF(MOD($A38, AC$1)=0, "X", "O"))</f>
        <v>O</v>
      </c>
      <c r="AD38" s="43" t="str">
        <f>IF($A38=AD$1, IF(ROW(AD38)=2, "+", IF(COUNTIF($B38:AC38, "X")=0, "+", "-")), IF(MOD($A38, AD$1)=0, "X", "O"))</f>
        <v>O</v>
      </c>
      <c r="AE38" s="43" t="str">
        <f>IF($A38=AE$1, IF(ROW(AE38)=2, "+", IF(COUNTIF($B38:AD38, "X")=0, "+", "-")), IF(MOD($A38, AE$1)=0, "X", "O"))</f>
        <v>O</v>
      </c>
      <c r="AF38" s="43" t="str">
        <f>IF($A38=AF$1, IF(ROW(AF38)=2, "+", IF(COUNTIF($B38:AE38, "X")=0, "+", "-")), IF(MOD($A38, AF$1)=0, "X", "O"))</f>
        <v>O</v>
      </c>
      <c r="AG38" s="43" t="str">
        <f>IF($A38=AG$1, IF(ROW(AG38)=2, "+", IF(COUNTIF($B38:AF38, "X")=0, "+", "-")), IF(MOD($A38, AG$1)=0, "X", "O"))</f>
        <v>O</v>
      </c>
      <c r="AH38" s="43" t="str">
        <f>IF($A38=AH$1, IF(ROW(AH38)=2, "+", IF(COUNTIF($B38:AG38, "X")=0, "+", "-")), IF(MOD($A38, AH$1)=0, "X", "O"))</f>
        <v>O</v>
      </c>
      <c r="AI38" s="43" t="str">
        <f>IF($A38=AI$1, IF(ROW(AI38)=2, "+", IF(COUNTIF($B38:AH38, "X")=0, "+", "-")), IF(MOD($A38, AI$1)=0, "X", "O"))</f>
        <v>O</v>
      </c>
      <c r="AJ38" s="43" t="str">
        <f>IF($A38=AJ$1, IF(ROW(AJ38)=2, "+", IF(COUNTIF($B38:AI38, "X")=0, "+", "-")), IF(MOD($A38, AJ$1)=0, "X", "O"))</f>
        <v>O</v>
      </c>
      <c r="AK38" s="43" t="str">
        <f>IF($A38=AK$1, IF(ROW(AK38)=2, "+", IF(COUNTIF($B38:AJ38, "X")=0, "+", "-")), IF(MOD($A38, AK$1)=0, "X", "O"))</f>
        <v>O</v>
      </c>
      <c r="AL38" s="43" t="str">
        <f>IF($A38=AL$1, IF(ROW(AL38)=2, "+", IF(COUNTIF($B38:AK38, "X")=0, "+", "-")), IF(MOD($A38, AL$1)=0, "X", "O"))</f>
        <v>-</v>
      </c>
      <c r="AM38" s="43" t="str">
        <f>IF($A38=AM$1, IF(ROW(AM38)=2, "+", IF(COUNTIF($B38:AL38, "X")=0, "+", "-")), IF(MOD($A38, AM$1)=0, "X", "O"))</f>
        <v>O</v>
      </c>
      <c r="AN38" s="43" t="str">
        <f>IF($A38=AN$1, IF(ROW(AN38)=2, "+", IF(COUNTIF($B38:AM38, "X")=0, "+", "-")), IF(MOD($A38, AN$1)=0, "X", "O"))</f>
        <v>O</v>
      </c>
      <c r="AO38" s="43" t="str">
        <f>IF($A38=AO$1, IF(ROW(AO38)=2, "+", IF(COUNTIF($B38:AN38, "X")=0, "+", "-")), IF(MOD($A38, AO$1)=0, "X", "O"))</f>
        <v>O</v>
      </c>
      <c r="AP38" s="43" t="str">
        <f>IF($A38=AP$1, IF(ROW(AP38)=2, "+", IF(COUNTIF($B38:AO38, "X")=0, "+", "-")), IF(MOD($A38, AP$1)=0, "X", "O"))</f>
        <v>O</v>
      </c>
      <c r="AQ38" s="43" t="str">
        <f>IF($A38=AQ$1, IF(ROW(AQ38)=2, "+", IF(COUNTIF($B38:AP38, "X")=0, "+", "-")), IF(MOD($A38, AQ$1)=0, "X", "O"))</f>
        <v>O</v>
      </c>
      <c r="AR38" s="43" t="str">
        <f>IF($A38=AR$1, IF(ROW(AR38)=2, "+", IF(COUNTIF($B38:AQ38, "X")=0, "+", "-")), IF(MOD($A38, AR$1)=0, "X", "O"))</f>
        <v>O</v>
      </c>
      <c r="AS38" s="43" t="str">
        <f>IF($A38=AS$1, IF(ROW(AS38)=2, "+", IF(COUNTIF($B38:AR38, "X")=0, "+", "-")), IF(MOD($A38, AS$1)=0, "X", "O"))</f>
        <v>O</v>
      </c>
      <c r="AT38" s="43" t="str">
        <f>IF($A38=AT$1, IF(ROW(AT38)=2, "+", IF(COUNTIF($B38:AS38, "X")=0, "+", "-")), IF(MOD($A38, AT$1)=0, "X", "O"))</f>
        <v>O</v>
      </c>
      <c r="AU38" s="43" t="str">
        <f>IF($A38=AU$1, IF(ROW(AU38)=2, "+", IF(COUNTIF($B38:AT38, "X")=0, "+", "-")), IF(MOD($A38, AU$1)=0, "X", "O"))</f>
        <v>O</v>
      </c>
      <c r="AV38" s="43" t="str">
        <f>IF($A38=AV$1, IF(ROW(AV38)=2, "+", IF(COUNTIF($B38:AU38, "X")=0, "+", "-")), IF(MOD($A38, AV$1)=0, "X", "O"))</f>
        <v>O</v>
      </c>
      <c r="AW38" s="43" t="str">
        <f>IF($A38=AW$1, IF(ROW(AW38)=2, "+", IF(COUNTIF($B38:AV38, "X")=0, "+", "-")), IF(MOD($A38, AW$1)=0, "X", "O"))</f>
        <v>O</v>
      </c>
      <c r="AX38" s="43" t="str">
        <f>IF($A38=AX$1, IF(ROW(AX38)=2, "+", IF(COUNTIF($B38:AW38, "X")=0, "+", "-")), IF(MOD($A38, AX$1)=0, "X", "O"))</f>
        <v>O</v>
      </c>
      <c r="AY38" s="43" t="str">
        <f>IF($A38=AY$1, IF(ROW(AY38)=2, "+", IF(COUNTIF($B38:AX38, "X")=0, "+", "-")), IF(MOD($A38, AY$1)=0, "X", "O"))</f>
        <v>O</v>
      </c>
      <c r="AZ38" s="43" t="str">
        <f>IF($A38=AZ$1, IF(ROW(AZ38)=2, "+", IF(COUNTIF($B38:AY38, "X")=0, "+", "-")), IF(MOD($A38, AZ$1)=0, "X", "O"))</f>
        <v>O</v>
      </c>
      <c r="BA38" s="43" t="str">
        <f>IF($A38=BA$1, IF(ROW(BA38)=2, "+", IF(COUNTIF($B38:AZ38, "X")=0, "+", "-")), IF(MOD($A38, BA$1)=0, "X", "O"))</f>
        <v>O</v>
      </c>
      <c r="BB38" s="43" t="str">
        <f>IF($A38=BB$1, IF(ROW(BB38)=2, "+", IF(COUNTIF($B38:BA38, "X")=0, "+", "-")), IF(MOD($A38, BB$1)=0, "X", "O"))</f>
        <v>O</v>
      </c>
      <c r="BC38" s="43" t="str">
        <f>IF($A38=BC$1, IF(ROW(BC38)=2, "+", IF(COUNTIF($B38:BB38, "X")=0, "+", "-")), IF(MOD($A38, BC$1)=0, "X", "O"))</f>
        <v>O</v>
      </c>
      <c r="BD38" s="43" t="str">
        <f>IF($A38=BD$1, IF(ROW(BD38)=2, "+", IF(COUNTIF($B38:BC38, "X")=0, "+", "-")), IF(MOD($A38, BD$1)=0, "X", "O"))</f>
        <v>O</v>
      </c>
      <c r="BE38" s="43" t="str">
        <f>IF($A38=BE$1, IF(ROW(BE38)=2, "+", IF(COUNTIF($B38:BD38, "X")=0, "+", "-")), IF(MOD($A38, BE$1)=0, "X", "O"))</f>
        <v>O</v>
      </c>
      <c r="BF38" s="43" t="str">
        <f>IF($A38=BF$1, IF(ROW(BF38)=2, "+", IF(COUNTIF($B38:BE38, "X")=0, "+", "-")), IF(MOD($A38, BF$1)=0, "X", "O"))</f>
        <v>O</v>
      </c>
      <c r="BG38" s="43" t="str">
        <f>IF($A38=BG$1, IF(ROW(BG38)=2, "+", IF(COUNTIF($B38:BF38, "X")=0, "+", "-")), IF(MOD($A38, BG$1)=0, "X", "O"))</f>
        <v>O</v>
      </c>
      <c r="BH38" s="43" t="str">
        <f>IF($A38=BH$1, IF(ROW(BH38)=2, "+", IF(COUNTIF($B38:BG38, "X")=0, "+", "-")), IF(MOD($A38, BH$1)=0, "X", "O"))</f>
        <v>O</v>
      </c>
    </row>
    <row r="39" spans="1:60" x14ac:dyDescent="0.25">
      <c r="A39">
        <v>39</v>
      </c>
      <c r="B39" s="43" t="str">
        <f>IF($A39=B$1, IF(ROW(B39)=2, "+", IF(COUNTIF(A39:$B39, "X")=0, "+", "-")), IF(MOD($A39, B$1)=0, "X", "O"))</f>
        <v>O</v>
      </c>
      <c r="C39" s="43" t="str">
        <f>IF($A39=C$1, IF(ROW(C39)=2, "+", IF(COUNTIF(B39:$B39, "X")=0, "+", "-")), IF(MOD($A39, C$1)=0, "X", "O"))</f>
        <v>X</v>
      </c>
      <c r="D39" s="43" t="str">
        <f>IF($A39=D$1, IF(ROW(D39)=2, "+", IF(COUNTIF($B39:C39, "X")=0, "+", "-")), IF(MOD($A39, D$1)=0, "X", "O"))</f>
        <v>O</v>
      </c>
      <c r="E39" s="43" t="str">
        <f>IF($A39=E$1, IF(ROW(E39)=2, "+", IF(COUNTIF($B39:D39, "X")=0, "+", "-")), IF(MOD($A39, E$1)=0, "X", "O"))</f>
        <v>O</v>
      </c>
      <c r="F39" s="43" t="str">
        <f>IF($A39=F$1, IF(ROW(F39)=2, "+", IF(COUNTIF($B39:E39, "X")=0, "+", "-")), IF(MOD($A39, F$1)=0, "X", "O"))</f>
        <v>O</v>
      </c>
      <c r="G39" s="43" t="str">
        <f>IF($A39=G$1, IF(ROW(G39)=2, "+", IF(COUNTIF($B39:F39, "X")=0, "+", "-")), IF(MOD($A39, G$1)=0, "X", "O"))</f>
        <v>O</v>
      </c>
      <c r="H39" s="43" t="str">
        <f>IF($A39=H$1, IF(ROW(H39)=2, "+", IF(COUNTIF($B39:G39, "X")=0, "+", "-")), IF(MOD($A39, H$1)=0, "X", "O"))</f>
        <v>O</v>
      </c>
      <c r="I39" s="43" t="str">
        <f>IF($A39=I$1, IF(ROW(I39)=2, "+", IF(COUNTIF($B39:H39, "X")=0, "+", "-")), IF(MOD($A39, I$1)=0, "X", "O"))</f>
        <v>O</v>
      </c>
      <c r="J39" s="43" t="str">
        <f>IF($A39=J$1, IF(ROW(J39)=2, "+", IF(COUNTIF($B39:I39, "X")=0, "+", "-")), IF(MOD($A39, J$1)=0, "X", "O"))</f>
        <v>O</v>
      </c>
      <c r="K39" s="43" t="str">
        <f>IF($A39=K$1, IF(ROW(K39)=2, "+", IF(COUNTIF($B39:J39, "X")=0, "+", "-")), IF(MOD($A39, K$1)=0, "X", "O"))</f>
        <v>O</v>
      </c>
      <c r="L39" s="43" t="str">
        <f>IF($A39=L$1, IF(ROW(L39)=2, "+", IF(COUNTIF($B39:K39, "X")=0, "+", "-")), IF(MOD($A39, L$1)=0, "X", "O"))</f>
        <v>O</v>
      </c>
      <c r="M39" s="43" t="str">
        <f>IF($A39=M$1, IF(ROW(M39)=2, "+", IF(COUNTIF($B39:L39, "X")=0, "+", "-")), IF(MOD($A39, M$1)=0, "X", "O"))</f>
        <v>X</v>
      </c>
      <c r="N39" s="43" t="str">
        <f>IF($A39=N$1, IF(ROW(N39)=2, "+", IF(COUNTIF($B39:M39, "X")=0, "+", "-")), IF(MOD($A39, N$1)=0, "X", "O"))</f>
        <v>O</v>
      </c>
      <c r="O39" s="43" t="str">
        <f>IF($A39=O$1, IF(ROW(O39)=2, "+", IF(COUNTIF($B39:N39, "X")=0, "+", "-")), IF(MOD($A39, O$1)=0, "X", "O"))</f>
        <v>O</v>
      </c>
      <c r="P39" s="43" t="str">
        <f>IF($A39=P$1, IF(ROW(P39)=2, "+", IF(COUNTIF($B39:O39, "X")=0, "+", "-")), IF(MOD($A39, P$1)=0, "X", "O"))</f>
        <v>O</v>
      </c>
      <c r="Q39" s="43" t="str">
        <f>IF($A39=Q$1, IF(ROW(Q39)=2, "+", IF(COUNTIF($B39:P39, "X")=0, "+", "-")), IF(MOD($A39, Q$1)=0, "X", "O"))</f>
        <v>O</v>
      </c>
      <c r="R39" s="43" t="str">
        <f>IF($A39=R$1, IF(ROW(R39)=2, "+", IF(COUNTIF($B39:Q39, "X")=0, "+", "-")), IF(MOD($A39, R$1)=0, "X", "O"))</f>
        <v>O</v>
      </c>
      <c r="S39" s="43" t="str">
        <f>IF($A39=S$1, IF(ROW(S39)=2, "+", IF(COUNTIF($B39:R39, "X")=0, "+", "-")), IF(MOD($A39, S$1)=0, "X", "O"))</f>
        <v>O</v>
      </c>
      <c r="T39" s="43" t="str">
        <f>IF($A39=T$1, IF(ROW(T39)=2, "+", IF(COUNTIF($B39:S39, "X")=0, "+", "-")), IF(MOD($A39, T$1)=0, "X", "O"))</f>
        <v>O</v>
      </c>
      <c r="U39" s="43" t="str">
        <f>IF($A39=U$1, IF(ROW(U39)=2, "+", IF(COUNTIF($B39:T39, "X")=0, "+", "-")), IF(MOD($A39, U$1)=0, "X", "O"))</f>
        <v>O</v>
      </c>
      <c r="V39" s="43" t="str">
        <f>IF($A39=V$1, IF(ROW(V39)=2, "+", IF(COUNTIF($B39:U39, "X")=0, "+", "-")), IF(MOD($A39, V$1)=0, "X", "O"))</f>
        <v>O</v>
      </c>
      <c r="W39" s="43" t="str">
        <f>IF($A39=W$1, IF(ROW(W39)=2, "+", IF(COUNTIF($B39:V39, "X")=0, "+", "-")), IF(MOD($A39, W$1)=0, "X", "O"))</f>
        <v>O</v>
      </c>
      <c r="X39" s="43" t="str">
        <f>IF($A39=X$1, IF(ROW(X39)=2, "+", IF(COUNTIF($B39:W39, "X")=0, "+", "-")), IF(MOD($A39, X$1)=0, "X", "O"))</f>
        <v>O</v>
      </c>
      <c r="Y39" s="43" t="str">
        <f>IF($A39=Y$1, IF(ROW(Y39)=2, "+", IF(COUNTIF($B39:X39, "X")=0, "+", "-")), IF(MOD($A39, Y$1)=0, "X", "O"))</f>
        <v>O</v>
      </c>
      <c r="Z39" s="43" t="str">
        <f>IF($A39=Z$1, IF(ROW(Z39)=2, "+", IF(COUNTIF($B39:Y39, "X")=0, "+", "-")), IF(MOD($A39, Z$1)=0, "X", "O"))</f>
        <v>O</v>
      </c>
      <c r="AA39" s="43" t="str">
        <f>IF($A39=AA$1, IF(ROW(AA39)=2, "+", IF(COUNTIF($B39:Z39, "X")=0, "+", "-")), IF(MOD($A39, AA$1)=0, "X", "O"))</f>
        <v>O</v>
      </c>
      <c r="AB39" s="43" t="str">
        <f>IF($A39=AB$1, IF(ROW(AB39)=2, "+", IF(COUNTIF($B39:AA39, "X")=0, "+", "-")), IF(MOD($A39, AB$1)=0, "X", "O"))</f>
        <v>O</v>
      </c>
      <c r="AC39" s="43" t="str">
        <f>IF($A39=AC$1, IF(ROW(AC39)=2, "+", IF(COUNTIF($B39:AB39, "X")=0, "+", "-")), IF(MOD($A39, AC$1)=0, "X", "O"))</f>
        <v>O</v>
      </c>
      <c r="AD39" s="43" t="str">
        <f>IF($A39=AD$1, IF(ROW(AD39)=2, "+", IF(COUNTIF($B39:AC39, "X")=0, "+", "-")), IF(MOD($A39, AD$1)=0, "X", "O"))</f>
        <v>O</v>
      </c>
      <c r="AE39" s="43" t="str">
        <f>IF($A39=AE$1, IF(ROW(AE39)=2, "+", IF(COUNTIF($B39:AD39, "X")=0, "+", "-")), IF(MOD($A39, AE$1)=0, "X", "O"))</f>
        <v>O</v>
      </c>
      <c r="AF39" s="43" t="str">
        <f>IF($A39=AF$1, IF(ROW(AF39)=2, "+", IF(COUNTIF($B39:AE39, "X")=0, "+", "-")), IF(MOD($A39, AF$1)=0, "X", "O"))</f>
        <v>O</v>
      </c>
      <c r="AG39" s="43" t="str">
        <f>IF($A39=AG$1, IF(ROW(AG39)=2, "+", IF(COUNTIF($B39:AF39, "X")=0, "+", "-")), IF(MOD($A39, AG$1)=0, "X", "O"))</f>
        <v>O</v>
      </c>
      <c r="AH39" s="43" t="str">
        <f>IF($A39=AH$1, IF(ROW(AH39)=2, "+", IF(COUNTIF($B39:AG39, "X")=0, "+", "-")), IF(MOD($A39, AH$1)=0, "X", "O"))</f>
        <v>O</v>
      </c>
      <c r="AI39" s="43" t="str">
        <f>IF($A39=AI$1, IF(ROW(AI39)=2, "+", IF(COUNTIF($B39:AH39, "X")=0, "+", "-")), IF(MOD($A39, AI$1)=0, "X", "O"))</f>
        <v>O</v>
      </c>
      <c r="AJ39" s="43" t="str">
        <f>IF($A39=AJ$1, IF(ROW(AJ39)=2, "+", IF(COUNTIF($B39:AI39, "X")=0, "+", "-")), IF(MOD($A39, AJ$1)=0, "X", "O"))</f>
        <v>O</v>
      </c>
      <c r="AK39" s="43" t="str">
        <f>IF($A39=AK$1, IF(ROW(AK39)=2, "+", IF(COUNTIF($B39:AJ39, "X")=0, "+", "-")), IF(MOD($A39, AK$1)=0, "X", "O"))</f>
        <v>O</v>
      </c>
      <c r="AL39" s="43" t="str">
        <f>IF($A39=AL$1, IF(ROW(AL39)=2, "+", IF(COUNTIF($B39:AK39, "X")=0, "+", "-")), IF(MOD($A39, AL$1)=0, "X", "O"))</f>
        <v>O</v>
      </c>
      <c r="AM39" s="43" t="str">
        <f>IF($A39=AM$1, IF(ROW(AM39)=2, "+", IF(COUNTIF($B39:AL39, "X")=0, "+", "-")), IF(MOD($A39, AM$1)=0, "X", "O"))</f>
        <v>-</v>
      </c>
      <c r="AN39" s="43" t="str">
        <f>IF($A39=AN$1, IF(ROW(AN39)=2, "+", IF(COUNTIF($B39:AM39, "X")=0, "+", "-")), IF(MOD($A39, AN$1)=0, "X", "O"))</f>
        <v>O</v>
      </c>
      <c r="AO39" s="43" t="str">
        <f>IF($A39=AO$1, IF(ROW(AO39)=2, "+", IF(COUNTIF($B39:AN39, "X")=0, "+", "-")), IF(MOD($A39, AO$1)=0, "X", "O"))</f>
        <v>O</v>
      </c>
      <c r="AP39" s="43" t="str">
        <f>IF($A39=AP$1, IF(ROW(AP39)=2, "+", IF(COUNTIF($B39:AO39, "X")=0, "+", "-")), IF(MOD($A39, AP$1)=0, "X", "O"))</f>
        <v>O</v>
      </c>
      <c r="AQ39" s="43" t="str">
        <f>IF($A39=AQ$1, IF(ROW(AQ39)=2, "+", IF(COUNTIF($B39:AP39, "X")=0, "+", "-")), IF(MOD($A39, AQ$1)=0, "X", "O"))</f>
        <v>O</v>
      </c>
      <c r="AR39" s="43" t="str">
        <f>IF($A39=AR$1, IF(ROW(AR39)=2, "+", IF(COUNTIF($B39:AQ39, "X")=0, "+", "-")), IF(MOD($A39, AR$1)=0, "X", "O"))</f>
        <v>O</v>
      </c>
      <c r="AS39" s="43" t="str">
        <f>IF($A39=AS$1, IF(ROW(AS39)=2, "+", IF(COUNTIF($B39:AR39, "X")=0, "+", "-")), IF(MOD($A39, AS$1)=0, "X", "O"))</f>
        <v>O</v>
      </c>
      <c r="AT39" s="43" t="str">
        <f>IF($A39=AT$1, IF(ROW(AT39)=2, "+", IF(COUNTIF($B39:AS39, "X")=0, "+", "-")), IF(MOD($A39, AT$1)=0, "X", "O"))</f>
        <v>O</v>
      </c>
      <c r="AU39" s="43" t="str">
        <f>IF($A39=AU$1, IF(ROW(AU39)=2, "+", IF(COUNTIF($B39:AT39, "X")=0, "+", "-")), IF(MOD($A39, AU$1)=0, "X", "O"))</f>
        <v>O</v>
      </c>
      <c r="AV39" s="43" t="str">
        <f>IF($A39=AV$1, IF(ROW(AV39)=2, "+", IF(COUNTIF($B39:AU39, "X")=0, "+", "-")), IF(MOD($A39, AV$1)=0, "X", "O"))</f>
        <v>O</v>
      </c>
      <c r="AW39" s="43" t="str">
        <f>IF($A39=AW$1, IF(ROW(AW39)=2, "+", IF(COUNTIF($B39:AV39, "X")=0, "+", "-")), IF(MOD($A39, AW$1)=0, "X", "O"))</f>
        <v>O</v>
      </c>
      <c r="AX39" s="43" t="str">
        <f>IF($A39=AX$1, IF(ROW(AX39)=2, "+", IF(COUNTIF($B39:AW39, "X")=0, "+", "-")), IF(MOD($A39, AX$1)=0, "X", "O"))</f>
        <v>O</v>
      </c>
      <c r="AY39" s="43" t="str">
        <f>IF($A39=AY$1, IF(ROW(AY39)=2, "+", IF(COUNTIF($B39:AX39, "X")=0, "+", "-")), IF(MOD($A39, AY$1)=0, "X", "O"))</f>
        <v>O</v>
      </c>
      <c r="AZ39" s="43" t="str">
        <f>IF($A39=AZ$1, IF(ROW(AZ39)=2, "+", IF(COUNTIF($B39:AY39, "X")=0, "+", "-")), IF(MOD($A39, AZ$1)=0, "X", "O"))</f>
        <v>O</v>
      </c>
      <c r="BA39" s="43" t="str">
        <f>IF($A39=BA$1, IF(ROW(BA39)=2, "+", IF(COUNTIF($B39:AZ39, "X")=0, "+", "-")), IF(MOD($A39, BA$1)=0, "X", "O"))</f>
        <v>O</v>
      </c>
      <c r="BB39" s="43" t="str">
        <f>IF($A39=BB$1, IF(ROW(BB39)=2, "+", IF(COUNTIF($B39:BA39, "X")=0, "+", "-")), IF(MOD($A39, BB$1)=0, "X", "O"))</f>
        <v>O</v>
      </c>
      <c r="BC39" s="43" t="str">
        <f>IF($A39=BC$1, IF(ROW(BC39)=2, "+", IF(COUNTIF($B39:BB39, "X")=0, "+", "-")), IF(MOD($A39, BC$1)=0, "X", "O"))</f>
        <v>O</v>
      </c>
      <c r="BD39" s="43" t="str">
        <f>IF($A39=BD$1, IF(ROW(BD39)=2, "+", IF(COUNTIF($B39:BC39, "X")=0, "+", "-")), IF(MOD($A39, BD$1)=0, "X", "O"))</f>
        <v>O</v>
      </c>
      <c r="BE39" s="43" t="str">
        <f>IF($A39=BE$1, IF(ROW(BE39)=2, "+", IF(COUNTIF($B39:BD39, "X")=0, "+", "-")), IF(MOD($A39, BE$1)=0, "X", "O"))</f>
        <v>O</v>
      </c>
      <c r="BF39" s="43" t="str">
        <f>IF($A39=BF$1, IF(ROW(BF39)=2, "+", IF(COUNTIF($B39:BE39, "X")=0, "+", "-")), IF(MOD($A39, BF$1)=0, "X", "O"))</f>
        <v>O</v>
      </c>
      <c r="BG39" s="43" t="str">
        <f>IF($A39=BG$1, IF(ROW(BG39)=2, "+", IF(COUNTIF($B39:BF39, "X")=0, "+", "-")), IF(MOD($A39, BG$1)=0, "X", "O"))</f>
        <v>O</v>
      </c>
      <c r="BH39" s="43" t="str">
        <f>IF($A39=BH$1, IF(ROW(BH39)=2, "+", IF(COUNTIF($B39:BG39, "X")=0, "+", "-")), IF(MOD($A39, BH$1)=0, "X", "O"))</f>
        <v>O</v>
      </c>
    </row>
    <row r="40" spans="1:60" x14ac:dyDescent="0.25">
      <c r="A40">
        <v>40</v>
      </c>
      <c r="B40" s="43" t="str">
        <f>IF($A40=B$1, IF(ROW(B40)=2, "+", IF(COUNTIF(A40:$B40, "X")=0, "+", "-")), IF(MOD($A40, B$1)=0, "X", "O"))</f>
        <v>X</v>
      </c>
      <c r="C40" s="43" t="str">
        <f>IF($A40=C$1, IF(ROW(C40)=2, "+", IF(COUNTIF(B40:$B40, "X")=0, "+", "-")), IF(MOD($A40, C$1)=0, "X", "O"))</f>
        <v>O</v>
      </c>
      <c r="D40" s="43" t="str">
        <f>IF($A40=D$1, IF(ROW(D40)=2, "+", IF(COUNTIF($B40:C40, "X")=0, "+", "-")), IF(MOD($A40, D$1)=0, "X", "O"))</f>
        <v>X</v>
      </c>
      <c r="E40" s="43" t="str">
        <f>IF($A40=E$1, IF(ROW(E40)=2, "+", IF(COUNTIF($B40:D40, "X")=0, "+", "-")), IF(MOD($A40, E$1)=0, "X", "O"))</f>
        <v>X</v>
      </c>
      <c r="F40" s="43" t="str">
        <f>IF($A40=F$1, IF(ROW(F40)=2, "+", IF(COUNTIF($B40:E40, "X")=0, "+", "-")), IF(MOD($A40, F$1)=0, "X", "O"))</f>
        <v>O</v>
      </c>
      <c r="G40" s="43" t="str">
        <f>IF($A40=G$1, IF(ROW(G40)=2, "+", IF(COUNTIF($B40:F40, "X")=0, "+", "-")), IF(MOD($A40, G$1)=0, "X", "O"))</f>
        <v>O</v>
      </c>
      <c r="H40" s="43" t="str">
        <f>IF($A40=H$1, IF(ROW(H40)=2, "+", IF(COUNTIF($B40:G40, "X")=0, "+", "-")), IF(MOD($A40, H$1)=0, "X", "O"))</f>
        <v>X</v>
      </c>
      <c r="I40" s="43" t="str">
        <f>IF($A40=I$1, IF(ROW(I40)=2, "+", IF(COUNTIF($B40:H40, "X")=0, "+", "-")), IF(MOD($A40, I$1)=0, "X", "O"))</f>
        <v>O</v>
      </c>
      <c r="J40" s="43" t="str">
        <f>IF($A40=J$1, IF(ROW(J40)=2, "+", IF(COUNTIF($B40:I40, "X")=0, "+", "-")), IF(MOD($A40, J$1)=0, "X", "O"))</f>
        <v>X</v>
      </c>
      <c r="K40" s="43" t="str">
        <f>IF($A40=K$1, IF(ROW(K40)=2, "+", IF(COUNTIF($B40:J40, "X")=0, "+", "-")), IF(MOD($A40, K$1)=0, "X", "O"))</f>
        <v>O</v>
      </c>
      <c r="L40" s="43" t="str">
        <f>IF($A40=L$1, IF(ROW(L40)=2, "+", IF(COUNTIF($B40:K40, "X")=0, "+", "-")), IF(MOD($A40, L$1)=0, "X", "O"))</f>
        <v>O</v>
      </c>
      <c r="M40" s="43" t="str">
        <f>IF($A40=M$1, IF(ROW(M40)=2, "+", IF(COUNTIF($B40:L40, "X")=0, "+", "-")), IF(MOD($A40, M$1)=0, "X", "O"))</f>
        <v>O</v>
      </c>
      <c r="N40" s="43" t="str">
        <f>IF($A40=N$1, IF(ROW(N40)=2, "+", IF(COUNTIF($B40:M40, "X")=0, "+", "-")), IF(MOD($A40, N$1)=0, "X", "O"))</f>
        <v>O</v>
      </c>
      <c r="O40" s="43" t="str">
        <f>IF($A40=O$1, IF(ROW(O40)=2, "+", IF(COUNTIF($B40:N40, "X")=0, "+", "-")), IF(MOD($A40, O$1)=0, "X", "O"))</f>
        <v>O</v>
      </c>
      <c r="P40" s="43" t="str">
        <f>IF($A40=P$1, IF(ROW(P40)=2, "+", IF(COUNTIF($B40:O40, "X")=0, "+", "-")), IF(MOD($A40, P$1)=0, "X", "O"))</f>
        <v>O</v>
      </c>
      <c r="Q40" s="43" t="str">
        <f>IF($A40=Q$1, IF(ROW(Q40)=2, "+", IF(COUNTIF($B40:P40, "X")=0, "+", "-")), IF(MOD($A40, Q$1)=0, "X", "O"))</f>
        <v>O</v>
      </c>
      <c r="R40" s="43" t="str">
        <f>IF($A40=R$1, IF(ROW(R40)=2, "+", IF(COUNTIF($B40:Q40, "X")=0, "+", "-")), IF(MOD($A40, R$1)=0, "X", "O"))</f>
        <v>O</v>
      </c>
      <c r="S40" s="43" t="str">
        <f>IF($A40=S$1, IF(ROW(S40)=2, "+", IF(COUNTIF($B40:R40, "X")=0, "+", "-")), IF(MOD($A40, S$1)=0, "X", "O"))</f>
        <v>O</v>
      </c>
      <c r="T40" s="43" t="str">
        <f>IF($A40=T$1, IF(ROW(T40)=2, "+", IF(COUNTIF($B40:S40, "X")=0, "+", "-")), IF(MOD($A40, T$1)=0, "X", "O"))</f>
        <v>X</v>
      </c>
      <c r="U40" s="43" t="str">
        <f>IF($A40=U$1, IF(ROW(U40)=2, "+", IF(COUNTIF($B40:T40, "X")=0, "+", "-")), IF(MOD($A40, U$1)=0, "X", "O"))</f>
        <v>O</v>
      </c>
      <c r="V40" s="43" t="str">
        <f>IF($A40=V$1, IF(ROW(V40)=2, "+", IF(COUNTIF($B40:U40, "X")=0, "+", "-")), IF(MOD($A40, V$1)=0, "X", "O"))</f>
        <v>O</v>
      </c>
      <c r="W40" s="43" t="str">
        <f>IF($A40=W$1, IF(ROW(W40)=2, "+", IF(COUNTIF($B40:V40, "X")=0, "+", "-")), IF(MOD($A40, W$1)=0, "X", "O"))</f>
        <v>O</v>
      </c>
      <c r="X40" s="43" t="str">
        <f>IF($A40=X$1, IF(ROW(X40)=2, "+", IF(COUNTIF($B40:W40, "X")=0, "+", "-")), IF(MOD($A40, X$1)=0, "X", "O"))</f>
        <v>O</v>
      </c>
      <c r="Y40" s="43" t="str">
        <f>IF($A40=Y$1, IF(ROW(Y40)=2, "+", IF(COUNTIF($B40:X40, "X")=0, "+", "-")), IF(MOD($A40, Y$1)=0, "X", "O"))</f>
        <v>O</v>
      </c>
      <c r="Z40" s="43" t="str">
        <f>IF($A40=Z$1, IF(ROW(Z40)=2, "+", IF(COUNTIF($B40:Y40, "X")=0, "+", "-")), IF(MOD($A40, Z$1)=0, "X", "O"))</f>
        <v>O</v>
      </c>
      <c r="AA40" s="43" t="str">
        <f>IF($A40=AA$1, IF(ROW(AA40)=2, "+", IF(COUNTIF($B40:Z40, "X")=0, "+", "-")), IF(MOD($A40, AA$1)=0, "X", "O"))</f>
        <v>O</v>
      </c>
      <c r="AB40" s="43" t="str">
        <f>IF($A40=AB$1, IF(ROW(AB40)=2, "+", IF(COUNTIF($B40:AA40, "X")=0, "+", "-")), IF(MOD($A40, AB$1)=0, "X", "O"))</f>
        <v>O</v>
      </c>
      <c r="AC40" s="43" t="str">
        <f>IF($A40=AC$1, IF(ROW(AC40)=2, "+", IF(COUNTIF($B40:AB40, "X")=0, "+", "-")), IF(MOD($A40, AC$1)=0, "X", "O"))</f>
        <v>O</v>
      </c>
      <c r="AD40" s="43" t="str">
        <f>IF($A40=AD$1, IF(ROW(AD40)=2, "+", IF(COUNTIF($B40:AC40, "X")=0, "+", "-")), IF(MOD($A40, AD$1)=0, "X", "O"))</f>
        <v>O</v>
      </c>
      <c r="AE40" s="43" t="str">
        <f>IF($A40=AE$1, IF(ROW(AE40)=2, "+", IF(COUNTIF($B40:AD40, "X")=0, "+", "-")), IF(MOD($A40, AE$1)=0, "X", "O"))</f>
        <v>O</v>
      </c>
      <c r="AF40" s="43" t="str">
        <f>IF($A40=AF$1, IF(ROW(AF40)=2, "+", IF(COUNTIF($B40:AE40, "X")=0, "+", "-")), IF(MOD($A40, AF$1)=0, "X", "O"))</f>
        <v>O</v>
      </c>
      <c r="AG40" s="43" t="str">
        <f>IF($A40=AG$1, IF(ROW(AG40)=2, "+", IF(COUNTIF($B40:AF40, "X")=0, "+", "-")), IF(MOD($A40, AG$1)=0, "X", "O"))</f>
        <v>O</v>
      </c>
      <c r="AH40" s="43" t="str">
        <f>IF($A40=AH$1, IF(ROW(AH40)=2, "+", IF(COUNTIF($B40:AG40, "X")=0, "+", "-")), IF(MOD($A40, AH$1)=0, "X", "O"))</f>
        <v>O</v>
      </c>
      <c r="AI40" s="43" t="str">
        <f>IF($A40=AI$1, IF(ROW(AI40)=2, "+", IF(COUNTIF($B40:AH40, "X")=0, "+", "-")), IF(MOD($A40, AI$1)=0, "X", "O"))</f>
        <v>O</v>
      </c>
      <c r="AJ40" s="43" t="str">
        <f>IF($A40=AJ$1, IF(ROW(AJ40)=2, "+", IF(COUNTIF($B40:AI40, "X")=0, "+", "-")), IF(MOD($A40, AJ$1)=0, "X", "O"))</f>
        <v>O</v>
      </c>
      <c r="AK40" s="43" t="str">
        <f>IF($A40=AK$1, IF(ROW(AK40)=2, "+", IF(COUNTIF($B40:AJ40, "X")=0, "+", "-")), IF(MOD($A40, AK$1)=0, "X", "O"))</f>
        <v>O</v>
      </c>
      <c r="AL40" s="43" t="str">
        <f>IF($A40=AL$1, IF(ROW(AL40)=2, "+", IF(COUNTIF($B40:AK40, "X")=0, "+", "-")), IF(MOD($A40, AL$1)=0, "X", "O"))</f>
        <v>O</v>
      </c>
      <c r="AM40" s="43" t="str">
        <f>IF($A40=AM$1, IF(ROW(AM40)=2, "+", IF(COUNTIF($B40:AL40, "X")=0, "+", "-")), IF(MOD($A40, AM$1)=0, "X", "O"))</f>
        <v>O</v>
      </c>
      <c r="AN40" s="43" t="str">
        <f>IF($A40=AN$1, IF(ROW(AN40)=2, "+", IF(COUNTIF($B40:AM40, "X")=0, "+", "-")), IF(MOD($A40, AN$1)=0, "X", "O"))</f>
        <v>-</v>
      </c>
      <c r="AO40" s="43" t="str">
        <f>IF($A40=AO$1, IF(ROW(AO40)=2, "+", IF(COUNTIF($B40:AN40, "X")=0, "+", "-")), IF(MOD($A40, AO$1)=0, "X", "O"))</f>
        <v>O</v>
      </c>
      <c r="AP40" s="43" t="str">
        <f>IF($A40=AP$1, IF(ROW(AP40)=2, "+", IF(COUNTIF($B40:AO40, "X")=0, "+", "-")), IF(MOD($A40, AP$1)=0, "X", "O"))</f>
        <v>O</v>
      </c>
      <c r="AQ40" s="43" t="str">
        <f>IF($A40=AQ$1, IF(ROW(AQ40)=2, "+", IF(COUNTIF($B40:AP40, "X")=0, "+", "-")), IF(MOD($A40, AQ$1)=0, "X", "O"))</f>
        <v>O</v>
      </c>
      <c r="AR40" s="43" t="str">
        <f>IF($A40=AR$1, IF(ROW(AR40)=2, "+", IF(COUNTIF($B40:AQ40, "X")=0, "+", "-")), IF(MOD($A40, AR$1)=0, "X", "O"))</f>
        <v>O</v>
      </c>
      <c r="AS40" s="43" t="str">
        <f>IF($A40=AS$1, IF(ROW(AS40)=2, "+", IF(COUNTIF($B40:AR40, "X")=0, "+", "-")), IF(MOD($A40, AS$1)=0, "X", "O"))</f>
        <v>O</v>
      </c>
      <c r="AT40" s="43" t="str">
        <f>IF($A40=AT$1, IF(ROW(AT40)=2, "+", IF(COUNTIF($B40:AS40, "X")=0, "+", "-")), IF(MOD($A40, AT$1)=0, "X", "O"))</f>
        <v>O</v>
      </c>
      <c r="AU40" s="43" t="str">
        <f>IF($A40=AU$1, IF(ROW(AU40)=2, "+", IF(COUNTIF($B40:AT40, "X")=0, "+", "-")), IF(MOD($A40, AU$1)=0, "X", "O"))</f>
        <v>O</v>
      </c>
      <c r="AV40" s="43" t="str">
        <f>IF($A40=AV$1, IF(ROW(AV40)=2, "+", IF(COUNTIF($B40:AU40, "X")=0, "+", "-")), IF(MOD($A40, AV$1)=0, "X", "O"))</f>
        <v>O</v>
      </c>
      <c r="AW40" s="43" t="str">
        <f>IF($A40=AW$1, IF(ROW(AW40)=2, "+", IF(COUNTIF($B40:AV40, "X")=0, "+", "-")), IF(MOD($A40, AW$1)=0, "X", "O"))</f>
        <v>O</v>
      </c>
      <c r="AX40" s="43" t="str">
        <f>IF($A40=AX$1, IF(ROW(AX40)=2, "+", IF(COUNTIF($B40:AW40, "X")=0, "+", "-")), IF(MOD($A40, AX$1)=0, "X", "O"))</f>
        <v>O</v>
      </c>
      <c r="AY40" s="43" t="str">
        <f>IF($A40=AY$1, IF(ROW(AY40)=2, "+", IF(COUNTIF($B40:AX40, "X")=0, "+", "-")), IF(MOD($A40, AY$1)=0, "X", "O"))</f>
        <v>O</v>
      </c>
      <c r="AZ40" s="43" t="str">
        <f>IF($A40=AZ$1, IF(ROW(AZ40)=2, "+", IF(COUNTIF($B40:AY40, "X")=0, "+", "-")), IF(MOD($A40, AZ$1)=0, "X", "O"))</f>
        <v>O</v>
      </c>
      <c r="BA40" s="43" t="str">
        <f>IF($A40=BA$1, IF(ROW(BA40)=2, "+", IF(COUNTIF($B40:AZ40, "X")=0, "+", "-")), IF(MOD($A40, BA$1)=0, "X", "O"))</f>
        <v>O</v>
      </c>
      <c r="BB40" s="43" t="str">
        <f>IF($A40=BB$1, IF(ROW(BB40)=2, "+", IF(COUNTIF($B40:BA40, "X")=0, "+", "-")), IF(MOD($A40, BB$1)=0, "X", "O"))</f>
        <v>O</v>
      </c>
      <c r="BC40" s="43" t="str">
        <f>IF($A40=BC$1, IF(ROW(BC40)=2, "+", IF(COUNTIF($B40:BB40, "X")=0, "+", "-")), IF(MOD($A40, BC$1)=0, "X", "O"))</f>
        <v>O</v>
      </c>
      <c r="BD40" s="43" t="str">
        <f>IF($A40=BD$1, IF(ROW(BD40)=2, "+", IF(COUNTIF($B40:BC40, "X")=0, "+", "-")), IF(MOD($A40, BD$1)=0, "X", "O"))</f>
        <v>O</v>
      </c>
      <c r="BE40" s="43" t="str">
        <f>IF($A40=BE$1, IF(ROW(BE40)=2, "+", IF(COUNTIF($B40:BD40, "X")=0, "+", "-")), IF(MOD($A40, BE$1)=0, "X", "O"))</f>
        <v>O</v>
      </c>
      <c r="BF40" s="43" t="str">
        <f>IF($A40=BF$1, IF(ROW(BF40)=2, "+", IF(COUNTIF($B40:BE40, "X")=0, "+", "-")), IF(MOD($A40, BF$1)=0, "X", "O"))</f>
        <v>O</v>
      </c>
      <c r="BG40" s="43" t="str">
        <f>IF($A40=BG$1, IF(ROW(BG40)=2, "+", IF(COUNTIF($B40:BF40, "X")=0, "+", "-")), IF(MOD($A40, BG$1)=0, "X", "O"))</f>
        <v>O</v>
      </c>
      <c r="BH40" s="43" t="str">
        <f>IF($A40=BH$1, IF(ROW(BH40)=2, "+", IF(COUNTIF($B40:BG40, "X")=0, "+", "-")), IF(MOD($A40, BH$1)=0, "X", "O"))</f>
        <v>O</v>
      </c>
    </row>
    <row r="41" spans="1:60" x14ac:dyDescent="0.25">
      <c r="A41">
        <v>41</v>
      </c>
      <c r="B41" s="43" t="str">
        <f>IF($A41=B$1, IF(ROW(B41)=2, "+", IF(COUNTIF(A41:$B41, "X")=0, "+", "-")), IF(MOD($A41, B$1)=0, "X", "O"))</f>
        <v>O</v>
      </c>
      <c r="C41" s="43" t="str">
        <f>IF($A41=C$1, IF(ROW(C41)=2, "+", IF(COUNTIF(B41:$B41, "X")=0, "+", "-")), IF(MOD($A41, C$1)=0, "X", "O"))</f>
        <v>O</v>
      </c>
      <c r="D41" s="43" t="str">
        <f>IF($A41=D$1, IF(ROW(D41)=2, "+", IF(COUNTIF($B41:C41, "X")=0, "+", "-")), IF(MOD($A41, D$1)=0, "X", "O"))</f>
        <v>O</v>
      </c>
      <c r="E41" s="43" t="str">
        <f>IF($A41=E$1, IF(ROW(E41)=2, "+", IF(COUNTIF($B41:D41, "X")=0, "+", "-")), IF(MOD($A41, E$1)=0, "X", "O"))</f>
        <v>O</v>
      </c>
      <c r="F41" s="43" t="str">
        <f>IF($A41=F$1, IF(ROW(F41)=2, "+", IF(COUNTIF($B41:E41, "X")=0, "+", "-")), IF(MOD($A41, F$1)=0, "X", "O"))</f>
        <v>O</v>
      </c>
      <c r="G41" s="43" t="str">
        <f>IF($A41=G$1, IF(ROW(G41)=2, "+", IF(COUNTIF($B41:F41, "X")=0, "+", "-")), IF(MOD($A41, G$1)=0, "X", "O"))</f>
        <v>O</v>
      </c>
      <c r="H41" s="43" t="str">
        <f>IF($A41=H$1, IF(ROW(H41)=2, "+", IF(COUNTIF($B41:G41, "X")=0, "+", "-")), IF(MOD($A41, H$1)=0, "X", "O"))</f>
        <v>O</v>
      </c>
      <c r="I41" s="43" t="str">
        <f>IF($A41=I$1, IF(ROW(I41)=2, "+", IF(COUNTIF($B41:H41, "X")=0, "+", "-")), IF(MOD($A41, I$1)=0, "X", "O"))</f>
        <v>O</v>
      </c>
      <c r="J41" s="43" t="str">
        <f>IF($A41=J$1, IF(ROW(J41)=2, "+", IF(COUNTIF($B41:I41, "X")=0, "+", "-")), IF(MOD($A41, J$1)=0, "X", "O"))</f>
        <v>O</v>
      </c>
      <c r="K41" s="43" t="str">
        <f>IF($A41=K$1, IF(ROW(K41)=2, "+", IF(COUNTIF($B41:J41, "X")=0, "+", "-")), IF(MOD($A41, K$1)=0, "X", "O"))</f>
        <v>O</v>
      </c>
      <c r="L41" s="43" t="str">
        <f>IF($A41=L$1, IF(ROW(L41)=2, "+", IF(COUNTIF($B41:K41, "X")=0, "+", "-")), IF(MOD($A41, L$1)=0, "X", "O"))</f>
        <v>O</v>
      </c>
      <c r="M41" s="43" t="str">
        <f>IF($A41=M$1, IF(ROW(M41)=2, "+", IF(COUNTIF($B41:L41, "X")=0, "+", "-")), IF(MOD($A41, M$1)=0, "X", "O"))</f>
        <v>O</v>
      </c>
      <c r="N41" s="43" t="str">
        <f>IF($A41=N$1, IF(ROW(N41)=2, "+", IF(COUNTIF($B41:M41, "X")=0, "+", "-")), IF(MOD($A41, N$1)=0, "X", "O"))</f>
        <v>O</v>
      </c>
      <c r="O41" s="43" t="str">
        <f>IF($A41=O$1, IF(ROW(O41)=2, "+", IF(COUNTIF($B41:N41, "X")=0, "+", "-")), IF(MOD($A41, O$1)=0, "X", "O"))</f>
        <v>O</v>
      </c>
      <c r="P41" s="43" t="str">
        <f>IF($A41=P$1, IF(ROW(P41)=2, "+", IF(COUNTIF($B41:O41, "X")=0, "+", "-")), IF(MOD($A41, P$1)=0, "X", "O"))</f>
        <v>O</v>
      </c>
      <c r="Q41" s="43" t="str">
        <f>IF($A41=Q$1, IF(ROW(Q41)=2, "+", IF(COUNTIF($B41:P41, "X")=0, "+", "-")), IF(MOD($A41, Q$1)=0, "X", "O"))</f>
        <v>O</v>
      </c>
      <c r="R41" s="43" t="str">
        <f>IF($A41=R$1, IF(ROW(R41)=2, "+", IF(COUNTIF($B41:Q41, "X")=0, "+", "-")), IF(MOD($A41, R$1)=0, "X", "O"))</f>
        <v>O</v>
      </c>
      <c r="S41" s="43" t="str">
        <f>IF($A41=S$1, IF(ROW(S41)=2, "+", IF(COUNTIF($B41:R41, "X")=0, "+", "-")), IF(MOD($A41, S$1)=0, "X", "O"))</f>
        <v>O</v>
      </c>
      <c r="T41" s="43" t="str">
        <f>IF($A41=T$1, IF(ROW(T41)=2, "+", IF(COUNTIF($B41:S41, "X")=0, "+", "-")), IF(MOD($A41, T$1)=0, "X", "O"))</f>
        <v>O</v>
      </c>
      <c r="U41" s="43" t="str">
        <f>IF($A41=U$1, IF(ROW(U41)=2, "+", IF(COUNTIF($B41:T41, "X")=0, "+", "-")), IF(MOD($A41, U$1)=0, "X", "O"))</f>
        <v>O</v>
      </c>
      <c r="V41" s="43" t="str">
        <f>IF($A41=V$1, IF(ROW(V41)=2, "+", IF(COUNTIF($B41:U41, "X")=0, "+", "-")), IF(MOD($A41, V$1)=0, "X", "O"))</f>
        <v>O</v>
      </c>
      <c r="W41" s="43" t="str">
        <f>IF($A41=W$1, IF(ROW(W41)=2, "+", IF(COUNTIF($B41:V41, "X")=0, "+", "-")), IF(MOD($A41, W$1)=0, "X", "O"))</f>
        <v>O</v>
      </c>
      <c r="X41" s="43" t="str">
        <f>IF($A41=X$1, IF(ROW(X41)=2, "+", IF(COUNTIF($B41:W41, "X")=0, "+", "-")), IF(MOD($A41, X$1)=0, "X", "O"))</f>
        <v>O</v>
      </c>
      <c r="Y41" s="43" t="str">
        <f>IF($A41=Y$1, IF(ROW(Y41)=2, "+", IF(COUNTIF($B41:X41, "X")=0, "+", "-")), IF(MOD($A41, Y$1)=0, "X", "O"))</f>
        <v>O</v>
      </c>
      <c r="Z41" s="43" t="str">
        <f>IF($A41=Z$1, IF(ROW(Z41)=2, "+", IF(COUNTIF($B41:Y41, "X")=0, "+", "-")), IF(MOD($A41, Z$1)=0, "X", "O"))</f>
        <v>O</v>
      </c>
      <c r="AA41" s="43" t="str">
        <f>IF($A41=AA$1, IF(ROW(AA41)=2, "+", IF(COUNTIF($B41:Z41, "X")=0, "+", "-")), IF(MOD($A41, AA$1)=0, "X", "O"))</f>
        <v>O</v>
      </c>
      <c r="AB41" s="43" t="str">
        <f>IF($A41=AB$1, IF(ROW(AB41)=2, "+", IF(COUNTIF($B41:AA41, "X")=0, "+", "-")), IF(MOD($A41, AB$1)=0, "X", "O"))</f>
        <v>O</v>
      </c>
      <c r="AC41" s="43" t="str">
        <f>IF($A41=AC$1, IF(ROW(AC41)=2, "+", IF(COUNTIF($B41:AB41, "X")=0, "+", "-")), IF(MOD($A41, AC$1)=0, "X", "O"))</f>
        <v>O</v>
      </c>
      <c r="AD41" s="43" t="str">
        <f>IF($A41=AD$1, IF(ROW(AD41)=2, "+", IF(COUNTIF($B41:AC41, "X")=0, "+", "-")), IF(MOD($A41, AD$1)=0, "X", "O"))</f>
        <v>O</v>
      </c>
      <c r="AE41" s="43" t="str">
        <f>IF($A41=AE$1, IF(ROW(AE41)=2, "+", IF(COUNTIF($B41:AD41, "X")=0, "+", "-")), IF(MOD($A41, AE$1)=0, "X", "O"))</f>
        <v>O</v>
      </c>
      <c r="AF41" s="43" t="str">
        <f>IF($A41=AF$1, IF(ROW(AF41)=2, "+", IF(COUNTIF($B41:AE41, "X")=0, "+", "-")), IF(MOD($A41, AF$1)=0, "X", "O"))</f>
        <v>O</v>
      </c>
      <c r="AG41" s="43" t="str">
        <f>IF($A41=AG$1, IF(ROW(AG41)=2, "+", IF(COUNTIF($B41:AF41, "X")=0, "+", "-")), IF(MOD($A41, AG$1)=0, "X", "O"))</f>
        <v>O</v>
      </c>
      <c r="AH41" s="43" t="str">
        <f>IF($A41=AH$1, IF(ROW(AH41)=2, "+", IF(COUNTIF($B41:AG41, "X")=0, "+", "-")), IF(MOD($A41, AH$1)=0, "X", "O"))</f>
        <v>O</v>
      </c>
      <c r="AI41" s="43" t="str">
        <f>IF($A41=AI$1, IF(ROW(AI41)=2, "+", IF(COUNTIF($B41:AH41, "X")=0, "+", "-")), IF(MOD($A41, AI$1)=0, "X", "O"))</f>
        <v>O</v>
      </c>
      <c r="AJ41" s="43" t="str">
        <f>IF($A41=AJ$1, IF(ROW(AJ41)=2, "+", IF(COUNTIF($B41:AI41, "X")=0, "+", "-")), IF(MOD($A41, AJ$1)=0, "X", "O"))</f>
        <v>O</v>
      </c>
      <c r="AK41" s="43" t="str">
        <f>IF($A41=AK$1, IF(ROW(AK41)=2, "+", IF(COUNTIF($B41:AJ41, "X")=0, "+", "-")), IF(MOD($A41, AK$1)=0, "X", "O"))</f>
        <v>O</v>
      </c>
      <c r="AL41" s="43" t="str">
        <f>IF($A41=AL$1, IF(ROW(AL41)=2, "+", IF(COUNTIF($B41:AK41, "X")=0, "+", "-")), IF(MOD($A41, AL$1)=0, "X", "O"))</f>
        <v>O</v>
      </c>
      <c r="AM41" s="43" t="str">
        <f>IF($A41=AM$1, IF(ROW(AM41)=2, "+", IF(COUNTIF($B41:AL41, "X")=0, "+", "-")), IF(MOD($A41, AM$1)=0, "X", "O"))</f>
        <v>O</v>
      </c>
      <c r="AN41" s="43" t="str">
        <f>IF($A41=AN$1, IF(ROW(AN41)=2, "+", IF(COUNTIF($B41:AM41, "X")=0, "+", "-")), IF(MOD($A41, AN$1)=0, "X", "O"))</f>
        <v>O</v>
      </c>
      <c r="AO41" s="43" t="str">
        <f>IF($A41=AO$1, IF(ROW(AO41)=2, "+", IF(COUNTIF($B41:AN41, "X")=0, "+", "-")), IF(MOD($A41, AO$1)=0, "X", "O"))</f>
        <v>+</v>
      </c>
      <c r="AP41" s="43" t="str">
        <f>IF($A41=AP$1, IF(ROW(AP41)=2, "+", IF(COUNTIF($B41:AO41, "X")=0, "+", "-")), IF(MOD($A41, AP$1)=0, "X", "O"))</f>
        <v>O</v>
      </c>
      <c r="AQ41" s="43" t="str">
        <f>IF($A41=AQ$1, IF(ROW(AQ41)=2, "+", IF(COUNTIF($B41:AP41, "X")=0, "+", "-")), IF(MOD($A41, AQ$1)=0, "X", "O"))</f>
        <v>O</v>
      </c>
      <c r="AR41" s="43" t="str">
        <f>IF($A41=AR$1, IF(ROW(AR41)=2, "+", IF(COUNTIF($B41:AQ41, "X")=0, "+", "-")), IF(MOD($A41, AR$1)=0, "X", "O"))</f>
        <v>O</v>
      </c>
      <c r="AS41" s="43" t="str">
        <f>IF($A41=AS$1, IF(ROW(AS41)=2, "+", IF(COUNTIF($B41:AR41, "X")=0, "+", "-")), IF(MOD($A41, AS$1)=0, "X", "O"))</f>
        <v>O</v>
      </c>
      <c r="AT41" s="43" t="str">
        <f>IF($A41=AT$1, IF(ROW(AT41)=2, "+", IF(COUNTIF($B41:AS41, "X")=0, "+", "-")), IF(MOD($A41, AT$1)=0, "X", "O"))</f>
        <v>O</v>
      </c>
      <c r="AU41" s="43" t="str">
        <f>IF($A41=AU$1, IF(ROW(AU41)=2, "+", IF(COUNTIF($B41:AT41, "X")=0, "+", "-")), IF(MOD($A41, AU$1)=0, "X", "O"))</f>
        <v>O</v>
      </c>
      <c r="AV41" s="43" t="str">
        <f>IF($A41=AV$1, IF(ROW(AV41)=2, "+", IF(COUNTIF($B41:AU41, "X")=0, "+", "-")), IF(MOD($A41, AV$1)=0, "X", "O"))</f>
        <v>O</v>
      </c>
      <c r="AW41" s="43" t="str">
        <f>IF($A41=AW$1, IF(ROW(AW41)=2, "+", IF(COUNTIF($B41:AV41, "X")=0, "+", "-")), IF(MOD($A41, AW$1)=0, "X", "O"))</f>
        <v>O</v>
      </c>
      <c r="AX41" s="43" t="str">
        <f>IF($A41=AX$1, IF(ROW(AX41)=2, "+", IF(COUNTIF($B41:AW41, "X")=0, "+", "-")), IF(MOD($A41, AX$1)=0, "X", "O"))</f>
        <v>O</v>
      </c>
      <c r="AY41" s="43" t="str">
        <f>IF($A41=AY$1, IF(ROW(AY41)=2, "+", IF(COUNTIF($B41:AX41, "X")=0, "+", "-")), IF(MOD($A41, AY$1)=0, "X", "O"))</f>
        <v>O</v>
      </c>
      <c r="AZ41" s="43" t="str">
        <f>IF($A41=AZ$1, IF(ROW(AZ41)=2, "+", IF(COUNTIF($B41:AY41, "X")=0, "+", "-")), IF(MOD($A41, AZ$1)=0, "X", "O"))</f>
        <v>O</v>
      </c>
      <c r="BA41" s="43" t="str">
        <f>IF($A41=BA$1, IF(ROW(BA41)=2, "+", IF(COUNTIF($B41:AZ41, "X")=0, "+", "-")), IF(MOD($A41, BA$1)=0, "X", "O"))</f>
        <v>O</v>
      </c>
      <c r="BB41" s="43" t="str">
        <f>IF($A41=BB$1, IF(ROW(BB41)=2, "+", IF(COUNTIF($B41:BA41, "X")=0, "+", "-")), IF(MOD($A41, BB$1)=0, "X", "O"))</f>
        <v>O</v>
      </c>
      <c r="BC41" s="43" t="str">
        <f>IF($A41=BC$1, IF(ROW(BC41)=2, "+", IF(COUNTIF($B41:BB41, "X")=0, "+", "-")), IF(MOD($A41, BC$1)=0, "X", "O"))</f>
        <v>O</v>
      </c>
      <c r="BD41" s="43" t="str">
        <f>IF($A41=BD$1, IF(ROW(BD41)=2, "+", IF(COUNTIF($B41:BC41, "X")=0, "+", "-")), IF(MOD($A41, BD$1)=0, "X", "O"))</f>
        <v>O</v>
      </c>
      <c r="BE41" s="43" t="str">
        <f>IF($A41=BE$1, IF(ROW(BE41)=2, "+", IF(COUNTIF($B41:BD41, "X")=0, "+", "-")), IF(MOD($A41, BE$1)=0, "X", "O"))</f>
        <v>O</v>
      </c>
      <c r="BF41" s="43" t="str">
        <f>IF($A41=BF$1, IF(ROW(BF41)=2, "+", IF(COUNTIF($B41:BE41, "X")=0, "+", "-")), IF(MOD($A41, BF$1)=0, "X", "O"))</f>
        <v>O</v>
      </c>
      <c r="BG41" s="43" t="str">
        <f>IF($A41=BG$1, IF(ROW(BG41)=2, "+", IF(COUNTIF($B41:BF41, "X")=0, "+", "-")), IF(MOD($A41, BG$1)=0, "X", "O"))</f>
        <v>O</v>
      </c>
      <c r="BH41" s="43" t="str">
        <f>IF($A41=BH$1, IF(ROW(BH41)=2, "+", IF(COUNTIF($B41:BG41, "X")=0, "+", "-")), IF(MOD($A41, BH$1)=0, "X", "O"))</f>
        <v>O</v>
      </c>
    </row>
    <row r="42" spans="1:60" x14ac:dyDescent="0.25">
      <c r="A42">
        <v>42</v>
      </c>
      <c r="B42" s="43" t="str">
        <f>IF($A42=B$1, IF(ROW(B42)=2, "+", IF(COUNTIF(A42:$B42, "X")=0, "+", "-")), IF(MOD($A42, B$1)=0, "X", "O"))</f>
        <v>X</v>
      </c>
      <c r="C42" s="43" t="str">
        <f>IF($A42=C$1, IF(ROW(C42)=2, "+", IF(COUNTIF(B42:$B42, "X")=0, "+", "-")), IF(MOD($A42, C$1)=0, "X", "O"))</f>
        <v>X</v>
      </c>
      <c r="D42" s="43" t="str">
        <f>IF($A42=D$1, IF(ROW(D42)=2, "+", IF(COUNTIF($B42:C42, "X")=0, "+", "-")), IF(MOD($A42, D$1)=0, "X", "O"))</f>
        <v>O</v>
      </c>
      <c r="E42" s="43" t="str">
        <f>IF($A42=E$1, IF(ROW(E42)=2, "+", IF(COUNTIF($B42:D42, "X")=0, "+", "-")), IF(MOD($A42, E$1)=0, "X", "O"))</f>
        <v>O</v>
      </c>
      <c r="F42" s="43" t="str">
        <f>IF($A42=F$1, IF(ROW(F42)=2, "+", IF(COUNTIF($B42:E42, "X")=0, "+", "-")), IF(MOD($A42, F$1)=0, "X", "O"))</f>
        <v>X</v>
      </c>
      <c r="G42" s="43" t="str">
        <f>IF($A42=G$1, IF(ROW(G42)=2, "+", IF(COUNTIF($B42:F42, "X")=0, "+", "-")), IF(MOD($A42, G$1)=0, "X", "O"))</f>
        <v>X</v>
      </c>
      <c r="H42" s="43" t="str">
        <f>IF($A42=H$1, IF(ROW(H42)=2, "+", IF(COUNTIF($B42:G42, "X")=0, "+", "-")), IF(MOD($A42, H$1)=0, "X", "O"))</f>
        <v>O</v>
      </c>
      <c r="I42" s="43" t="str">
        <f>IF($A42=I$1, IF(ROW(I42)=2, "+", IF(COUNTIF($B42:H42, "X")=0, "+", "-")), IF(MOD($A42, I$1)=0, "X", "O"))</f>
        <v>O</v>
      </c>
      <c r="J42" s="43" t="str">
        <f>IF($A42=J$1, IF(ROW(J42)=2, "+", IF(COUNTIF($B42:I42, "X")=0, "+", "-")), IF(MOD($A42, J$1)=0, "X", "O"))</f>
        <v>O</v>
      </c>
      <c r="K42" s="43" t="str">
        <f>IF($A42=K$1, IF(ROW(K42)=2, "+", IF(COUNTIF($B42:J42, "X")=0, "+", "-")), IF(MOD($A42, K$1)=0, "X", "O"))</f>
        <v>O</v>
      </c>
      <c r="L42" s="43" t="str">
        <f>IF($A42=L$1, IF(ROW(L42)=2, "+", IF(COUNTIF($B42:K42, "X")=0, "+", "-")), IF(MOD($A42, L$1)=0, "X", "O"))</f>
        <v>O</v>
      </c>
      <c r="M42" s="43" t="str">
        <f>IF($A42=M$1, IF(ROW(M42)=2, "+", IF(COUNTIF($B42:L42, "X")=0, "+", "-")), IF(MOD($A42, M$1)=0, "X", "O"))</f>
        <v>O</v>
      </c>
      <c r="N42" s="43" t="str">
        <f>IF($A42=N$1, IF(ROW(N42)=2, "+", IF(COUNTIF($B42:M42, "X")=0, "+", "-")), IF(MOD($A42, N$1)=0, "X", "O"))</f>
        <v>X</v>
      </c>
      <c r="O42" s="43" t="str">
        <f>IF($A42=O$1, IF(ROW(O42)=2, "+", IF(COUNTIF($B42:N42, "X")=0, "+", "-")), IF(MOD($A42, O$1)=0, "X", "O"))</f>
        <v>O</v>
      </c>
      <c r="P42" s="43" t="str">
        <f>IF($A42=P$1, IF(ROW(P42)=2, "+", IF(COUNTIF($B42:O42, "X")=0, "+", "-")), IF(MOD($A42, P$1)=0, "X", "O"))</f>
        <v>O</v>
      </c>
      <c r="Q42" s="43" t="str">
        <f>IF($A42=Q$1, IF(ROW(Q42)=2, "+", IF(COUNTIF($B42:P42, "X")=0, "+", "-")), IF(MOD($A42, Q$1)=0, "X", "O"))</f>
        <v>O</v>
      </c>
      <c r="R42" s="43" t="str">
        <f>IF($A42=R$1, IF(ROW(R42)=2, "+", IF(COUNTIF($B42:Q42, "X")=0, "+", "-")), IF(MOD($A42, R$1)=0, "X", "O"))</f>
        <v>O</v>
      </c>
      <c r="S42" s="43" t="str">
        <f>IF($A42=S$1, IF(ROW(S42)=2, "+", IF(COUNTIF($B42:R42, "X")=0, "+", "-")), IF(MOD($A42, S$1)=0, "X", "O"))</f>
        <v>O</v>
      </c>
      <c r="T42" s="43" t="str">
        <f>IF($A42=T$1, IF(ROW(T42)=2, "+", IF(COUNTIF($B42:S42, "X")=0, "+", "-")), IF(MOD($A42, T$1)=0, "X", "O"))</f>
        <v>O</v>
      </c>
      <c r="U42" s="43" t="str">
        <f>IF($A42=U$1, IF(ROW(U42)=2, "+", IF(COUNTIF($B42:T42, "X")=0, "+", "-")), IF(MOD($A42, U$1)=0, "X", "O"))</f>
        <v>X</v>
      </c>
      <c r="V42" s="43" t="str">
        <f>IF($A42=V$1, IF(ROW(V42)=2, "+", IF(COUNTIF($B42:U42, "X")=0, "+", "-")), IF(MOD($A42, V$1)=0, "X", "O"))</f>
        <v>O</v>
      </c>
      <c r="W42" s="43" t="str">
        <f>IF($A42=W$1, IF(ROW(W42)=2, "+", IF(COUNTIF($B42:V42, "X")=0, "+", "-")), IF(MOD($A42, W$1)=0, "X", "O"))</f>
        <v>O</v>
      </c>
      <c r="X42" s="43" t="str">
        <f>IF($A42=X$1, IF(ROW(X42)=2, "+", IF(COUNTIF($B42:W42, "X")=0, "+", "-")), IF(MOD($A42, X$1)=0, "X", "O"))</f>
        <v>O</v>
      </c>
      <c r="Y42" s="43" t="str">
        <f>IF($A42=Y$1, IF(ROW(Y42)=2, "+", IF(COUNTIF($B42:X42, "X")=0, "+", "-")), IF(MOD($A42, Y$1)=0, "X", "O"))</f>
        <v>O</v>
      </c>
      <c r="Z42" s="43" t="str">
        <f>IF($A42=Z$1, IF(ROW(Z42)=2, "+", IF(COUNTIF($B42:Y42, "X")=0, "+", "-")), IF(MOD($A42, Z$1)=0, "X", "O"))</f>
        <v>O</v>
      </c>
      <c r="AA42" s="43" t="str">
        <f>IF($A42=AA$1, IF(ROW(AA42)=2, "+", IF(COUNTIF($B42:Z42, "X")=0, "+", "-")), IF(MOD($A42, AA$1)=0, "X", "O"))</f>
        <v>O</v>
      </c>
      <c r="AB42" s="43" t="str">
        <f>IF($A42=AB$1, IF(ROW(AB42)=2, "+", IF(COUNTIF($B42:AA42, "X")=0, "+", "-")), IF(MOD($A42, AB$1)=0, "X", "O"))</f>
        <v>O</v>
      </c>
      <c r="AC42" s="43" t="str">
        <f>IF($A42=AC$1, IF(ROW(AC42)=2, "+", IF(COUNTIF($B42:AB42, "X")=0, "+", "-")), IF(MOD($A42, AC$1)=0, "X", "O"))</f>
        <v>O</v>
      </c>
      <c r="AD42" s="43" t="str">
        <f>IF($A42=AD$1, IF(ROW(AD42)=2, "+", IF(COUNTIF($B42:AC42, "X")=0, "+", "-")), IF(MOD($A42, AD$1)=0, "X", "O"))</f>
        <v>O</v>
      </c>
      <c r="AE42" s="43" t="str">
        <f>IF($A42=AE$1, IF(ROW(AE42)=2, "+", IF(COUNTIF($B42:AD42, "X")=0, "+", "-")), IF(MOD($A42, AE$1)=0, "X", "O"))</f>
        <v>O</v>
      </c>
      <c r="AF42" s="43" t="str">
        <f>IF($A42=AF$1, IF(ROW(AF42)=2, "+", IF(COUNTIF($B42:AE42, "X")=0, "+", "-")), IF(MOD($A42, AF$1)=0, "X", "O"))</f>
        <v>O</v>
      </c>
      <c r="AG42" s="43" t="str">
        <f>IF($A42=AG$1, IF(ROW(AG42)=2, "+", IF(COUNTIF($B42:AF42, "X")=0, "+", "-")), IF(MOD($A42, AG$1)=0, "X", "O"))</f>
        <v>O</v>
      </c>
      <c r="AH42" s="43" t="str">
        <f>IF($A42=AH$1, IF(ROW(AH42)=2, "+", IF(COUNTIF($B42:AG42, "X")=0, "+", "-")), IF(MOD($A42, AH$1)=0, "X", "O"))</f>
        <v>O</v>
      </c>
      <c r="AI42" s="43" t="str">
        <f>IF($A42=AI$1, IF(ROW(AI42)=2, "+", IF(COUNTIF($B42:AH42, "X")=0, "+", "-")), IF(MOD($A42, AI$1)=0, "X", "O"))</f>
        <v>O</v>
      </c>
      <c r="AJ42" s="43" t="str">
        <f>IF($A42=AJ$1, IF(ROW(AJ42)=2, "+", IF(COUNTIF($B42:AI42, "X")=0, "+", "-")), IF(MOD($A42, AJ$1)=0, "X", "O"))</f>
        <v>O</v>
      </c>
      <c r="AK42" s="43" t="str">
        <f>IF($A42=AK$1, IF(ROW(AK42)=2, "+", IF(COUNTIF($B42:AJ42, "X")=0, "+", "-")), IF(MOD($A42, AK$1)=0, "X", "O"))</f>
        <v>O</v>
      </c>
      <c r="AL42" s="43" t="str">
        <f>IF($A42=AL$1, IF(ROW(AL42)=2, "+", IF(COUNTIF($B42:AK42, "X")=0, "+", "-")), IF(MOD($A42, AL$1)=0, "X", "O"))</f>
        <v>O</v>
      </c>
      <c r="AM42" s="43" t="str">
        <f>IF($A42=AM$1, IF(ROW(AM42)=2, "+", IF(COUNTIF($B42:AL42, "X")=0, "+", "-")), IF(MOD($A42, AM$1)=0, "X", "O"))</f>
        <v>O</v>
      </c>
      <c r="AN42" s="43" t="str">
        <f>IF($A42=AN$1, IF(ROW(AN42)=2, "+", IF(COUNTIF($B42:AM42, "X")=0, "+", "-")), IF(MOD($A42, AN$1)=0, "X", "O"))</f>
        <v>O</v>
      </c>
      <c r="AO42" s="43" t="str">
        <f>IF($A42=AO$1, IF(ROW(AO42)=2, "+", IF(COUNTIF($B42:AN42, "X")=0, "+", "-")), IF(MOD($A42, AO$1)=0, "X", "O"))</f>
        <v>O</v>
      </c>
      <c r="AP42" s="43" t="str">
        <f>IF($A42=AP$1, IF(ROW(AP42)=2, "+", IF(COUNTIF($B42:AO42, "X")=0, "+", "-")), IF(MOD($A42, AP$1)=0, "X", "O"))</f>
        <v>-</v>
      </c>
      <c r="AQ42" s="43" t="str">
        <f>IF($A42=AQ$1, IF(ROW(AQ42)=2, "+", IF(COUNTIF($B42:AP42, "X")=0, "+", "-")), IF(MOD($A42, AQ$1)=0, "X", "O"))</f>
        <v>O</v>
      </c>
      <c r="AR42" s="43" t="str">
        <f>IF($A42=AR$1, IF(ROW(AR42)=2, "+", IF(COUNTIF($B42:AQ42, "X")=0, "+", "-")), IF(MOD($A42, AR$1)=0, "X", "O"))</f>
        <v>O</v>
      </c>
      <c r="AS42" s="43" t="str">
        <f>IF($A42=AS$1, IF(ROW(AS42)=2, "+", IF(COUNTIF($B42:AR42, "X")=0, "+", "-")), IF(MOD($A42, AS$1)=0, "X", "O"))</f>
        <v>O</v>
      </c>
      <c r="AT42" s="43" t="str">
        <f>IF($A42=AT$1, IF(ROW(AT42)=2, "+", IF(COUNTIF($B42:AS42, "X")=0, "+", "-")), IF(MOD($A42, AT$1)=0, "X", "O"))</f>
        <v>O</v>
      </c>
      <c r="AU42" s="43" t="str">
        <f>IF($A42=AU$1, IF(ROW(AU42)=2, "+", IF(COUNTIF($B42:AT42, "X")=0, "+", "-")), IF(MOD($A42, AU$1)=0, "X", "O"))</f>
        <v>O</v>
      </c>
      <c r="AV42" s="43" t="str">
        <f>IF($A42=AV$1, IF(ROW(AV42)=2, "+", IF(COUNTIF($B42:AU42, "X")=0, "+", "-")), IF(MOD($A42, AV$1)=0, "X", "O"))</f>
        <v>O</v>
      </c>
      <c r="AW42" s="43" t="str">
        <f>IF($A42=AW$1, IF(ROW(AW42)=2, "+", IF(COUNTIF($B42:AV42, "X")=0, "+", "-")), IF(MOD($A42, AW$1)=0, "X", "O"))</f>
        <v>O</v>
      </c>
      <c r="AX42" s="43" t="str">
        <f>IF($A42=AX$1, IF(ROW(AX42)=2, "+", IF(COUNTIF($B42:AW42, "X")=0, "+", "-")), IF(MOD($A42, AX$1)=0, "X", "O"))</f>
        <v>O</v>
      </c>
      <c r="AY42" s="43" t="str">
        <f>IF($A42=AY$1, IF(ROW(AY42)=2, "+", IF(COUNTIF($B42:AX42, "X")=0, "+", "-")), IF(MOD($A42, AY$1)=0, "X", "O"))</f>
        <v>O</v>
      </c>
      <c r="AZ42" s="43" t="str">
        <f>IF($A42=AZ$1, IF(ROW(AZ42)=2, "+", IF(COUNTIF($B42:AY42, "X")=0, "+", "-")), IF(MOD($A42, AZ$1)=0, "X", "O"))</f>
        <v>O</v>
      </c>
      <c r="BA42" s="43" t="str">
        <f>IF($A42=BA$1, IF(ROW(BA42)=2, "+", IF(COUNTIF($B42:AZ42, "X")=0, "+", "-")), IF(MOD($A42, BA$1)=0, "X", "O"))</f>
        <v>O</v>
      </c>
      <c r="BB42" s="43" t="str">
        <f>IF($A42=BB$1, IF(ROW(BB42)=2, "+", IF(COUNTIF($B42:BA42, "X")=0, "+", "-")), IF(MOD($A42, BB$1)=0, "X", "O"))</f>
        <v>O</v>
      </c>
      <c r="BC42" s="43" t="str">
        <f>IF($A42=BC$1, IF(ROW(BC42)=2, "+", IF(COUNTIF($B42:BB42, "X")=0, "+", "-")), IF(MOD($A42, BC$1)=0, "X", "O"))</f>
        <v>O</v>
      </c>
      <c r="BD42" s="43" t="str">
        <f>IF($A42=BD$1, IF(ROW(BD42)=2, "+", IF(COUNTIF($B42:BC42, "X")=0, "+", "-")), IF(MOD($A42, BD$1)=0, "X", "O"))</f>
        <v>O</v>
      </c>
      <c r="BE42" s="43" t="str">
        <f>IF($A42=BE$1, IF(ROW(BE42)=2, "+", IF(COUNTIF($B42:BD42, "X")=0, "+", "-")), IF(MOD($A42, BE$1)=0, "X", "O"))</f>
        <v>O</v>
      </c>
      <c r="BF42" s="43" t="str">
        <f>IF($A42=BF$1, IF(ROW(BF42)=2, "+", IF(COUNTIF($B42:BE42, "X")=0, "+", "-")), IF(MOD($A42, BF$1)=0, "X", "O"))</f>
        <v>O</v>
      </c>
      <c r="BG42" s="43" t="str">
        <f>IF($A42=BG$1, IF(ROW(BG42)=2, "+", IF(COUNTIF($B42:BF42, "X")=0, "+", "-")), IF(MOD($A42, BG$1)=0, "X", "O"))</f>
        <v>O</v>
      </c>
      <c r="BH42" s="43" t="str">
        <f>IF($A42=BH$1, IF(ROW(BH42)=2, "+", IF(COUNTIF($B42:BG42, "X")=0, "+", "-")), IF(MOD($A42, BH$1)=0, "X", "O"))</f>
        <v>O</v>
      </c>
    </row>
    <row r="43" spans="1:60" x14ac:dyDescent="0.25">
      <c r="A43">
        <v>43</v>
      </c>
      <c r="B43" s="43" t="str">
        <f>IF($A43=B$1, IF(ROW(B43)=2, "+", IF(COUNTIF(A43:$B43, "X")=0, "+", "-")), IF(MOD($A43, B$1)=0, "X", "O"))</f>
        <v>O</v>
      </c>
      <c r="C43" s="43" t="str">
        <f>IF($A43=C$1, IF(ROW(C43)=2, "+", IF(COUNTIF(B43:$B43, "X")=0, "+", "-")), IF(MOD($A43, C$1)=0, "X", "O"))</f>
        <v>O</v>
      </c>
      <c r="D43" s="43" t="str">
        <f>IF($A43=D$1, IF(ROW(D43)=2, "+", IF(COUNTIF($B43:C43, "X")=0, "+", "-")), IF(MOD($A43, D$1)=0, "X", "O"))</f>
        <v>O</v>
      </c>
      <c r="E43" s="43" t="str">
        <f>IF($A43=E$1, IF(ROW(E43)=2, "+", IF(COUNTIF($B43:D43, "X")=0, "+", "-")), IF(MOD($A43, E$1)=0, "X", "O"))</f>
        <v>O</v>
      </c>
      <c r="F43" s="43" t="str">
        <f>IF($A43=F$1, IF(ROW(F43)=2, "+", IF(COUNTIF($B43:E43, "X")=0, "+", "-")), IF(MOD($A43, F$1)=0, "X", "O"))</f>
        <v>O</v>
      </c>
      <c r="G43" s="43" t="str">
        <f>IF($A43=G$1, IF(ROW(G43)=2, "+", IF(COUNTIF($B43:F43, "X")=0, "+", "-")), IF(MOD($A43, G$1)=0, "X", "O"))</f>
        <v>O</v>
      </c>
      <c r="H43" s="43" t="str">
        <f>IF($A43=H$1, IF(ROW(H43)=2, "+", IF(COUNTIF($B43:G43, "X")=0, "+", "-")), IF(MOD($A43, H$1)=0, "X", "O"))</f>
        <v>O</v>
      </c>
      <c r="I43" s="43" t="str">
        <f>IF($A43=I$1, IF(ROW(I43)=2, "+", IF(COUNTIF($B43:H43, "X")=0, "+", "-")), IF(MOD($A43, I$1)=0, "X", "O"))</f>
        <v>O</v>
      </c>
      <c r="J43" s="43" t="str">
        <f>IF($A43=J$1, IF(ROW(J43)=2, "+", IF(COUNTIF($B43:I43, "X")=0, "+", "-")), IF(MOD($A43, J$1)=0, "X", "O"))</f>
        <v>O</v>
      </c>
      <c r="K43" s="43" t="str">
        <f>IF($A43=K$1, IF(ROW(K43)=2, "+", IF(COUNTIF($B43:J43, "X")=0, "+", "-")), IF(MOD($A43, K$1)=0, "X", "O"))</f>
        <v>O</v>
      </c>
      <c r="L43" s="43" t="str">
        <f>IF($A43=L$1, IF(ROW(L43)=2, "+", IF(COUNTIF($B43:K43, "X")=0, "+", "-")), IF(MOD($A43, L$1)=0, "X", "O"))</f>
        <v>O</v>
      </c>
      <c r="M43" s="43" t="str">
        <f>IF($A43=M$1, IF(ROW(M43)=2, "+", IF(COUNTIF($B43:L43, "X")=0, "+", "-")), IF(MOD($A43, M$1)=0, "X", "O"))</f>
        <v>O</v>
      </c>
      <c r="N43" s="43" t="str">
        <f>IF($A43=N$1, IF(ROW(N43)=2, "+", IF(COUNTIF($B43:M43, "X")=0, "+", "-")), IF(MOD($A43, N$1)=0, "X", "O"))</f>
        <v>O</v>
      </c>
      <c r="O43" s="43" t="str">
        <f>IF($A43=O$1, IF(ROW(O43)=2, "+", IF(COUNTIF($B43:N43, "X")=0, "+", "-")), IF(MOD($A43, O$1)=0, "X", "O"))</f>
        <v>O</v>
      </c>
      <c r="P43" s="43" t="str">
        <f>IF($A43=P$1, IF(ROW(P43)=2, "+", IF(COUNTIF($B43:O43, "X")=0, "+", "-")), IF(MOD($A43, P$1)=0, "X", "O"))</f>
        <v>O</v>
      </c>
      <c r="Q43" s="43" t="str">
        <f>IF($A43=Q$1, IF(ROW(Q43)=2, "+", IF(COUNTIF($B43:P43, "X")=0, "+", "-")), IF(MOD($A43, Q$1)=0, "X", "O"))</f>
        <v>O</v>
      </c>
      <c r="R43" s="43" t="str">
        <f>IF($A43=R$1, IF(ROW(R43)=2, "+", IF(COUNTIF($B43:Q43, "X")=0, "+", "-")), IF(MOD($A43, R$1)=0, "X", "O"))</f>
        <v>O</v>
      </c>
      <c r="S43" s="43" t="str">
        <f>IF($A43=S$1, IF(ROW(S43)=2, "+", IF(COUNTIF($B43:R43, "X")=0, "+", "-")), IF(MOD($A43, S$1)=0, "X", "O"))</f>
        <v>O</v>
      </c>
      <c r="T43" s="43" t="str">
        <f>IF($A43=T$1, IF(ROW(T43)=2, "+", IF(COUNTIF($B43:S43, "X")=0, "+", "-")), IF(MOD($A43, T$1)=0, "X", "O"))</f>
        <v>O</v>
      </c>
      <c r="U43" s="43" t="str">
        <f>IF($A43=U$1, IF(ROW(U43)=2, "+", IF(COUNTIF($B43:T43, "X")=0, "+", "-")), IF(MOD($A43, U$1)=0, "X", "O"))</f>
        <v>O</v>
      </c>
      <c r="V43" s="43" t="str">
        <f>IF($A43=V$1, IF(ROW(V43)=2, "+", IF(COUNTIF($B43:U43, "X")=0, "+", "-")), IF(MOD($A43, V$1)=0, "X", "O"))</f>
        <v>O</v>
      </c>
      <c r="W43" s="43" t="str">
        <f>IF($A43=W$1, IF(ROW(W43)=2, "+", IF(COUNTIF($B43:V43, "X")=0, "+", "-")), IF(MOD($A43, W$1)=0, "X", "O"))</f>
        <v>O</v>
      </c>
      <c r="X43" s="43" t="str">
        <f>IF($A43=X$1, IF(ROW(X43)=2, "+", IF(COUNTIF($B43:W43, "X")=0, "+", "-")), IF(MOD($A43, X$1)=0, "X", "O"))</f>
        <v>O</v>
      </c>
      <c r="Y43" s="43" t="str">
        <f>IF($A43=Y$1, IF(ROW(Y43)=2, "+", IF(COUNTIF($B43:X43, "X")=0, "+", "-")), IF(MOD($A43, Y$1)=0, "X", "O"))</f>
        <v>O</v>
      </c>
      <c r="Z43" s="43" t="str">
        <f>IF($A43=Z$1, IF(ROW(Z43)=2, "+", IF(COUNTIF($B43:Y43, "X")=0, "+", "-")), IF(MOD($A43, Z$1)=0, "X", "O"))</f>
        <v>O</v>
      </c>
      <c r="AA43" s="43" t="str">
        <f>IF($A43=AA$1, IF(ROW(AA43)=2, "+", IF(COUNTIF($B43:Z43, "X")=0, "+", "-")), IF(MOD($A43, AA$1)=0, "X", "O"))</f>
        <v>O</v>
      </c>
      <c r="AB43" s="43" t="str">
        <f>IF($A43=AB$1, IF(ROW(AB43)=2, "+", IF(COUNTIF($B43:AA43, "X")=0, "+", "-")), IF(MOD($A43, AB$1)=0, "X", "O"))</f>
        <v>O</v>
      </c>
      <c r="AC43" s="43" t="str">
        <f>IF($A43=AC$1, IF(ROW(AC43)=2, "+", IF(COUNTIF($B43:AB43, "X")=0, "+", "-")), IF(MOD($A43, AC$1)=0, "X", "O"))</f>
        <v>O</v>
      </c>
      <c r="AD43" s="43" t="str">
        <f>IF($A43=AD$1, IF(ROW(AD43)=2, "+", IF(COUNTIF($B43:AC43, "X")=0, "+", "-")), IF(MOD($A43, AD$1)=0, "X", "O"))</f>
        <v>O</v>
      </c>
      <c r="AE43" s="43" t="str">
        <f>IF($A43=AE$1, IF(ROW(AE43)=2, "+", IF(COUNTIF($B43:AD43, "X")=0, "+", "-")), IF(MOD($A43, AE$1)=0, "X", "O"))</f>
        <v>O</v>
      </c>
      <c r="AF43" s="43" t="str">
        <f>IF($A43=AF$1, IF(ROW(AF43)=2, "+", IF(COUNTIF($B43:AE43, "X")=0, "+", "-")), IF(MOD($A43, AF$1)=0, "X", "O"))</f>
        <v>O</v>
      </c>
      <c r="AG43" s="43" t="str">
        <f>IF($A43=AG$1, IF(ROW(AG43)=2, "+", IF(COUNTIF($B43:AF43, "X")=0, "+", "-")), IF(MOD($A43, AG$1)=0, "X", "O"))</f>
        <v>O</v>
      </c>
      <c r="AH43" s="43" t="str">
        <f>IF($A43=AH$1, IF(ROW(AH43)=2, "+", IF(COUNTIF($B43:AG43, "X")=0, "+", "-")), IF(MOD($A43, AH$1)=0, "X", "O"))</f>
        <v>O</v>
      </c>
      <c r="AI43" s="43" t="str">
        <f>IF($A43=AI$1, IF(ROW(AI43)=2, "+", IF(COUNTIF($B43:AH43, "X")=0, "+", "-")), IF(MOD($A43, AI$1)=0, "X", "O"))</f>
        <v>O</v>
      </c>
      <c r="AJ43" s="43" t="str">
        <f>IF($A43=AJ$1, IF(ROW(AJ43)=2, "+", IF(COUNTIF($B43:AI43, "X")=0, "+", "-")), IF(MOD($A43, AJ$1)=0, "X", "O"))</f>
        <v>O</v>
      </c>
      <c r="AK43" s="43" t="str">
        <f>IF($A43=AK$1, IF(ROW(AK43)=2, "+", IF(COUNTIF($B43:AJ43, "X")=0, "+", "-")), IF(MOD($A43, AK$1)=0, "X", "O"))</f>
        <v>O</v>
      </c>
      <c r="AL43" s="43" t="str">
        <f>IF($A43=AL$1, IF(ROW(AL43)=2, "+", IF(COUNTIF($B43:AK43, "X")=0, "+", "-")), IF(MOD($A43, AL$1)=0, "X", "O"))</f>
        <v>O</v>
      </c>
      <c r="AM43" s="43" t="str">
        <f>IF($A43=AM$1, IF(ROW(AM43)=2, "+", IF(COUNTIF($B43:AL43, "X")=0, "+", "-")), IF(MOD($A43, AM$1)=0, "X", "O"))</f>
        <v>O</v>
      </c>
      <c r="AN43" s="43" t="str">
        <f>IF($A43=AN$1, IF(ROW(AN43)=2, "+", IF(COUNTIF($B43:AM43, "X")=0, "+", "-")), IF(MOD($A43, AN$1)=0, "X", "O"))</f>
        <v>O</v>
      </c>
      <c r="AO43" s="43" t="str">
        <f>IF($A43=AO$1, IF(ROW(AO43)=2, "+", IF(COUNTIF($B43:AN43, "X")=0, "+", "-")), IF(MOD($A43, AO$1)=0, "X", "O"))</f>
        <v>O</v>
      </c>
      <c r="AP43" s="43" t="str">
        <f>IF($A43=AP$1, IF(ROW(AP43)=2, "+", IF(COUNTIF($B43:AO43, "X")=0, "+", "-")), IF(MOD($A43, AP$1)=0, "X", "O"))</f>
        <v>O</v>
      </c>
      <c r="AQ43" s="43" t="str">
        <f>IF($A43=AQ$1, IF(ROW(AQ43)=2, "+", IF(COUNTIF($B43:AP43, "X")=0, "+", "-")), IF(MOD($A43, AQ$1)=0, "X", "O"))</f>
        <v>+</v>
      </c>
      <c r="AR43" s="43" t="str">
        <f>IF($A43=AR$1, IF(ROW(AR43)=2, "+", IF(COUNTIF($B43:AQ43, "X")=0, "+", "-")), IF(MOD($A43, AR$1)=0, "X", "O"))</f>
        <v>O</v>
      </c>
      <c r="AS43" s="43" t="str">
        <f>IF($A43=AS$1, IF(ROW(AS43)=2, "+", IF(COUNTIF($B43:AR43, "X")=0, "+", "-")), IF(MOD($A43, AS$1)=0, "X", "O"))</f>
        <v>O</v>
      </c>
      <c r="AT43" s="43" t="str">
        <f>IF($A43=AT$1, IF(ROW(AT43)=2, "+", IF(COUNTIF($B43:AS43, "X")=0, "+", "-")), IF(MOD($A43, AT$1)=0, "X", "O"))</f>
        <v>O</v>
      </c>
      <c r="AU43" s="43" t="str">
        <f>IF($A43=AU$1, IF(ROW(AU43)=2, "+", IF(COUNTIF($B43:AT43, "X")=0, "+", "-")), IF(MOD($A43, AU$1)=0, "X", "O"))</f>
        <v>O</v>
      </c>
      <c r="AV43" s="43" t="str">
        <f>IF($A43=AV$1, IF(ROW(AV43)=2, "+", IF(COUNTIF($B43:AU43, "X")=0, "+", "-")), IF(MOD($A43, AV$1)=0, "X", "O"))</f>
        <v>O</v>
      </c>
      <c r="AW43" s="43" t="str">
        <f>IF($A43=AW$1, IF(ROW(AW43)=2, "+", IF(COUNTIF($B43:AV43, "X")=0, "+", "-")), IF(MOD($A43, AW$1)=0, "X", "O"))</f>
        <v>O</v>
      </c>
      <c r="AX43" s="43" t="str">
        <f>IF($A43=AX$1, IF(ROW(AX43)=2, "+", IF(COUNTIF($B43:AW43, "X")=0, "+", "-")), IF(MOD($A43, AX$1)=0, "X", "O"))</f>
        <v>O</v>
      </c>
      <c r="AY43" s="43" t="str">
        <f>IF($A43=AY$1, IF(ROW(AY43)=2, "+", IF(COUNTIF($B43:AX43, "X")=0, "+", "-")), IF(MOD($A43, AY$1)=0, "X", "O"))</f>
        <v>O</v>
      </c>
      <c r="AZ43" s="43" t="str">
        <f>IF($A43=AZ$1, IF(ROW(AZ43)=2, "+", IF(COUNTIF($B43:AY43, "X")=0, "+", "-")), IF(MOD($A43, AZ$1)=0, "X", "O"))</f>
        <v>O</v>
      </c>
      <c r="BA43" s="43" t="str">
        <f>IF($A43=BA$1, IF(ROW(BA43)=2, "+", IF(COUNTIF($B43:AZ43, "X")=0, "+", "-")), IF(MOD($A43, BA$1)=0, "X", "O"))</f>
        <v>O</v>
      </c>
      <c r="BB43" s="43" t="str">
        <f>IF($A43=BB$1, IF(ROW(BB43)=2, "+", IF(COUNTIF($B43:BA43, "X")=0, "+", "-")), IF(MOD($A43, BB$1)=0, "X", "O"))</f>
        <v>O</v>
      </c>
      <c r="BC43" s="43" t="str">
        <f>IF($A43=BC$1, IF(ROW(BC43)=2, "+", IF(COUNTIF($B43:BB43, "X")=0, "+", "-")), IF(MOD($A43, BC$1)=0, "X", "O"))</f>
        <v>O</v>
      </c>
      <c r="BD43" s="43" t="str">
        <f>IF($A43=BD$1, IF(ROW(BD43)=2, "+", IF(COUNTIF($B43:BC43, "X")=0, "+", "-")), IF(MOD($A43, BD$1)=0, "X", "O"))</f>
        <v>O</v>
      </c>
      <c r="BE43" s="43" t="str">
        <f>IF($A43=BE$1, IF(ROW(BE43)=2, "+", IF(COUNTIF($B43:BD43, "X")=0, "+", "-")), IF(MOD($A43, BE$1)=0, "X", "O"))</f>
        <v>O</v>
      </c>
      <c r="BF43" s="43" t="str">
        <f>IF($A43=BF$1, IF(ROW(BF43)=2, "+", IF(COUNTIF($B43:BE43, "X")=0, "+", "-")), IF(MOD($A43, BF$1)=0, "X", "O"))</f>
        <v>O</v>
      </c>
      <c r="BG43" s="43" t="str">
        <f>IF($A43=BG$1, IF(ROW(BG43)=2, "+", IF(COUNTIF($B43:BF43, "X")=0, "+", "-")), IF(MOD($A43, BG$1)=0, "X", "O"))</f>
        <v>O</v>
      </c>
      <c r="BH43" s="43" t="str">
        <f>IF($A43=BH$1, IF(ROW(BH43)=2, "+", IF(COUNTIF($B43:BG43, "X")=0, "+", "-")), IF(MOD($A43, BH$1)=0, "X", "O"))</f>
        <v>O</v>
      </c>
    </row>
    <row r="44" spans="1:60" x14ac:dyDescent="0.25">
      <c r="A44">
        <v>44</v>
      </c>
      <c r="B44" s="43" t="str">
        <f>IF($A44=B$1, IF(ROW(B44)=2, "+", IF(COUNTIF(A44:$B44, "X")=0, "+", "-")), IF(MOD($A44, B$1)=0, "X", "O"))</f>
        <v>X</v>
      </c>
      <c r="C44" s="43" t="str">
        <f>IF($A44=C$1, IF(ROW(C44)=2, "+", IF(COUNTIF(B44:$B44, "X")=0, "+", "-")), IF(MOD($A44, C$1)=0, "X", "O"))</f>
        <v>O</v>
      </c>
      <c r="D44" s="43" t="str">
        <f>IF($A44=D$1, IF(ROW(D44)=2, "+", IF(COUNTIF($B44:C44, "X")=0, "+", "-")), IF(MOD($A44, D$1)=0, "X", "O"))</f>
        <v>X</v>
      </c>
      <c r="E44" s="43" t="str">
        <f>IF($A44=E$1, IF(ROW(E44)=2, "+", IF(COUNTIF($B44:D44, "X")=0, "+", "-")), IF(MOD($A44, E$1)=0, "X", "O"))</f>
        <v>O</v>
      </c>
      <c r="F44" s="43" t="str">
        <f>IF($A44=F$1, IF(ROW(F44)=2, "+", IF(COUNTIF($B44:E44, "X")=0, "+", "-")), IF(MOD($A44, F$1)=0, "X", "O"))</f>
        <v>O</v>
      </c>
      <c r="G44" s="43" t="str">
        <f>IF($A44=G$1, IF(ROW(G44)=2, "+", IF(COUNTIF($B44:F44, "X")=0, "+", "-")), IF(MOD($A44, G$1)=0, "X", "O"))</f>
        <v>O</v>
      </c>
      <c r="H44" s="43" t="str">
        <f>IF($A44=H$1, IF(ROW(H44)=2, "+", IF(COUNTIF($B44:G44, "X")=0, "+", "-")), IF(MOD($A44, H$1)=0, "X", "O"))</f>
        <v>O</v>
      </c>
      <c r="I44" s="43" t="str">
        <f>IF($A44=I$1, IF(ROW(I44)=2, "+", IF(COUNTIF($B44:H44, "X")=0, "+", "-")), IF(MOD($A44, I$1)=0, "X", "O"))</f>
        <v>O</v>
      </c>
      <c r="J44" s="43" t="str">
        <f>IF($A44=J$1, IF(ROW(J44)=2, "+", IF(COUNTIF($B44:I44, "X")=0, "+", "-")), IF(MOD($A44, J$1)=0, "X", "O"))</f>
        <v>O</v>
      </c>
      <c r="K44" s="43" t="str">
        <f>IF($A44=K$1, IF(ROW(K44)=2, "+", IF(COUNTIF($B44:J44, "X")=0, "+", "-")), IF(MOD($A44, K$1)=0, "X", "O"))</f>
        <v>X</v>
      </c>
      <c r="L44" s="43" t="str">
        <f>IF($A44=L$1, IF(ROW(L44)=2, "+", IF(COUNTIF($B44:K44, "X")=0, "+", "-")), IF(MOD($A44, L$1)=0, "X", "O"))</f>
        <v>O</v>
      </c>
      <c r="M44" s="43" t="str">
        <f>IF($A44=M$1, IF(ROW(M44)=2, "+", IF(COUNTIF($B44:L44, "X")=0, "+", "-")), IF(MOD($A44, M$1)=0, "X", "O"))</f>
        <v>O</v>
      </c>
      <c r="N44" s="43" t="str">
        <f>IF($A44=N$1, IF(ROW(N44)=2, "+", IF(COUNTIF($B44:M44, "X")=0, "+", "-")), IF(MOD($A44, N$1)=0, "X", "O"))</f>
        <v>O</v>
      </c>
      <c r="O44" s="43" t="str">
        <f>IF($A44=O$1, IF(ROW(O44)=2, "+", IF(COUNTIF($B44:N44, "X")=0, "+", "-")), IF(MOD($A44, O$1)=0, "X", "O"))</f>
        <v>O</v>
      </c>
      <c r="P44" s="43" t="str">
        <f>IF($A44=P$1, IF(ROW(P44)=2, "+", IF(COUNTIF($B44:O44, "X")=0, "+", "-")), IF(MOD($A44, P$1)=0, "X", "O"))</f>
        <v>O</v>
      </c>
      <c r="Q44" s="43" t="str">
        <f>IF($A44=Q$1, IF(ROW(Q44)=2, "+", IF(COUNTIF($B44:P44, "X")=0, "+", "-")), IF(MOD($A44, Q$1)=0, "X", "O"))</f>
        <v>O</v>
      </c>
      <c r="R44" s="43" t="str">
        <f>IF($A44=R$1, IF(ROW(R44)=2, "+", IF(COUNTIF($B44:Q44, "X")=0, "+", "-")), IF(MOD($A44, R$1)=0, "X", "O"))</f>
        <v>O</v>
      </c>
      <c r="S44" s="43" t="str">
        <f>IF($A44=S$1, IF(ROW(S44)=2, "+", IF(COUNTIF($B44:R44, "X")=0, "+", "-")), IF(MOD($A44, S$1)=0, "X", "O"))</f>
        <v>O</v>
      </c>
      <c r="T44" s="43" t="str">
        <f>IF($A44=T$1, IF(ROW(T44)=2, "+", IF(COUNTIF($B44:S44, "X")=0, "+", "-")), IF(MOD($A44, T$1)=0, "X", "O"))</f>
        <v>O</v>
      </c>
      <c r="U44" s="43" t="str">
        <f>IF($A44=U$1, IF(ROW(U44)=2, "+", IF(COUNTIF($B44:T44, "X")=0, "+", "-")), IF(MOD($A44, U$1)=0, "X", "O"))</f>
        <v>O</v>
      </c>
      <c r="V44" s="43" t="str">
        <f>IF($A44=V$1, IF(ROW(V44)=2, "+", IF(COUNTIF($B44:U44, "X")=0, "+", "-")), IF(MOD($A44, V$1)=0, "X", "O"))</f>
        <v>X</v>
      </c>
      <c r="W44" s="43" t="str">
        <f>IF($A44=W$1, IF(ROW(W44)=2, "+", IF(COUNTIF($B44:V44, "X")=0, "+", "-")), IF(MOD($A44, W$1)=0, "X", "O"))</f>
        <v>O</v>
      </c>
      <c r="X44" s="43" t="str">
        <f>IF($A44=X$1, IF(ROW(X44)=2, "+", IF(COUNTIF($B44:W44, "X")=0, "+", "-")), IF(MOD($A44, X$1)=0, "X", "O"))</f>
        <v>O</v>
      </c>
      <c r="Y44" s="43" t="str">
        <f>IF($A44=Y$1, IF(ROW(Y44)=2, "+", IF(COUNTIF($B44:X44, "X")=0, "+", "-")), IF(MOD($A44, Y$1)=0, "X", "O"))</f>
        <v>O</v>
      </c>
      <c r="Z44" s="43" t="str">
        <f>IF($A44=Z$1, IF(ROW(Z44)=2, "+", IF(COUNTIF($B44:Y44, "X")=0, "+", "-")), IF(MOD($A44, Z$1)=0, "X", "O"))</f>
        <v>O</v>
      </c>
      <c r="AA44" s="43" t="str">
        <f>IF($A44=AA$1, IF(ROW(AA44)=2, "+", IF(COUNTIF($B44:Z44, "X")=0, "+", "-")), IF(MOD($A44, AA$1)=0, "X", "O"))</f>
        <v>O</v>
      </c>
      <c r="AB44" s="43" t="str">
        <f>IF($A44=AB$1, IF(ROW(AB44)=2, "+", IF(COUNTIF($B44:AA44, "X")=0, "+", "-")), IF(MOD($A44, AB$1)=0, "X", "O"))</f>
        <v>O</v>
      </c>
      <c r="AC44" s="43" t="str">
        <f>IF($A44=AC$1, IF(ROW(AC44)=2, "+", IF(COUNTIF($B44:AB44, "X")=0, "+", "-")), IF(MOD($A44, AC$1)=0, "X", "O"))</f>
        <v>O</v>
      </c>
      <c r="AD44" s="43" t="str">
        <f>IF($A44=AD$1, IF(ROW(AD44)=2, "+", IF(COUNTIF($B44:AC44, "X")=0, "+", "-")), IF(MOD($A44, AD$1)=0, "X", "O"))</f>
        <v>O</v>
      </c>
      <c r="AE44" s="43" t="str">
        <f>IF($A44=AE$1, IF(ROW(AE44)=2, "+", IF(COUNTIF($B44:AD44, "X")=0, "+", "-")), IF(MOD($A44, AE$1)=0, "X", "O"))</f>
        <v>O</v>
      </c>
      <c r="AF44" s="43" t="str">
        <f>IF($A44=AF$1, IF(ROW(AF44)=2, "+", IF(COUNTIF($B44:AE44, "X")=0, "+", "-")), IF(MOD($A44, AF$1)=0, "X", "O"))</f>
        <v>O</v>
      </c>
      <c r="AG44" s="43" t="str">
        <f>IF($A44=AG$1, IF(ROW(AG44)=2, "+", IF(COUNTIF($B44:AF44, "X")=0, "+", "-")), IF(MOD($A44, AG$1)=0, "X", "O"))</f>
        <v>O</v>
      </c>
      <c r="AH44" s="43" t="str">
        <f>IF($A44=AH$1, IF(ROW(AH44)=2, "+", IF(COUNTIF($B44:AG44, "X")=0, "+", "-")), IF(MOD($A44, AH$1)=0, "X", "O"))</f>
        <v>O</v>
      </c>
      <c r="AI44" s="43" t="str">
        <f>IF($A44=AI$1, IF(ROW(AI44)=2, "+", IF(COUNTIF($B44:AH44, "X")=0, "+", "-")), IF(MOD($A44, AI$1)=0, "X", "O"))</f>
        <v>O</v>
      </c>
      <c r="AJ44" s="43" t="str">
        <f>IF($A44=AJ$1, IF(ROW(AJ44)=2, "+", IF(COUNTIF($B44:AI44, "X")=0, "+", "-")), IF(MOD($A44, AJ$1)=0, "X", "O"))</f>
        <v>O</v>
      </c>
      <c r="AK44" s="43" t="str">
        <f>IF($A44=AK$1, IF(ROW(AK44)=2, "+", IF(COUNTIF($B44:AJ44, "X")=0, "+", "-")), IF(MOD($A44, AK$1)=0, "X", "O"))</f>
        <v>O</v>
      </c>
      <c r="AL44" s="43" t="str">
        <f>IF($A44=AL$1, IF(ROW(AL44)=2, "+", IF(COUNTIF($B44:AK44, "X")=0, "+", "-")), IF(MOD($A44, AL$1)=0, "X", "O"))</f>
        <v>O</v>
      </c>
      <c r="AM44" s="43" t="str">
        <f>IF($A44=AM$1, IF(ROW(AM44)=2, "+", IF(COUNTIF($B44:AL44, "X")=0, "+", "-")), IF(MOD($A44, AM$1)=0, "X", "O"))</f>
        <v>O</v>
      </c>
      <c r="AN44" s="43" t="str">
        <f>IF($A44=AN$1, IF(ROW(AN44)=2, "+", IF(COUNTIF($B44:AM44, "X")=0, "+", "-")), IF(MOD($A44, AN$1)=0, "X", "O"))</f>
        <v>O</v>
      </c>
      <c r="AO44" s="43" t="str">
        <f>IF($A44=AO$1, IF(ROW(AO44)=2, "+", IF(COUNTIF($B44:AN44, "X")=0, "+", "-")), IF(MOD($A44, AO$1)=0, "X", "O"))</f>
        <v>O</v>
      </c>
      <c r="AP44" s="43" t="str">
        <f>IF($A44=AP$1, IF(ROW(AP44)=2, "+", IF(COUNTIF($B44:AO44, "X")=0, "+", "-")), IF(MOD($A44, AP$1)=0, "X", "O"))</f>
        <v>O</v>
      </c>
      <c r="AQ44" s="43" t="str">
        <f>IF($A44=AQ$1, IF(ROW(AQ44)=2, "+", IF(COUNTIF($B44:AP44, "X")=0, "+", "-")), IF(MOD($A44, AQ$1)=0, "X", "O"))</f>
        <v>O</v>
      </c>
      <c r="AR44" s="43" t="str">
        <f>IF($A44=AR$1, IF(ROW(AR44)=2, "+", IF(COUNTIF($B44:AQ44, "X")=0, "+", "-")), IF(MOD($A44, AR$1)=0, "X", "O"))</f>
        <v>-</v>
      </c>
      <c r="AS44" s="43" t="str">
        <f>IF($A44=AS$1, IF(ROW(AS44)=2, "+", IF(COUNTIF($B44:AR44, "X")=0, "+", "-")), IF(MOD($A44, AS$1)=0, "X", "O"))</f>
        <v>O</v>
      </c>
      <c r="AT44" s="43" t="str">
        <f>IF($A44=AT$1, IF(ROW(AT44)=2, "+", IF(COUNTIF($B44:AS44, "X")=0, "+", "-")), IF(MOD($A44, AT$1)=0, "X", "O"))</f>
        <v>O</v>
      </c>
      <c r="AU44" s="43" t="str">
        <f>IF($A44=AU$1, IF(ROW(AU44)=2, "+", IF(COUNTIF($B44:AT44, "X")=0, "+", "-")), IF(MOD($A44, AU$1)=0, "X", "O"))</f>
        <v>O</v>
      </c>
      <c r="AV44" s="43" t="str">
        <f>IF($A44=AV$1, IF(ROW(AV44)=2, "+", IF(COUNTIF($B44:AU44, "X")=0, "+", "-")), IF(MOD($A44, AV$1)=0, "X", "O"))</f>
        <v>O</v>
      </c>
      <c r="AW44" s="43" t="str">
        <f>IF($A44=AW$1, IF(ROW(AW44)=2, "+", IF(COUNTIF($B44:AV44, "X")=0, "+", "-")), IF(MOD($A44, AW$1)=0, "X", "O"))</f>
        <v>O</v>
      </c>
      <c r="AX44" s="43" t="str">
        <f>IF($A44=AX$1, IF(ROW(AX44)=2, "+", IF(COUNTIF($B44:AW44, "X")=0, "+", "-")), IF(MOD($A44, AX$1)=0, "X", "O"))</f>
        <v>O</v>
      </c>
      <c r="AY44" s="43" t="str">
        <f>IF($A44=AY$1, IF(ROW(AY44)=2, "+", IF(COUNTIF($B44:AX44, "X")=0, "+", "-")), IF(MOD($A44, AY$1)=0, "X", "O"))</f>
        <v>O</v>
      </c>
      <c r="AZ44" s="43" t="str">
        <f>IF($A44=AZ$1, IF(ROW(AZ44)=2, "+", IF(COUNTIF($B44:AY44, "X")=0, "+", "-")), IF(MOD($A44, AZ$1)=0, "X", "O"))</f>
        <v>O</v>
      </c>
      <c r="BA44" s="43" t="str">
        <f>IF($A44=BA$1, IF(ROW(BA44)=2, "+", IF(COUNTIF($B44:AZ44, "X")=0, "+", "-")), IF(MOD($A44, BA$1)=0, "X", "O"))</f>
        <v>O</v>
      </c>
      <c r="BB44" s="43" t="str">
        <f>IF($A44=BB$1, IF(ROW(BB44)=2, "+", IF(COUNTIF($B44:BA44, "X")=0, "+", "-")), IF(MOD($A44, BB$1)=0, "X", "O"))</f>
        <v>O</v>
      </c>
      <c r="BC44" s="43" t="str">
        <f>IF($A44=BC$1, IF(ROW(BC44)=2, "+", IF(COUNTIF($B44:BB44, "X")=0, "+", "-")), IF(MOD($A44, BC$1)=0, "X", "O"))</f>
        <v>O</v>
      </c>
      <c r="BD44" s="43" t="str">
        <f>IF($A44=BD$1, IF(ROW(BD44)=2, "+", IF(COUNTIF($B44:BC44, "X")=0, "+", "-")), IF(MOD($A44, BD$1)=0, "X", "O"))</f>
        <v>O</v>
      </c>
      <c r="BE44" s="43" t="str">
        <f>IF($A44=BE$1, IF(ROW(BE44)=2, "+", IF(COUNTIF($B44:BD44, "X")=0, "+", "-")), IF(MOD($A44, BE$1)=0, "X", "O"))</f>
        <v>O</v>
      </c>
      <c r="BF44" s="43" t="str">
        <f>IF($A44=BF$1, IF(ROW(BF44)=2, "+", IF(COUNTIF($B44:BE44, "X")=0, "+", "-")), IF(MOD($A44, BF$1)=0, "X", "O"))</f>
        <v>O</v>
      </c>
      <c r="BG44" s="43" t="str">
        <f>IF($A44=BG$1, IF(ROW(BG44)=2, "+", IF(COUNTIF($B44:BF44, "X")=0, "+", "-")), IF(MOD($A44, BG$1)=0, "X", "O"))</f>
        <v>O</v>
      </c>
      <c r="BH44" s="43" t="str">
        <f>IF($A44=BH$1, IF(ROW(BH44)=2, "+", IF(COUNTIF($B44:BG44, "X")=0, "+", "-")), IF(MOD($A44, BH$1)=0, "X", "O"))</f>
        <v>O</v>
      </c>
    </row>
    <row r="45" spans="1:60" x14ac:dyDescent="0.25">
      <c r="A45">
        <v>45</v>
      </c>
      <c r="B45" s="43" t="str">
        <f>IF($A45=B$1, IF(ROW(B45)=2, "+", IF(COUNTIF(A45:$B45, "X")=0, "+", "-")), IF(MOD($A45, B$1)=0, "X", "O"))</f>
        <v>O</v>
      </c>
      <c r="C45" s="43" t="str">
        <f>IF($A45=C$1, IF(ROW(C45)=2, "+", IF(COUNTIF(B45:$B45, "X")=0, "+", "-")), IF(MOD($A45, C$1)=0, "X", "O"))</f>
        <v>X</v>
      </c>
      <c r="D45" s="43" t="str">
        <f>IF($A45=D$1, IF(ROW(D45)=2, "+", IF(COUNTIF($B45:C45, "X")=0, "+", "-")), IF(MOD($A45, D$1)=0, "X", "O"))</f>
        <v>O</v>
      </c>
      <c r="E45" s="43" t="str">
        <f>IF($A45=E$1, IF(ROW(E45)=2, "+", IF(COUNTIF($B45:D45, "X")=0, "+", "-")), IF(MOD($A45, E$1)=0, "X", "O"))</f>
        <v>X</v>
      </c>
      <c r="F45" s="43" t="str">
        <f>IF($A45=F$1, IF(ROW(F45)=2, "+", IF(COUNTIF($B45:E45, "X")=0, "+", "-")), IF(MOD($A45, F$1)=0, "X", "O"))</f>
        <v>O</v>
      </c>
      <c r="G45" s="43" t="str">
        <f>IF($A45=G$1, IF(ROW(G45)=2, "+", IF(COUNTIF($B45:F45, "X")=0, "+", "-")), IF(MOD($A45, G$1)=0, "X", "O"))</f>
        <v>O</v>
      </c>
      <c r="H45" s="43" t="str">
        <f>IF($A45=H$1, IF(ROW(H45)=2, "+", IF(COUNTIF($B45:G45, "X")=0, "+", "-")), IF(MOD($A45, H$1)=0, "X", "O"))</f>
        <v>O</v>
      </c>
      <c r="I45" s="43" t="str">
        <f>IF($A45=I$1, IF(ROW(I45)=2, "+", IF(COUNTIF($B45:H45, "X")=0, "+", "-")), IF(MOD($A45, I$1)=0, "X", "O"))</f>
        <v>X</v>
      </c>
      <c r="J45" s="43" t="str">
        <f>IF($A45=J$1, IF(ROW(J45)=2, "+", IF(COUNTIF($B45:I45, "X")=0, "+", "-")), IF(MOD($A45, J$1)=0, "X", "O"))</f>
        <v>O</v>
      </c>
      <c r="K45" s="43" t="str">
        <f>IF($A45=K$1, IF(ROW(K45)=2, "+", IF(COUNTIF($B45:J45, "X")=0, "+", "-")), IF(MOD($A45, K$1)=0, "X", "O"))</f>
        <v>O</v>
      </c>
      <c r="L45" s="43" t="str">
        <f>IF($A45=L$1, IF(ROW(L45)=2, "+", IF(COUNTIF($B45:K45, "X")=0, "+", "-")), IF(MOD($A45, L$1)=0, "X", "O"))</f>
        <v>O</v>
      </c>
      <c r="M45" s="43" t="str">
        <f>IF($A45=M$1, IF(ROW(M45)=2, "+", IF(COUNTIF($B45:L45, "X")=0, "+", "-")), IF(MOD($A45, M$1)=0, "X", "O"))</f>
        <v>O</v>
      </c>
      <c r="N45" s="43" t="str">
        <f>IF($A45=N$1, IF(ROW(N45)=2, "+", IF(COUNTIF($B45:M45, "X")=0, "+", "-")), IF(MOD($A45, N$1)=0, "X", "O"))</f>
        <v>O</v>
      </c>
      <c r="O45" s="43" t="str">
        <f>IF($A45=O$1, IF(ROW(O45)=2, "+", IF(COUNTIF($B45:N45, "X")=0, "+", "-")), IF(MOD($A45, O$1)=0, "X", "O"))</f>
        <v>X</v>
      </c>
      <c r="P45" s="43" t="str">
        <f>IF($A45=P$1, IF(ROW(P45)=2, "+", IF(COUNTIF($B45:O45, "X")=0, "+", "-")), IF(MOD($A45, P$1)=0, "X", "O"))</f>
        <v>O</v>
      </c>
      <c r="Q45" s="43" t="str">
        <f>IF($A45=Q$1, IF(ROW(Q45)=2, "+", IF(COUNTIF($B45:P45, "X")=0, "+", "-")), IF(MOD($A45, Q$1)=0, "X", "O"))</f>
        <v>O</v>
      </c>
      <c r="R45" s="43" t="str">
        <f>IF($A45=R$1, IF(ROW(R45)=2, "+", IF(COUNTIF($B45:Q45, "X")=0, "+", "-")), IF(MOD($A45, R$1)=0, "X", "O"))</f>
        <v>O</v>
      </c>
      <c r="S45" s="43" t="str">
        <f>IF($A45=S$1, IF(ROW(S45)=2, "+", IF(COUNTIF($B45:R45, "X")=0, "+", "-")), IF(MOD($A45, S$1)=0, "X", "O"))</f>
        <v>O</v>
      </c>
      <c r="T45" s="43" t="str">
        <f>IF($A45=T$1, IF(ROW(T45)=2, "+", IF(COUNTIF($B45:S45, "X")=0, "+", "-")), IF(MOD($A45, T$1)=0, "X", "O"))</f>
        <v>O</v>
      </c>
      <c r="U45" s="43" t="str">
        <f>IF($A45=U$1, IF(ROW(U45)=2, "+", IF(COUNTIF($B45:T45, "X")=0, "+", "-")), IF(MOD($A45, U$1)=0, "X", "O"))</f>
        <v>O</v>
      </c>
      <c r="V45" s="43" t="str">
        <f>IF($A45=V$1, IF(ROW(V45)=2, "+", IF(COUNTIF($B45:U45, "X")=0, "+", "-")), IF(MOD($A45, V$1)=0, "X", "O"))</f>
        <v>O</v>
      </c>
      <c r="W45" s="43" t="str">
        <f>IF($A45=W$1, IF(ROW(W45)=2, "+", IF(COUNTIF($B45:V45, "X")=0, "+", "-")), IF(MOD($A45, W$1)=0, "X", "O"))</f>
        <v>O</v>
      </c>
      <c r="X45" s="43" t="str">
        <f>IF($A45=X$1, IF(ROW(X45)=2, "+", IF(COUNTIF($B45:W45, "X")=0, "+", "-")), IF(MOD($A45, X$1)=0, "X", "O"))</f>
        <v>O</v>
      </c>
      <c r="Y45" s="43" t="str">
        <f>IF($A45=Y$1, IF(ROW(Y45)=2, "+", IF(COUNTIF($B45:X45, "X")=0, "+", "-")), IF(MOD($A45, Y$1)=0, "X", "O"))</f>
        <v>O</v>
      </c>
      <c r="Z45" s="43" t="str">
        <f>IF($A45=Z$1, IF(ROW(Z45)=2, "+", IF(COUNTIF($B45:Y45, "X")=0, "+", "-")), IF(MOD($A45, Z$1)=0, "X", "O"))</f>
        <v>O</v>
      </c>
      <c r="AA45" s="43" t="str">
        <f>IF($A45=AA$1, IF(ROW(AA45)=2, "+", IF(COUNTIF($B45:Z45, "X")=0, "+", "-")), IF(MOD($A45, AA$1)=0, "X", "O"))</f>
        <v>O</v>
      </c>
      <c r="AB45" s="43" t="str">
        <f>IF($A45=AB$1, IF(ROW(AB45)=2, "+", IF(COUNTIF($B45:AA45, "X")=0, "+", "-")), IF(MOD($A45, AB$1)=0, "X", "O"))</f>
        <v>O</v>
      </c>
      <c r="AC45" s="43" t="str">
        <f>IF($A45=AC$1, IF(ROW(AC45)=2, "+", IF(COUNTIF($B45:AB45, "X")=0, "+", "-")), IF(MOD($A45, AC$1)=0, "X", "O"))</f>
        <v>O</v>
      </c>
      <c r="AD45" s="43" t="str">
        <f>IF($A45=AD$1, IF(ROW(AD45)=2, "+", IF(COUNTIF($B45:AC45, "X")=0, "+", "-")), IF(MOD($A45, AD$1)=0, "X", "O"))</f>
        <v>O</v>
      </c>
      <c r="AE45" s="43" t="str">
        <f>IF($A45=AE$1, IF(ROW(AE45)=2, "+", IF(COUNTIF($B45:AD45, "X")=0, "+", "-")), IF(MOD($A45, AE$1)=0, "X", "O"))</f>
        <v>O</v>
      </c>
      <c r="AF45" s="43" t="str">
        <f>IF($A45=AF$1, IF(ROW(AF45)=2, "+", IF(COUNTIF($B45:AE45, "X")=0, "+", "-")), IF(MOD($A45, AF$1)=0, "X", "O"))</f>
        <v>O</v>
      </c>
      <c r="AG45" s="43" t="str">
        <f>IF($A45=AG$1, IF(ROW(AG45)=2, "+", IF(COUNTIF($B45:AF45, "X")=0, "+", "-")), IF(MOD($A45, AG$1)=0, "X", "O"))</f>
        <v>O</v>
      </c>
      <c r="AH45" s="43" t="str">
        <f>IF($A45=AH$1, IF(ROW(AH45)=2, "+", IF(COUNTIF($B45:AG45, "X")=0, "+", "-")), IF(MOD($A45, AH$1)=0, "X", "O"))</f>
        <v>O</v>
      </c>
      <c r="AI45" s="43" t="str">
        <f>IF($A45=AI$1, IF(ROW(AI45)=2, "+", IF(COUNTIF($B45:AH45, "X")=0, "+", "-")), IF(MOD($A45, AI$1)=0, "X", "O"))</f>
        <v>O</v>
      </c>
      <c r="AJ45" s="43" t="str">
        <f>IF($A45=AJ$1, IF(ROW(AJ45)=2, "+", IF(COUNTIF($B45:AI45, "X")=0, "+", "-")), IF(MOD($A45, AJ$1)=0, "X", "O"))</f>
        <v>O</v>
      </c>
      <c r="AK45" s="43" t="str">
        <f>IF($A45=AK$1, IF(ROW(AK45)=2, "+", IF(COUNTIF($B45:AJ45, "X")=0, "+", "-")), IF(MOD($A45, AK$1)=0, "X", "O"))</f>
        <v>O</v>
      </c>
      <c r="AL45" s="43" t="str">
        <f>IF($A45=AL$1, IF(ROW(AL45)=2, "+", IF(COUNTIF($B45:AK45, "X")=0, "+", "-")), IF(MOD($A45, AL$1)=0, "X", "O"))</f>
        <v>O</v>
      </c>
      <c r="AM45" s="43" t="str">
        <f>IF($A45=AM$1, IF(ROW(AM45)=2, "+", IF(COUNTIF($B45:AL45, "X")=0, "+", "-")), IF(MOD($A45, AM$1)=0, "X", "O"))</f>
        <v>O</v>
      </c>
      <c r="AN45" s="43" t="str">
        <f>IF($A45=AN$1, IF(ROW(AN45)=2, "+", IF(COUNTIF($B45:AM45, "X")=0, "+", "-")), IF(MOD($A45, AN$1)=0, "X", "O"))</f>
        <v>O</v>
      </c>
      <c r="AO45" s="43" t="str">
        <f>IF($A45=AO$1, IF(ROW(AO45)=2, "+", IF(COUNTIF($B45:AN45, "X")=0, "+", "-")), IF(MOD($A45, AO$1)=0, "X", "O"))</f>
        <v>O</v>
      </c>
      <c r="AP45" s="43" t="str">
        <f>IF($A45=AP$1, IF(ROW(AP45)=2, "+", IF(COUNTIF($B45:AO45, "X")=0, "+", "-")), IF(MOD($A45, AP$1)=0, "X", "O"))</f>
        <v>O</v>
      </c>
      <c r="AQ45" s="43" t="str">
        <f>IF($A45=AQ$1, IF(ROW(AQ45)=2, "+", IF(COUNTIF($B45:AP45, "X")=0, "+", "-")), IF(MOD($A45, AQ$1)=0, "X", "O"))</f>
        <v>O</v>
      </c>
      <c r="AR45" s="43" t="str">
        <f>IF($A45=AR$1, IF(ROW(AR45)=2, "+", IF(COUNTIF($B45:AQ45, "X")=0, "+", "-")), IF(MOD($A45, AR$1)=0, "X", "O"))</f>
        <v>O</v>
      </c>
      <c r="AS45" s="43" t="str">
        <f>IF($A45=AS$1, IF(ROW(AS45)=2, "+", IF(COUNTIF($B45:AR45, "X")=0, "+", "-")), IF(MOD($A45, AS$1)=0, "X", "O"))</f>
        <v>-</v>
      </c>
      <c r="AT45" s="43" t="str">
        <f>IF($A45=AT$1, IF(ROW(AT45)=2, "+", IF(COUNTIF($B45:AS45, "X")=0, "+", "-")), IF(MOD($A45, AT$1)=0, "X", "O"))</f>
        <v>O</v>
      </c>
      <c r="AU45" s="43" t="str">
        <f>IF($A45=AU$1, IF(ROW(AU45)=2, "+", IF(COUNTIF($B45:AT45, "X")=0, "+", "-")), IF(MOD($A45, AU$1)=0, "X", "O"))</f>
        <v>O</v>
      </c>
      <c r="AV45" s="43" t="str">
        <f>IF($A45=AV$1, IF(ROW(AV45)=2, "+", IF(COUNTIF($B45:AU45, "X")=0, "+", "-")), IF(MOD($A45, AV$1)=0, "X", "O"))</f>
        <v>O</v>
      </c>
      <c r="AW45" s="43" t="str">
        <f>IF($A45=AW$1, IF(ROW(AW45)=2, "+", IF(COUNTIF($B45:AV45, "X")=0, "+", "-")), IF(MOD($A45, AW$1)=0, "X", "O"))</f>
        <v>O</v>
      </c>
      <c r="AX45" s="43" t="str">
        <f>IF($A45=AX$1, IF(ROW(AX45)=2, "+", IF(COUNTIF($B45:AW45, "X")=0, "+", "-")), IF(MOD($A45, AX$1)=0, "X", "O"))</f>
        <v>O</v>
      </c>
      <c r="AY45" s="43" t="str">
        <f>IF($A45=AY$1, IF(ROW(AY45)=2, "+", IF(COUNTIF($B45:AX45, "X")=0, "+", "-")), IF(MOD($A45, AY$1)=0, "X", "O"))</f>
        <v>O</v>
      </c>
      <c r="AZ45" s="43" t="str">
        <f>IF($A45=AZ$1, IF(ROW(AZ45)=2, "+", IF(COUNTIF($B45:AY45, "X")=0, "+", "-")), IF(MOD($A45, AZ$1)=0, "X", "O"))</f>
        <v>O</v>
      </c>
      <c r="BA45" s="43" t="str">
        <f>IF($A45=BA$1, IF(ROW(BA45)=2, "+", IF(COUNTIF($B45:AZ45, "X")=0, "+", "-")), IF(MOD($A45, BA$1)=0, "X", "O"))</f>
        <v>O</v>
      </c>
      <c r="BB45" s="43" t="str">
        <f>IF($A45=BB$1, IF(ROW(BB45)=2, "+", IF(COUNTIF($B45:BA45, "X")=0, "+", "-")), IF(MOD($A45, BB$1)=0, "X", "O"))</f>
        <v>O</v>
      </c>
      <c r="BC45" s="43" t="str">
        <f>IF($A45=BC$1, IF(ROW(BC45)=2, "+", IF(COUNTIF($B45:BB45, "X")=0, "+", "-")), IF(MOD($A45, BC$1)=0, "X", "O"))</f>
        <v>O</v>
      </c>
      <c r="BD45" s="43" t="str">
        <f>IF($A45=BD$1, IF(ROW(BD45)=2, "+", IF(COUNTIF($B45:BC45, "X")=0, "+", "-")), IF(MOD($A45, BD$1)=0, "X", "O"))</f>
        <v>O</v>
      </c>
      <c r="BE45" s="43" t="str">
        <f>IF($A45=BE$1, IF(ROW(BE45)=2, "+", IF(COUNTIF($B45:BD45, "X")=0, "+", "-")), IF(MOD($A45, BE$1)=0, "X", "O"))</f>
        <v>O</v>
      </c>
      <c r="BF45" s="43" t="str">
        <f>IF($A45=BF$1, IF(ROW(BF45)=2, "+", IF(COUNTIF($B45:BE45, "X")=0, "+", "-")), IF(MOD($A45, BF$1)=0, "X", "O"))</f>
        <v>O</v>
      </c>
      <c r="BG45" s="43" t="str">
        <f>IF($A45=BG$1, IF(ROW(BG45)=2, "+", IF(COUNTIF($B45:BF45, "X")=0, "+", "-")), IF(MOD($A45, BG$1)=0, "X", "O"))</f>
        <v>O</v>
      </c>
      <c r="BH45" s="43" t="str">
        <f>IF($A45=BH$1, IF(ROW(BH45)=2, "+", IF(COUNTIF($B45:BG45, "X")=0, "+", "-")), IF(MOD($A45, BH$1)=0, "X", "O"))</f>
        <v>O</v>
      </c>
    </row>
    <row r="46" spans="1:60" x14ac:dyDescent="0.25">
      <c r="A46">
        <v>46</v>
      </c>
      <c r="B46" s="43" t="str">
        <f>IF($A46=B$1, IF(ROW(B46)=2, "+", IF(COUNTIF(A46:$B46, "X")=0, "+", "-")), IF(MOD($A46, B$1)=0, "X", "O"))</f>
        <v>X</v>
      </c>
      <c r="C46" s="43" t="str">
        <f>IF($A46=C$1, IF(ROW(C46)=2, "+", IF(COUNTIF(B46:$B46, "X")=0, "+", "-")), IF(MOD($A46, C$1)=0, "X", "O"))</f>
        <v>O</v>
      </c>
      <c r="D46" s="43" t="str">
        <f>IF($A46=D$1, IF(ROW(D46)=2, "+", IF(COUNTIF($B46:C46, "X")=0, "+", "-")), IF(MOD($A46, D$1)=0, "X", "O"))</f>
        <v>O</v>
      </c>
      <c r="E46" s="43" t="str">
        <f>IF($A46=E$1, IF(ROW(E46)=2, "+", IF(COUNTIF($B46:D46, "X")=0, "+", "-")), IF(MOD($A46, E$1)=0, "X", "O"))</f>
        <v>O</v>
      </c>
      <c r="F46" s="43" t="str">
        <f>IF($A46=F$1, IF(ROW(F46)=2, "+", IF(COUNTIF($B46:E46, "X")=0, "+", "-")), IF(MOD($A46, F$1)=0, "X", "O"))</f>
        <v>O</v>
      </c>
      <c r="G46" s="43" t="str">
        <f>IF($A46=G$1, IF(ROW(G46)=2, "+", IF(COUNTIF($B46:F46, "X")=0, "+", "-")), IF(MOD($A46, G$1)=0, "X", "O"))</f>
        <v>O</v>
      </c>
      <c r="H46" s="43" t="str">
        <f>IF($A46=H$1, IF(ROW(H46)=2, "+", IF(COUNTIF($B46:G46, "X")=0, "+", "-")), IF(MOD($A46, H$1)=0, "X", "O"))</f>
        <v>O</v>
      </c>
      <c r="I46" s="43" t="str">
        <f>IF($A46=I$1, IF(ROW(I46)=2, "+", IF(COUNTIF($B46:H46, "X")=0, "+", "-")), IF(MOD($A46, I$1)=0, "X", "O"))</f>
        <v>O</v>
      </c>
      <c r="J46" s="43" t="str">
        <f>IF($A46=J$1, IF(ROW(J46)=2, "+", IF(COUNTIF($B46:I46, "X")=0, "+", "-")), IF(MOD($A46, J$1)=0, "X", "O"))</f>
        <v>O</v>
      </c>
      <c r="K46" s="43" t="str">
        <f>IF($A46=K$1, IF(ROW(K46)=2, "+", IF(COUNTIF($B46:J46, "X")=0, "+", "-")), IF(MOD($A46, K$1)=0, "X", "O"))</f>
        <v>O</v>
      </c>
      <c r="L46" s="43" t="str">
        <f>IF($A46=L$1, IF(ROW(L46)=2, "+", IF(COUNTIF($B46:K46, "X")=0, "+", "-")), IF(MOD($A46, L$1)=0, "X", "O"))</f>
        <v>O</v>
      </c>
      <c r="M46" s="43" t="str">
        <f>IF($A46=M$1, IF(ROW(M46)=2, "+", IF(COUNTIF($B46:L46, "X")=0, "+", "-")), IF(MOD($A46, M$1)=0, "X", "O"))</f>
        <v>O</v>
      </c>
      <c r="N46" s="43" t="str">
        <f>IF($A46=N$1, IF(ROW(N46)=2, "+", IF(COUNTIF($B46:M46, "X")=0, "+", "-")), IF(MOD($A46, N$1)=0, "X", "O"))</f>
        <v>O</v>
      </c>
      <c r="O46" s="43" t="str">
        <f>IF($A46=O$1, IF(ROW(O46)=2, "+", IF(COUNTIF($B46:N46, "X")=0, "+", "-")), IF(MOD($A46, O$1)=0, "X", "O"))</f>
        <v>O</v>
      </c>
      <c r="P46" s="43" t="str">
        <f>IF($A46=P$1, IF(ROW(P46)=2, "+", IF(COUNTIF($B46:O46, "X")=0, "+", "-")), IF(MOD($A46, P$1)=0, "X", "O"))</f>
        <v>O</v>
      </c>
      <c r="Q46" s="43" t="str">
        <f>IF($A46=Q$1, IF(ROW(Q46)=2, "+", IF(COUNTIF($B46:P46, "X")=0, "+", "-")), IF(MOD($A46, Q$1)=0, "X", "O"))</f>
        <v>O</v>
      </c>
      <c r="R46" s="43" t="str">
        <f>IF($A46=R$1, IF(ROW(R46)=2, "+", IF(COUNTIF($B46:Q46, "X")=0, "+", "-")), IF(MOD($A46, R$1)=0, "X", "O"))</f>
        <v>O</v>
      </c>
      <c r="S46" s="43" t="str">
        <f>IF($A46=S$1, IF(ROW(S46)=2, "+", IF(COUNTIF($B46:R46, "X")=0, "+", "-")), IF(MOD($A46, S$1)=0, "X", "O"))</f>
        <v>O</v>
      </c>
      <c r="T46" s="43" t="str">
        <f>IF($A46=T$1, IF(ROW(T46)=2, "+", IF(COUNTIF($B46:S46, "X")=0, "+", "-")), IF(MOD($A46, T$1)=0, "X", "O"))</f>
        <v>O</v>
      </c>
      <c r="U46" s="43" t="str">
        <f>IF($A46=U$1, IF(ROW(U46)=2, "+", IF(COUNTIF($B46:T46, "X")=0, "+", "-")), IF(MOD($A46, U$1)=0, "X", "O"))</f>
        <v>O</v>
      </c>
      <c r="V46" s="43" t="str">
        <f>IF($A46=V$1, IF(ROW(V46)=2, "+", IF(COUNTIF($B46:U46, "X")=0, "+", "-")), IF(MOD($A46, V$1)=0, "X", "O"))</f>
        <v>O</v>
      </c>
      <c r="W46" s="43" t="str">
        <f>IF($A46=W$1, IF(ROW(W46)=2, "+", IF(COUNTIF($B46:V46, "X")=0, "+", "-")), IF(MOD($A46, W$1)=0, "X", "O"))</f>
        <v>X</v>
      </c>
      <c r="X46" s="43" t="str">
        <f>IF($A46=X$1, IF(ROW(X46)=2, "+", IF(COUNTIF($B46:W46, "X")=0, "+", "-")), IF(MOD($A46, X$1)=0, "X", "O"))</f>
        <v>O</v>
      </c>
      <c r="Y46" s="43" t="str">
        <f>IF($A46=Y$1, IF(ROW(Y46)=2, "+", IF(COUNTIF($B46:X46, "X")=0, "+", "-")), IF(MOD($A46, Y$1)=0, "X", "O"))</f>
        <v>O</v>
      </c>
      <c r="Z46" s="43" t="str">
        <f>IF($A46=Z$1, IF(ROW(Z46)=2, "+", IF(COUNTIF($B46:Y46, "X")=0, "+", "-")), IF(MOD($A46, Z$1)=0, "X", "O"))</f>
        <v>O</v>
      </c>
      <c r="AA46" s="43" t="str">
        <f>IF($A46=AA$1, IF(ROW(AA46)=2, "+", IF(COUNTIF($B46:Z46, "X")=0, "+", "-")), IF(MOD($A46, AA$1)=0, "X", "O"))</f>
        <v>O</v>
      </c>
      <c r="AB46" s="43" t="str">
        <f>IF($A46=AB$1, IF(ROW(AB46)=2, "+", IF(COUNTIF($B46:AA46, "X")=0, "+", "-")), IF(MOD($A46, AB$1)=0, "X", "O"))</f>
        <v>O</v>
      </c>
      <c r="AC46" s="43" t="str">
        <f>IF($A46=AC$1, IF(ROW(AC46)=2, "+", IF(COUNTIF($B46:AB46, "X")=0, "+", "-")), IF(MOD($A46, AC$1)=0, "X", "O"))</f>
        <v>O</v>
      </c>
      <c r="AD46" s="43" t="str">
        <f>IF($A46=AD$1, IF(ROW(AD46)=2, "+", IF(COUNTIF($B46:AC46, "X")=0, "+", "-")), IF(MOD($A46, AD$1)=0, "X", "O"))</f>
        <v>O</v>
      </c>
      <c r="AE46" s="43" t="str">
        <f>IF($A46=AE$1, IF(ROW(AE46)=2, "+", IF(COUNTIF($B46:AD46, "X")=0, "+", "-")), IF(MOD($A46, AE$1)=0, "X", "O"))</f>
        <v>O</v>
      </c>
      <c r="AF46" s="43" t="str">
        <f>IF($A46=AF$1, IF(ROW(AF46)=2, "+", IF(COUNTIF($B46:AE46, "X")=0, "+", "-")), IF(MOD($A46, AF$1)=0, "X", "O"))</f>
        <v>O</v>
      </c>
      <c r="AG46" s="43" t="str">
        <f>IF($A46=AG$1, IF(ROW(AG46)=2, "+", IF(COUNTIF($B46:AF46, "X")=0, "+", "-")), IF(MOD($A46, AG$1)=0, "X", "O"))</f>
        <v>O</v>
      </c>
      <c r="AH46" s="43" t="str">
        <f>IF($A46=AH$1, IF(ROW(AH46)=2, "+", IF(COUNTIF($B46:AG46, "X")=0, "+", "-")), IF(MOD($A46, AH$1)=0, "X", "O"))</f>
        <v>O</v>
      </c>
      <c r="AI46" s="43" t="str">
        <f>IF($A46=AI$1, IF(ROW(AI46)=2, "+", IF(COUNTIF($B46:AH46, "X")=0, "+", "-")), IF(MOD($A46, AI$1)=0, "X", "O"))</f>
        <v>O</v>
      </c>
      <c r="AJ46" s="43" t="str">
        <f>IF($A46=AJ$1, IF(ROW(AJ46)=2, "+", IF(COUNTIF($B46:AI46, "X")=0, "+", "-")), IF(MOD($A46, AJ$1)=0, "X", "O"))</f>
        <v>O</v>
      </c>
      <c r="AK46" s="43" t="str">
        <f>IF($A46=AK$1, IF(ROW(AK46)=2, "+", IF(COUNTIF($B46:AJ46, "X")=0, "+", "-")), IF(MOD($A46, AK$1)=0, "X", "O"))</f>
        <v>O</v>
      </c>
      <c r="AL46" s="43" t="str">
        <f>IF($A46=AL$1, IF(ROW(AL46)=2, "+", IF(COUNTIF($B46:AK46, "X")=0, "+", "-")), IF(MOD($A46, AL$1)=0, "X", "O"))</f>
        <v>O</v>
      </c>
      <c r="AM46" s="43" t="str">
        <f>IF($A46=AM$1, IF(ROW(AM46)=2, "+", IF(COUNTIF($B46:AL46, "X")=0, "+", "-")), IF(MOD($A46, AM$1)=0, "X", "O"))</f>
        <v>O</v>
      </c>
      <c r="AN46" s="43" t="str">
        <f>IF($A46=AN$1, IF(ROW(AN46)=2, "+", IF(COUNTIF($B46:AM46, "X")=0, "+", "-")), IF(MOD($A46, AN$1)=0, "X", "O"))</f>
        <v>O</v>
      </c>
      <c r="AO46" s="43" t="str">
        <f>IF($A46=AO$1, IF(ROW(AO46)=2, "+", IF(COUNTIF($B46:AN46, "X")=0, "+", "-")), IF(MOD($A46, AO$1)=0, "X", "O"))</f>
        <v>O</v>
      </c>
      <c r="AP46" s="43" t="str">
        <f>IF($A46=AP$1, IF(ROW(AP46)=2, "+", IF(COUNTIF($B46:AO46, "X")=0, "+", "-")), IF(MOD($A46, AP$1)=0, "X", "O"))</f>
        <v>O</v>
      </c>
      <c r="AQ46" s="43" t="str">
        <f>IF($A46=AQ$1, IF(ROW(AQ46)=2, "+", IF(COUNTIF($B46:AP46, "X")=0, "+", "-")), IF(MOD($A46, AQ$1)=0, "X", "O"))</f>
        <v>O</v>
      </c>
      <c r="AR46" s="43" t="str">
        <f>IF($A46=AR$1, IF(ROW(AR46)=2, "+", IF(COUNTIF($B46:AQ46, "X")=0, "+", "-")), IF(MOD($A46, AR$1)=0, "X", "O"))</f>
        <v>O</v>
      </c>
      <c r="AS46" s="43" t="str">
        <f>IF($A46=AS$1, IF(ROW(AS46)=2, "+", IF(COUNTIF($B46:AR46, "X")=0, "+", "-")), IF(MOD($A46, AS$1)=0, "X", "O"))</f>
        <v>O</v>
      </c>
      <c r="AT46" s="43" t="str">
        <f>IF($A46=AT$1, IF(ROW(AT46)=2, "+", IF(COUNTIF($B46:AS46, "X")=0, "+", "-")), IF(MOD($A46, AT$1)=0, "X", "O"))</f>
        <v>-</v>
      </c>
      <c r="AU46" s="43" t="str">
        <f>IF($A46=AU$1, IF(ROW(AU46)=2, "+", IF(COUNTIF($B46:AT46, "X")=0, "+", "-")), IF(MOD($A46, AU$1)=0, "X", "O"))</f>
        <v>O</v>
      </c>
      <c r="AV46" s="43" t="str">
        <f>IF($A46=AV$1, IF(ROW(AV46)=2, "+", IF(COUNTIF($B46:AU46, "X")=0, "+", "-")), IF(MOD($A46, AV$1)=0, "X", "O"))</f>
        <v>O</v>
      </c>
      <c r="AW46" s="43" t="str">
        <f>IF($A46=AW$1, IF(ROW(AW46)=2, "+", IF(COUNTIF($B46:AV46, "X")=0, "+", "-")), IF(MOD($A46, AW$1)=0, "X", "O"))</f>
        <v>O</v>
      </c>
      <c r="AX46" s="43" t="str">
        <f>IF($A46=AX$1, IF(ROW(AX46)=2, "+", IF(COUNTIF($B46:AW46, "X")=0, "+", "-")), IF(MOD($A46, AX$1)=0, "X", "O"))</f>
        <v>O</v>
      </c>
      <c r="AY46" s="43" t="str">
        <f>IF($A46=AY$1, IF(ROW(AY46)=2, "+", IF(COUNTIF($B46:AX46, "X")=0, "+", "-")), IF(MOD($A46, AY$1)=0, "X", "O"))</f>
        <v>O</v>
      </c>
      <c r="AZ46" s="43" t="str">
        <f>IF($A46=AZ$1, IF(ROW(AZ46)=2, "+", IF(COUNTIF($B46:AY46, "X")=0, "+", "-")), IF(MOD($A46, AZ$1)=0, "X", "O"))</f>
        <v>O</v>
      </c>
      <c r="BA46" s="43" t="str">
        <f>IF($A46=BA$1, IF(ROW(BA46)=2, "+", IF(COUNTIF($B46:AZ46, "X")=0, "+", "-")), IF(MOD($A46, BA$1)=0, "X", "O"))</f>
        <v>O</v>
      </c>
      <c r="BB46" s="43" t="str">
        <f>IF($A46=BB$1, IF(ROW(BB46)=2, "+", IF(COUNTIF($B46:BA46, "X")=0, "+", "-")), IF(MOD($A46, BB$1)=0, "X", "O"))</f>
        <v>O</v>
      </c>
      <c r="BC46" s="43" t="str">
        <f>IF($A46=BC$1, IF(ROW(BC46)=2, "+", IF(COUNTIF($B46:BB46, "X")=0, "+", "-")), IF(MOD($A46, BC$1)=0, "X", "O"))</f>
        <v>O</v>
      </c>
      <c r="BD46" s="43" t="str">
        <f>IF($A46=BD$1, IF(ROW(BD46)=2, "+", IF(COUNTIF($B46:BC46, "X")=0, "+", "-")), IF(MOD($A46, BD$1)=0, "X", "O"))</f>
        <v>O</v>
      </c>
      <c r="BE46" s="43" t="str">
        <f>IF($A46=BE$1, IF(ROW(BE46)=2, "+", IF(COUNTIF($B46:BD46, "X")=0, "+", "-")), IF(MOD($A46, BE$1)=0, "X", "O"))</f>
        <v>O</v>
      </c>
      <c r="BF46" s="43" t="str">
        <f>IF($A46=BF$1, IF(ROW(BF46)=2, "+", IF(COUNTIF($B46:BE46, "X")=0, "+", "-")), IF(MOD($A46, BF$1)=0, "X", "O"))</f>
        <v>O</v>
      </c>
      <c r="BG46" s="43" t="str">
        <f>IF($A46=BG$1, IF(ROW(BG46)=2, "+", IF(COUNTIF($B46:BF46, "X")=0, "+", "-")), IF(MOD($A46, BG$1)=0, "X", "O"))</f>
        <v>O</v>
      </c>
      <c r="BH46" s="43" t="str">
        <f>IF($A46=BH$1, IF(ROW(BH46)=2, "+", IF(COUNTIF($B46:BG46, "X")=0, "+", "-")), IF(MOD($A46, BH$1)=0, "X", "O"))</f>
        <v>O</v>
      </c>
    </row>
    <row r="47" spans="1:60" x14ac:dyDescent="0.25">
      <c r="A47">
        <v>47</v>
      </c>
      <c r="B47" s="43" t="str">
        <f>IF($A47=B$1, IF(ROW(B47)=2, "+", IF(COUNTIF(A47:$B47, "X")=0, "+", "-")), IF(MOD($A47, B$1)=0, "X", "O"))</f>
        <v>O</v>
      </c>
      <c r="C47" s="43" t="str">
        <f>IF($A47=C$1, IF(ROW(C47)=2, "+", IF(COUNTIF(B47:$B47, "X")=0, "+", "-")), IF(MOD($A47, C$1)=0, "X", "O"))</f>
        <v>O</v>
      </c>
      <c r="D47" s="43" t="str">
        <f>IF($A47=D$1, IF(ROW(D47)=2, "+", IF(COUNTIF($B47:C47, "X")=0, "+", "-")), IF(MOD($A47, D$1)=0, "X", "O"))</f>
        <v>O</v>
      </c>
      <c r="E47" s="43" t="str">
        <f>IF($A47=E$1, IF(ROW(E47)=2, "+", IF(COUNTIF($B47:D47, "X")=0, "+", "-")), IF(MOD($A47, E$1)=0, "X", "O"))</f>
        <v>O</v>
      </c>
      <c r="F47" s="43" t="str">
        <f>IF($A47=F$1, IF(ROW(F47)=2, "+", IF(COUNTIF($B47:E47, "X")=0, "+", "-")), IF(MOD($A47, F$1)=0, "X", "O"))</f>
        <v>O</v>
      </c>
      <c r="G47" s="43" t="str">
        <f>IF($A47=G$1, IF(ROW(G47)=2, "+", IF(COUNTIF($B47:F47, "X")=0, "+", "-")), IF(MOD($A47, G$1)=0, "X", "O"))</f>
        <v>O</v>
      </c>
      <c r="H47" s="43" t="str">
        <f>IF($A47=H$1, IF(ROW(H47)=2, "+", IF(COUNTIF($B47:G47, "X")=0, "+", "-")), IF(MOD($A47, H$1)=0, "X", "O"))</f>
        <v>O</v>
      </c>
      <c r="I47" s="43" t="str">
        <f>IF($A47=I$1, IF(ROW(I47)=2, "+", IF(COUNTIF($B47:H47, "X")=0, "+", "-")), IF(MOD($A47, I$1)=0, "X", "O"))</f>
        <v>O</v>
      </c>
      <c r="J47" s="43" t="str">
        <f>IF($A47=J$1, IF(ROW(J47)=2, "+", IF(COUNTIF($B47:I47, "X")=0, "+", "-")), IF(MOD($A47, J$1)=0, "X", "O"))</f>
        <v>O</v>
      </c>
      <c r="K47" s="43" t="str">
        <f>IF($A47=K$1, IF(ROW(K47)=2, "+", IF(COUNTIF($B47:J47, "X")=0, "+", "-")), IF(MOD($A47, K$1)=0, "X", "O"))</f>
        <v>O</v>
      </c>
      <c r="L47" s="43" t="str">
        <f>IF($A47=L$1, IF(ROW(L47)=2, "+", IF(COUNTIF($B47:K47, "X")=0, "+", "-")), IF(MOD($A47, L$1)=0, "X", "O"))</f>
        <v>O</v>
      </c>
      <c r="M47" s="43" t="str">
        <f>IF($A47=M$1, IF(ROW(M47)=2, "+", IF(COUNTIF($B47:L47, "X")=0, "+", "-")), IF(MOD($A47, M$1)=0, "X", "O"))</f>
        <v>O</v>
      </c>
      <c r="N47" s="43" t="str">
        <f>IF($A47=N$1, IF(ROW(N47)=2, "+", IF(COUNTIF($B47:M47, "X")=0, "+", "-")), IF(MOD($A47, N$1)=0, "X", "O"))</f>
        <v>O</v>
      </c>
      <c r="O47" s="43" t="str">
        <f>IF($A47=O$1, IF(ROW(O47)=2, "+", IF(COUNTIF($B47:N47, "X")=0, "+", "-")), IF(MOD($A47, O$1)=0, "X", "O"))</f>
        <v>O</v>
      </c>
      <c r="P47" s="43" t="str">
        <f>IF($A47=P$1, IF(ROW(P47)=2, "+", IF(COUNTIF($B47:O47, "X")=0, "+", "-")), IF(MOD($A47, P$1)=0, "X", "O"))</f>
        <v>O</v>
      </c>
      <c r="Q47" s="43" t="str">
        <f>IF($A47=Q$1, IF(ROW(Q47)=2, "+", IF(COUNTIF($B47:P47, "X")=0, "+", "-")), IF(MOD($A47, Q$1)=0, "X", "O"))</f>
        <v>O</v>
      </c>
      <c r="R47" s="43" t="str">
        <f>IF($A47=R$1, IF(ROW(R47)=2, "+", IF(COUNTIF($B47:Q47, "X")=0, "+", "-")), IF(MOD($A47, R$1)=0, "X", "O"))</f>
        <v>O</v>
      </c>
      <c r="S47" s="43" t="str">
        <f>IF($A47=S$1, IF(ROW(S47)=2, "+", IF(COUNTIF($B47:R47, "X")=0, "+", "-")), IF(MOD($A47, S$1)=0, "X", "O"))</f>
        <v>O</v>
      </c>
      <c r="T47" s="43" t="str">
        <f>IF($A47=T$1, IF(ROW(T47)=2, "+", IF(COUNTIF($B47:S47, "X")=0, "+", "-")), IF(MOD($A47, T$1)=0, "X", "O"))</f>
        <v>O</v>
      </c>
      <c r="U47" s="43" t="str">
        <f>IF($A47=U$1, IF(ROW(U47)=2, "+", IF(COUNTIF($B47:T47, "X")=0, "+", "-")), IF(MOD($A47, U$1)=0, "X", "O"))</f>
        <v>O</v>
      </c>
      <c r="V47" s="43" t="str">
        <f>IF($A47=V$1, IF(ROW(V47)=2, "+", IF(COUNTIF($B47:U47, "X")=0, "+", "-")), IF(MOD($A47, V$1)=0, "X", "O"))</f>
        <v>O</v>
      </c>
      <c r="W47" s="43" t="str">
        <f>IF($A47=W$1, IF(ROW(W47)=2, "+", IF(COUNTIF($B47:V47, "X")=0, "+", "-")), IF(MOD($A47, W$1)=0, "X", "O"))</f>
        <v>O</v>
      </c>
      <c r="X47" s="43" t="str">
        <f>IF($A47=X$1, IF(ROW(X47)=2, "+", IF(COUNTIF($B47:W47, "X")=0, "+", "-")), IF(MOD($A47, X$1)=0, "X", "O"))</f>
        <v>O</v>
      </c>
      <c r="Y47" s="43" t="str">
        <f>IF($A47=Y$1, IF(ROW(Y47)=2, "+", IF(COUNTIF($B47:X47, "X")=0, "+", "-")), IF(MOD($A47, Y$1)=0, "X", "O"))</f>
        <v>O</v>
      </c>
      <c r="Z47" s="43" t="str">
        <f>IF($A47=Z$1, IF(ROW(Z47)=2, "+", IF(COUNTIF($B47:Y47, "X")=0, "+", "-")), IF(MOD($A47, Z$1)=0, "X", "O"))</f>
        <v>O</v>
      </c>
      <c r="AA47" s="43" t="str">
        <f>IF($A47=AA$1, IF(ROW(AA47)=2, "+", IF(COUNTIF($B47:Z47, "X")=0, "+", "-")), IF(MOD($A47, AA$1)=0, "X", "O"))</f>
        <v>O</v>
      </c>
      <c r="AB47" s="43" t="str">
        <f>IF($A47=AB$1, IF(ROW(AB47)=2, "+", IF(COUNTIF($B47:AA47, "X")=0, "+", "-")), IF(MOD($A47, AB$1)=0, "X", "O"))</f>
        <v>O</v>
      </c>
      <c r="AC47" s="43" t="str">
        <f>IF($A47=AC$1, IF(ROW(AC47)=2, "+", IF(COUNTIF($B47:AB47, "X")=0, "+", "-")), IF(MOD($A47, AC$1)=0, "X", "O"))</f>
        <v>O</v>
      </c>
      <c r="AD47" s="43" t="str">
        <f>IF($A47=AD$1, IF(ROW(AD47)=2, "+", IF(COUNTIF($B47:AC47, "X")=0, "+", "-")), IF(MOD($A47, AD$1)=0, "X", "O"))</f>
        <v>O</v>
      </c>
      <c r="AE47" s="43" t="str">
        <f>IF($A47=AE$1, IF(ROW(AE47)=2, "+", IF(COUNTIF($B47:AD47, "X")=0, "+", "-")), IF(MOD($A47, AE$1)=0, "X", "O"))</f>
        <v>O</v>
      </c>
      <c r="AF47" s="43" t="str">
        <f>IF($A47=AF$1, IF(ROW(AF47)=2, "+", IF(COUNTIF($B47:AE47, "X")=0, "+", "-")), IF(MOD($A47, AF$1)=0, "X", "O"))</f>
        <v>O</v>
      </c>
      <c r="AG47" s="43" t="str">
        <f>IF($A47=AG$1, IF(ROW(AG47)=2, "+", IF(COUNTIF($B47:AF47, "X")=0, "+", "-")), IF(MOD($A47, AG$1)=0, "X", "O"))</f>
        <v>O</v>
      </c>
      <c r="AH47" s="43" t="str">
        <f>IF($A47=AH$1, IF(ROW(AH47)=2, "+", IF(COUNTIF($B47:AG47, "X")=0, "+", "-")), IF(MOD($A47, AH$1)=0, "X", "O"))</f>
        <v>O</v>
      </c>
      <c r="AI47" s="43" t="str">
        <f>IF($A47=AI$1, IF(ROW(AI47)=2, "+", IF(COUNTIF($B47:AH47, "X")=0, "+", "-")), IF(MOD($A47, AI$1)=0, "X", "O"))</f>
        <v>O</v>
      </c>
      <c r="AJ47" s="43" t="str">
        <f>IF($A47=AJ$1, IF(ROW(AJ47)=2, "+", IF(COUNTIF($B47:AI47, "X")=0, "+", "-")), IF(MOD($A47, AJ$1)=0, "X", "O"))</f>
        <v>O</v>
      </c>
      <c r="AK47" s="43" t="str">
        <f>IF($A47=AK$1, IF(ROW(AK47)=2, "+", IF(COUNTIF($B47:AJ47, "X")=0, "+", "-")), IF(MOD($A47, AK$1)=0, "X", "O"))</f>
        <v>O</v>
      </c>
      <c r="AL47" s="43" t="str">
        <f>IF($A47=AL$1, IF(ROW(AL47)=2, "+", IF(COUNTIF($B47:AK47, "X")=0, "+", "-")), IF(MOD($A47, AL$1)=0, "X", "O"))</f>
        <v>O</v>
      </c>
      <c r="AM47" s="43" t="str">
        <f>IF($A47=AM$1, IF(ROW(AM47)=2, "+", IF(COUNTIF($B47:AL47, "X")=0, "+", "-")), IF(MOD($A47, AM$1)=0, "X", "O"))</f>
        <v>O</v>
      </c>
      <c r="AN47" s="43" t="str">
        <f>IF($A47=AN$1, IF(ROW(AN47)=2, "+", IF(COUNTIF($B47:AM47, "X")=0, "+", "-")), IF(MOD($A47, AN$1)=0, "X", "O"))</f>
        <v>O</v>
      </c>
      <c r="AO47" s="43" t="str">
        <f>IF($A47=AO$1, IF(ROW(AO47)=2, "+", IF(COUNTIF($B47:AN47, "X")=0, "+", "-")), IF(MOD($A47, AO$1)=0, "X", "O"))</f>
        <v>O</v>
      </c>
      <c r="AP47" s="43" t="str">
        <f>IF($A47=AP$1, IF(ROW(AP47)=2, "+", IF(COUNTIF($B47:AO47, "X")=0, "+", "-")), IF(MOD($A47, AP$1)=0, "X", "O"))</f>
        <v>O</v>
      </c>
      <c r="AQ47" s="43" t="str">
        <f>IF($A47=AQ$1, IF(ROW(AQ47)=2, "+", IF(COUNTIF($B47:AP47, "X")=0, "+", "-")), IF(MOD($A47, AQ$1)=0, "X", "O"))</f>
        <v>O</v>
      </c>
      <c r="AR47" s="43" t="str">
        <f>IF($A47=AR$1, IF(ROW(AR47)=2, "+", IF(COUNTIF($B47:AQ47, "X")=0, "+", "-")), IF(MOD($A47, AR$1)=0, "X", "O"))</f>
        <v>O</v>
      </c>
      <c r="AS47" s="43" t="str">
        <f>IF($A47=AS$1, IF(ROW(AS47)=2, "+", IF(COUNTIF($B47:AR47, "X")=0, "+", "-")), IF(MOD($A47, AS$1)=0, "X", "O"))</f>
        <v>O</v>
      </c>
      <c r="AT47" s="43" t="str">
        <f>IF($A47=AT$1, IF(ROW(AT47)=2, "+", IF(COUNTIF($B47:AS47, "X")=0, "+", "-")), IF(MOD($A47, AT$1)=0, "X", "O"))</f>
        <v>O</v>
      </c>
      <c r="AU47" s="43" t="str">
        <f>IF($A47=AU$1, IF(ROW(AU47)=2, "+", IF(COUNTIF($B47:AT47, "X")=0, "+", "-")), IF(MOD($A47, AU$1)=0, "X", "O"))</f>
        <v>+</v>
      </c>
      <c r="AV47" s="43" t="str">
        <f>IF($A47=AV$1, IF(ROW(AV47)=2, "+", IF(COUNTIF($B47:AU47, "X")=0, "+", "-")), IF(MOD($A47, AV$1)=0, "X", "O"))</f>
        <v>O</v>
      </c>
      <c r="AW47" s="43" t="str">
        <f>IF($A47=AW$1, IF(ROW(AW47)=2, "+", IF(COUNTIF($B47:AV47, "X")=0, "+", "-")), IF(MOD($A47, AW$1)=0, "X", "O"))</f>
        <v>O</v>
      </c>
      <c r="AX47" s="43" t="str">
        <f>IF($A47=AX$1, IF(ROW(AX47)=2, "+", IF(COUNTIF($B47:AW47, "X")=0, "+", "-")), IF(MOD($A47, AX$1)=0, "X", "O"))</f>
        <v>O</v>
      </c>
      <c r="AY47" s="43" t="str">
        <f>IF($A47=AY$1, IF(ROW(AY47)=2, "+", IF(COUNTIF($B47:AX47, "X")=0, "+", "-")), IF(MOD($A47, AY$1)=0, "X", "O"))</f>
        <v>O</v>
      </c>
      <c r="AZ47" s="43" t="str">
        <f>IF($A47=AZ$1, IF(ROW(AZ47)=2, "+", IF(COUNTIF($B47:AY47, "X")=0, "+", "-")), IF(MOD($A47, AZ$1)=0, "X", "O"))</f>
        <v>O</v>
      </c>
      <c r="BA47" s="43" t="str">
        <f>IF($A47=BA$1, IF(ROW(BA47)=2, "+", IF(COUNTIF($B47:AZ47, "X")=0, "+", "-")), IF(MOD($A47, BA$1)=0, "X", "O"))</f>
        <v>O</v>
      </c>
      <c r="BB47" s="43" t="str">
        <f>IF($A47=BB$1, IF(ROW(BB47)=2, "+", IF(COUNTIF($B47:BA47, "X")=0, "+", "-")), IF(MOD($A47, BB$1)=0, "X", "O"))</f>
        <v>O</v>
      </c>
      <c r="BC47" s="43" t="str">
        <f>IF($A47=BC$1, IF(ROW(BC47)=2, "+", IF(COUNTIF($B47:BB47, "X")=0, "+", "-")), IF(MOD($A47, BC$1)=0, "X", "O"))</f>
        <v>O</v>
      </c>
      <c r="BD47" s="43" t="str">
        <f>IF($A47=BD$1, IF(ROW(BD47)=2, "+", IF(COUNTIF($B47:BC47, "X")=0, "+", "-")), IF(MOD($A47, BD$1)=0, "X", "O"))</f>
        <v>O</v>
      </c>
      <c r="BE47" s="43" t="str">
        <f>IF($A47=BE$1, IF(ROW(BE47)=2, "+", IF(COUNTIF($B47:BD47, "X")=0, "+", "-")), IF(MOD($A47, BE$1)=0, "X", "O"))</f>
        <v>O</v>
      </c>
      <c r="BF47" s="43" t="str">
        <f>IF($A47=BF$1, IF(ROW(BF47)=2, "+", IF(COUNTIF($B47:BE47, "X")=0, "+", "-")), IF(MOD($A47, BF$1)=0, "X", "O"))</f>
        <v>O</v>
      </c>
      <c r="BG47" s="43" t="str">
        <f>IF($A47=BG$1, IF(ROW(BG47)=2, "+", IF(COUNTIF($B47:BF47, "X")=0, "+", "-")), IF(MOD($A47, BG$1)=0, "X", "O"))</f>
        <v>O</v>
      </c>
      <c r="BH47" s="43" t="str">
        <f>IF($A47=BH$1, IF(ROW(BH47)=2, "+", IF(COUNTIF($B47:BG47, "X")=0, "+", "-")), IF(MOD($A47, BH$1)=0, "X", "O"))</f>
        <v>O</v>
      </c>
    </row>
    <row r="48" spans="1:60" x14ac:dyDescent="0.25">
      <c r="A48">
        <v>48</v>
      </c>
      <c r="B48" s="43" t="str">
        <f>IF($A48=B$1, IF(ROW(B48)=2, "+", IF(COUNTIF(A48:$B48, "X")=0, "+", "-")), IF(MOD($A48, B$1)=0, "X", "O"))</f>
        <v>X</v>
      </c>
      <c r="C48" s="43" t="str">
        <f>IF($A48=C$1, IF(ROW(C48)=2, "+", IF(COUNTIF(B48:$B48, "X")=0, "+", "-")), IF(MOD($A48, C$1)=0, "X", "O"))</f>
        <v>X</v>
      </c>
      <c r="D48" s="43" t="str">
        <f>IF($A48=D$1, IF(ROW(D48)=2, "+", IF(COUNTIF($B48:C48, "X")=0, "+", "-")), IF(MOD($A48, D$1)=0, "X", "O"))</f>
        <v>X</v>
      </c>
      <c r="E48" s="43" t="str">
        <f>IF($A48=E$1, IF(ROW(E48)=2, "+", IF(COUNTIF($B48:D48, "X")=0, "+", "-")), IF(MOD($A48, E$1)=0, "X", "O"))</f>
        <v>O</v>
      </c>
      <c r="F48" s="43" t="str">
        <f>IF($A48=F$1, IF(ROW(F48)=2, "+", IF(COUNTIF($B48:E48, "X")=0, "+", "-")), IF(MOD($A48, F$1)=0, "X", "O"))</f>
        <v>X</v>
      </c>
      <c r="G48" s="43" t="str">
        <f>IF($A48=G$1, IF(ROW(G48)=2, "+", IF(COUNTIF($B48:F48, "X")=0, "+", "-")), IF(MOD($A48, G$1)=0, "X", "O"))</f>
        <v>O</v>
      </c>
      <c r="H48" s="43" t="str">
        <f>IF($A48=H$1, IF(ROW(H48)=2, "+", IF(COUNTIF($B48:G48, "X")=0, "+", "-")), IF(MOD($A48, H$1)=0, "X", "O"))</f>
        <v>X</v>
      </c>
      <c r="I48" s="43" t="str">
        <f>IF($A48=I$1, IF(ROW(I48)=2, "+", IF(COUNTIF($B48:H48, "X")=0, "+", "-")), IF(MOD($A48, I$1)=0, "X", "O"))</f>
        <v>O</v>
      </c>
      <c r="J48" s="43" t="str">
        <f>IF($A48=J$1, IF(ROW(J48)=2, "+", IF(COUNTIF($B48:I48, "X")=0, "+", "-")), IF(MOD($A48, J$1)=0, "X", "O"))</f>
        <v>O</v>
      </c>
      <c r="K48" s="43" t="str">
        <f>IF($A48=K$1, IF(ROW(K48)=2, "+", IF(COUNTIF($B48:J48, "X")=0, "+", "-")), IF(MOD($A48, K$1)=0, "X", "O"))</f>
        <v>O</v>
      </c>
      <c r="L48" s="43" t="str">
        <f>IF($A48=L$1, IF(ROW(L48)=2, "+", IF(COUNTIF($B48:K48, "X")=0, "+", "-")), IF(MOD($A48, L$1)=0, "X", "O"))</f>
        <v>X</v>
      </c>
      <c r="M48" s="43" t="str">
        <f>IF($A48=M$1, IF(ROW(M48)=2, "+", IF(COUNTIF($B48:L48, "X")=0, "+", "-")), IF(MOD($A48, M$1)=0, "X", "O"))</f>
        <v>O</v>
      </c>
      <c r="N48" s="43" t="str">
        <f>IF($A48=N$1, IF(ROW(N48)=2, "+", IF(COUNTIF($B48:M48, "X")=0, "+", "-")), IF(MOD($A48, N$1)=0, "X", "O"))</f>
        <v>O</v>
      </c>
      <c r="O48" s="43" t="str">
        <f>IF($A48=O$1, IF(ROW(O48)=2, "+", IF(COUNTIF($B48:N48, "X")=0, "+", "-")), IF(MOD($A48, O$1)=0, "X", "O"))</f>
        <v>O</v>
      </c>
      <c r="P48" s="43" t="str">
        <f>IF($A48=P$1, IF(ROW(P48)=2, "+", IF(COUNTIF($B48:O48, "X")=0, "+", "-")), IF(MOD($A48, P$1)=0, "X", "O"))</f>
        <v>X</v>
      </c>
      <c r="Q48" s="43" t="str">
        <f>IF($A48=Q$1, IF(ROW(Q48)=2, "+", IF(COUNTIF($B48:P48, "X")=0, "+", "-")), IF(MOD($A48, Q$1)=0, "X", "O"))</f>
        <v>O</v>
      </c>
      <c r="R48" s="43" t="str">
        <f>IF($A48=R$1, IF(ROW(R48)=2, "+", IF(COUNTIF($B48:Q48, "X")=0, "+", "-")), IF(MOD($A48, R$1)=0, "X", "O"))</f>
        <v>O</v>
      </c>
      <c r="S48" s="43" t="str">
        <f>IF($A48=S$1, IF(ROW(S48)=2, "+", IF(COUNTIF($B48:R48, "X")=0, "+", "-")), IF(MOD($A48, S$1)=0, "X", "O"))</f>
        <v>O</v>
      </c>
      <c r="T48" s="43" t="str">
        <f>IF($A48=T$1, IF(ROW(T48)=2, "+", IF(COUNTIF($B48:S48, "X")=0, "+", "-")), IF(MOD($A48, T$1)=0, "X", "O"))</f>
        <v>O</v>
      </c>
      <c r="U48" s="43" t="str">
        <f>IF($A48=U$1, IF(ROW(U48)=2, "+", IF(COUNTIF($B48:T48, "X")=0, "+", "-")), IF(MOD($A48, U$1)=0, "X", "O"))</f>
        <v>O</v>
      </c>
      <c r="V48" s="43" t="str">
        <f>IF($A48=V$1, IF(ROW(V48)=2, "+", IF(COUNTIF($B48:U48, "X")=0, "+", "-")), IF(MOD($A48, V$1)=0, "X", "O"))</f>
        <v>O</v>
      </c>
      <c r="W48" s="43" t="str">
        <f>IF($A48=W$1, IF(ROW(W48)=2, "+", IF(COUNTIF($B48:V48, "X")=0, "+", "-")), IF(MOD($A48, W$1)=0, "X", "O"))</f>
        <v>O</v>
      </c>
      <c r="X48" s="43" t="str">
        <f>IF($A48=X$1, IF(ROW(X48)=2, "+", IF(COUNTIF($B48:W48, "X")=0, "+", "-")), IF(MOD($A48, X$1)=0, "X", "O"))</f>
        <v>X</v>
      </c>
      <c r="Y48" s="43" t="str">
        <f>IF($A48=Y$1, IF(ROW(Y48)=2, "+", IF(COUNTIF($B48:X48, "X")=0, "+", "-")), IF(MOD($A48, Y$1)=0, "X", "O"))</f>
        <v>O</v>
      </c>
      <c r="Z48" s="43" t="str">
        <f>IF($A48=Z$1, IF(ROW(Z48)=2, "+", IF(COUNTIF($B48:Y48, "X")=0, "+", "-")), IF(MOD($A48, Z$1)=0, "X", "O"))</f>
        <v>O</v>
      </c>
      <c r="AA48" s="43" t="str">
        <f>IF($A48=AA$1, IF(ROW(AA48)=2, "+", IF(COUNTIF($B48:Z48, "X")=0, "+", "-")), IF(MOD($A48, AA$1)=0, "X", "O"))</f>
        <v>O</v>
      </c>
      <c r="AB48" s="43" t="str">
        <f>IF($A48=AB$1, IF(ROW(AB48)=2, "+", IF(COUNTIF($B48:AA48, "X")=0, "+", "-")), IF(MOD($A48, AB$1)=0, "X", "O"))</f>
        <v>O</v>
      </c>
      <c r="AC48" s="43" t="str">
        <f>IF($A48=AC$1, IF(ROW(AC48)=2, "+", IF(COUNTIF($B48:AB48, "X")=0, "+", "-")), IF(MOD($A48, AC$1)=0, "X", "O"))</f>
        <v>O</v>
      </c>
      <c r="AD48" s="43" t="str">
        <f>IF($A48=AD$1, IF(ROW(AD48)=2, "+", IF(COUNTIF($B48:AC48, "X")=0, "+", "-")), IF(MOD($A48, AD$1)=0, "X", "O"))</f>
        <v>O</v>
      </c>
      <c r="AE48" s="43" t="str">
        <f>IF($A48=AE$1, IF(ROW(AE48)=2, "+", IF(COUNTIF($B48:AD48, "X")=0, "+", "-")), IF(MOD($A48, AE$1)=0, "X", "O"))</f>
        <v>O</v>
      </c>
      <c r="AF48" s="43" t="str">
        <f>IF($A48=AF$1, IF(ROW(AF48)=2, "+", IF(COUNTIF($B48:AE48, "X")=0, "+", "-")), IF(MOD($A48, AF$1)=0, "X", "O"))</f>
        <v>O</v>
      </c>
      <c r="AG48" s="43" t="str">
        <f>IF($A48=AG$1, IF(ROW(AG48)=2, "+", IF(COUNTIF($B48:AF48, "X")=0, "+", "-")), IF(MOD($A48, AG$1)=0, "X", "O"))</f>
        <v>O</v>
      </c>
      <c r="AH48" s="43" t="str">
        <f>IF($A48=AH$1, IF(ROW(AH48)=2, "+", IF(COUNTIF($B48:AG48, "X")=0, "+", "-")), IF(MOD($A48, AH$1)=0, "X", "O"))</f>
        <v>O</v>
      </c>
      <c r="AI48" s="43" t="str">
        <f>IF($A48=AI$1, IF(ROW(AI48)=2, "+", IF(COUNTIF($B48:AH48, "X")=0, "+", "-")), IF(MOD($A48, AI$1)=0, "X", "O"))</f>
        <v>O</v>
      </c>
      <c r="AJ48" s="43" t="str">
        <f>IF($A48=AJ$1, IF(ROW(AJ48)=2, "+", IF(COUNTIF($B48:AI48, "X")=0, "+", "-")), IF(MOD($A48, AJ$1)=0, "X", "O"))</f>
        <v>O</v>
      </c>
      <c r="AK48" s="43" t="str">
        <f>IF($A48=AK$1, IF(ROW(AK48)=2, "+", IF(COUNTIF($B48:AJ48, "X")=0, "+", "-")), IF(MOD($A48, AK$1)=0, "X", "O"))</f>
        <v>O</v>
      </c>
      <c r="AL48" s="43" t="str">
        <f>IF($A48=AL$1, IF(ROW(AL48)=2, "+", IF(COUNTIF($B48:AK48, "X")=0, "+", "-")), IF(MOD($A48, AL$1)=0, "X", "O"))</f>
        <v>O</v>
      </c>
      <c r="AM48" s="43" t="str">
        <f>IF($A48=AM$1, IF(ROW(AM48)=2, "+", IF(COUNTIF($B48:AL48, "X")=0, "+", "-")), IF(MOD($A48, AM$1)=0, "X", "O"))</f>
        <v>O</v>
      </c>
      <c r="AN48" s="43" t="str">
        <f>IF($A48=AN$1, IF(ROW(AN48)=2, "+", IF(COUNTIF($B48:AM48, "X")=0, "+", "-")), IF(MOD($A48, AN$1)=0, "X", "O"))</f>
        <v>O</v>
      </c>
      <c r="AO48" s="43" t="str">
        <f>IF($A48=AO$1, IF(ROW(AO48)=2, "+", IF(COUNTIF($B48:AN48, "X")=0, "+", "-")), IF(MOD($A48, AO$1)=0, "X", "O"))</f>
        <v>O</v>
      </c>
      <c r="AP48" s="43" t="str">
        <f>IF($A48=AP$1, IF(ROW(AP48)=2, "+", IF(COUNTIF($B48:AO48, "X")=0, "+", "-")), IF(MOD($A48, AP$1)=0, "X", "O"))</f>
        <v>O</v>
      </c>
      <c r="AQ48" s="43" t="str">
        <f>IF($A48=AQ$1, IF(ROW(AQ48)=2, "+", IF(COUNTIF($B48:AP48, "X")=0, "+", "-")), IF(MOD($A48, AQ$1)=0, "X", "O"))</f>
        <v>O</v>
      </c>
      <c r="AR48" s="43" t="str">
        <f>IF($A48=AR$1, IF(ROW(AR48)=2, "+", IF(COUNTIF($B48:AQ48, "X")=0, "+", "-")), IF(MOD($A48, AR$1)=0, "X", "O"))</f>
        <v>O</v>
      </c>
      <c r="AS48" s="43" t="str">
        <f>IF($A48=AS$1, IF(ROW(AS48)=2, "+", IF(COUNTIF($B48:AR48, "X")=0, "+", "-")), IF(MOD($A48, AS$1)=0, "X", "O"))</f>
        <v>O</v>
      </c>
      <c r="AT48" s="43" t="str">
        <f>IF($A48=AT$1, IF(ROW(AT48)=2, "+", IF(COUNTIF($B48:AS48, "X")=0, "+", "-")), IF(MOD($A48, AT$1)=0, "X", "O"))</f>
        <v>O</v>
      </c>
      <c r="AU48" s="43" t="str">
        <f>IF($A48=AU$1, IF(ROW(AU48)=2, "+", IF(COUNTIF($B48:AT48, "X")=0, "+", "-")), IF(MOD($A48, AU$1)=0, "X", "O"))</f>
        <v>O</v>
      </c>
      <c r="AV48" s="43" t="str">
        <f>IF($A48=AV$1, IF(ROW(AV48)=2, "+", IF(COUNTIF($B48:AU48, "X")=0, "+", "-")), IF(MOD($A48, AV$1)=0, "X", "O"))</f>
        <v>-</v>
      </c>
      <c r="AW48" s="43" t="str">
        <f>IF($A48=AW$1, IF(ROW(AW48)=2, "+", IF(COUNTIF($B48:AV48, "X")=0, "+", "-")), IF(MOD($A48, AW$1)=0, "X", "O"))</f>
        <v>O</v>
      </c>
      <c r="AX48" s="43" t="str">
        <f>IF($A48=AX$1, IF(ROW(AX48)=2, "+", IF(COUNTIF($B48:AW48, "X")=0, "+", "-")), IF(MOD($A48, AX$1)=0, "X", "O"))</f>
        <v>O</v>
      </c>
      <c r="AY48" s="43" t="str">
        <f>IF($A48=AY$1, IF(ROW(AY48)=2, "+", IF(COUNTIF($B48:AX48, "X")=0, "+", "-")), IF(MOD($A48, AY$1)=0, "X", "O"))</f>
        <v>O</v>
      </c>
      <c r="AZ48" s="43" t="str">
        <f>IF($A48=AZ$1, IF(ROW(AZ48)=2, "+", IF(COUNTIF($B48:AY48, "X")=0, "+", "-")), IF(MOD($A48, AZ$1)=0, "X", "O"))</f>
        <v>O</v>
      </c>
      <c r="BA48" s="43" t="str">
        <f>IF($A48=BA$1, IF(ROW(BA48)=2, "+", IF(COUNTIF($B48:AZ48, "X")=0, "+", "-")), IF(MOD($A48, BA$1)=0, "X", "O"))</f>
        <v>O</v>
      </c>
      <c r="BB48" s="43" t="str">
        <f>IF($A48=BB$1, IF(ROW(BB48)=2, "+", IF(COUNTIF($B48:BA48, "X")=0, "+", "-")), IF(MOD($A48, BB$1)=0, "X", "O"))</f>
        <v>O</v>
      </c>
      <c r="BC48" s="43" t="str">
        <f>IF($A48=BC$1, IF(ROW(BC48)=2, "+", IF(COUNTIF($B48:BB48, "X")=0, "+", "-")), IF(MOD($A48, BC$1)=0, "X", "O"))</f>
        <v>O</v>
      </c>
      <c r="BD48" s="43" t="str">
        <f>IF($A48=BD$1, IF(ROW(BD48)=2, "+", IF(COUNTIF($B48:BC48, "X")=0, "+", "-")), IF(MOD($A48, BD$1)=0, "X", "O"))</f>
        <v>O</v>
      </c>
      <c r="BE48" s="43" t="str">
        <f>IF($A48=BE$1, IF(ROW(BE48)=2, "+", IF(COUNTIF($B48:BD48, "X")=0, "+", "-")), IF(MOD($A48, BE$1)=0, "X", "O"))</f>
        <v>O</v>
      </c>
      <c r="BF48" s="43" t="str">
        <f>IF($A48=BF$1, IF(ROW(BF48)=2, "+", IF(COUNTIF($B48:BE48, "X")=0, "+", "-")), IF(MOD($A48, BF$1)=0, "X", "O"))</f>
        <v>O</v>
      </c>
      <c r="BG48" s="43" t="str">
        <f>IF($A48=BG$1, IF(ROW(BG48)=2, "+", IF(COUNTIF($B48:BF48, "X")=0, "+", "-")), IF(MOD($A48, BG$1)=0, "X", "O"))</f>
        <v>O</v>
      </c>
      <c r="BH48" s="43" t="str">
        <f>IF($A48=BH$1, IF(ROW(BH48)=2, "+", IF(COUNTIF($B48:BG48, "X")=0, "+", "-")), IF(MOD($A48, BH$1)=0, "X", "O"))</f>
        <v>O</v>
      </c>
    </row>
    <row r="49" spans="1:60" x14ac:dyDescent="0.25">
      <c r="A49">
        <v>49</v>
      </c>
      <c r="B49" s="43" t="str">
        <f>IF($A49=B$1, IF(ROW(B49)=2, "+", IF(COUNTIF(A49:$B49, "X")=0, "+", "-")), IF(MOD($A49, B$1)=0, "X", "O"))</f>
        <v>O</v>
      </c>
      <c r="C49" s="43" t="str">
        <f>IF($A49=C$1, IF(ROW(C49)=2, "+", IF(COUNTIF(B49:$B49, "X")=0, "+", "-")), IF(MOD($A49, C$1)=0, "X", "O"))</f>
        <v>O</v>
      </c>
      <c r="D49" s="43" t="str">
        <f>IF($A49=D$1, IF(ROW(D49)=2, "+", IF(COUNTIF($B49:C49, "X")=0, "+", "-")), IF(MOD($A49, D$1)=0, "X", "O"))</f>
        <v>O</v>
      </c>
      <c r="E49" s="43" t="str">
        <f>IF($A49=E$1, IF(ROW(E49)=2, "+", IF(COUNTIF($B49:D49, "X")=0, "+", "-")), IF(MOD($A49, E$1)=0, "X", "O"))</f>
        <v>O</v>
      </c>
      <c r="F49" s="43" t="str">
        <f>IF($A49=F$1, IF(ROW(F49)=2, "+", IF(COUNTIF($B49:E49, "X")=0, "+", "-")), IF(MOD($A49, F$1)=0, "X", "O"))</f>
        <v>O</v>
      </c>
      <c r="G49" s="43" t="str">
        <f>IF($A49=G$1, IF(ROW(G49)=2, "+", IF(COUNTIF($B49:F49, "X")=0, "+", "-")), IF(MOD($A49, G$1)=0, "X", "O"))</f>
        <v>X</v>
      </c>
      <c r="H49" s="43" t="str">
        <f>IF($A49=H$1, IF(ROW(H49)=2, "+", IF(COUNTIF($B49:G49, "X")=0, "+", "-")), IF(MOD($A49, H$1)=0, "X", "O"))</f>
        <v>O</v>
      </c>
      <c r="I49" s="43" t="str">
        <f>IF($A49=I$1, IF(ROW(I49)=2, "+", IF(COUNTIF($B49:H49, "X")=0, "+", "-")), IF(MOD($A49, I$1)=0, "X", "O"))</f>
        <v>O</v>
      </c>
      <c r="J49" s="43" t="str">
        <f>IF($A49=J$1, IF(ROW(J49)=2, "+", IF(COUNTIF($B49:I49, "X")=0, "+", "-")), IF(MOD($A49, J$1)=0, "X", "O"))</f>
        <v>O</v>
      </c>
      <c r="K49" s="43" t="str">
        <f>IF($A49=K$1, IF(ROW(K49)=2, "+", IF(COUNTIF($B49:J49, "X")=0, "+", "-")), IF(MOD($A49, K$1)=0, "X", "O"))</f>
        <v>O</v>
      </c>
      <c r="L49" s="43" t="str">
        <f>IF($A49=L$1, IF(ROW(L49)=2, "+", IF(COUNTIF($B49:K49, "X")=0, "+", "-")), IF(MOD($A49, L$1)=0, "X", "O"))</f>
        <v>O</v>
      </c>
      <c r="M49" s="43" t="str">
        <f>IF($A49=M$1, IF(ROW(M49)=2, "+", IF(COUNTIF($B49:L49, "X")=0, "+", "-")), IF(MOD($A49, M$1)=0, "X", "O"))</f>
        <v>O</v>
      </c>
      <c r="N49" s="43" t="str">
        <f>IF($A49=N$1, IF(ROW(N49)=2, "+", IF(COUNTIF($B49:M49, "X")=0, "+", "-")), IF(MOD($A49, N$1)=0, "X", "O"))</f>
        <v>O</v>
      </c>
      <c r="O49" s="43" t="str">
        <f>IF($A49=O$1, IF(ROW(O49)=2, "+", IF(COUNTIF($B49:N49, "X")=0, "+", "-")), IF(MOD($A49, O$1)=0, "X", "O"))</f>
        <v>O</v>
      </c>
      <c r="P49" s="43" t="str">
        <f>IF($A49=P$1, IF(ROW(P49)=2, "+", IF(COUNTIF($B49:O49, "X")=0, "+", "-")), IF(MOD($A49, P$1)=0, "X", "O"))</f>
        <v>O</v>
      </c>
      <c r="Q49" s="43" t="str">
        <f>IF($A49=Q$1, IF(ROW(Q49)=2, "+", IF(COUNTIF($B49:P49, "X")=0, "+", "-")), IF(MOD($A49, Q$1)=0, "X", "O"))</f>
        <v>O</v>
      </c>
      <c r="R49" s="43" t="str">
        <f>IF($A49=R$1, IF(ROW(R49)=2, "+", IF(COUNTIF($B49:Q49, "X")=0, "+", "-")), IF(MOD($A49, R$1)=0, "X", "O"))</f>
        <v>O</v>
      </c>
      <c r="S49" s="43" t="str">
        <f>IF($A49=S$1, IF(ROW(S49)=2, "+", IF(COUNTIF($B49:R49, "X")=0, "+", "-")), IF(MOD($A49, S$1)=0, "X", "O"))</f>
        <v>O</v>
      </c>
      <c r="T49" s="43" t="str">
        <f>IF($A49=T$1, IF(ROW(T49)=2, "+", IF(COUNTIF($B49:S49, "X")=0, "+", "-")), IF(MOD($A49, T$1)=0, "X", "O"))</f>
        <v>O</v>
      </c>
      <c r="U49" s="43" t="str">
        <f>IF($A49=U$1, IF(ROW(U49)=2, "+", IF(COUNTIF($B49:T49, "X")=0, "+", "-")), IF(MOD($A49, U$1)=0, "X", "O"))</f>
        <v>O</v>
      </c>
      <c r="V49" s="43" t="str">
        <f>IF($A49=V$1, IF(ROW(V49)=2, "+", IF(COUNTIF($B49:U49, "X")=0, "+", "-")), IF(MOD($A49, V$1)=0, "X", "O"))</f>
        <v>O</v>
      </c>
      <c r="W49" s="43" t="str">
        <f>IF($A49=W$1, IF(ROW(W49)=2, "+", IF(COUNTIF($B49:V49, "X")=0, "+", "-")), IF(MOD($A49, W$1)=0, "X", "O"))</f>
        <v>O</v>
      </c>
      <c r="X49" s="43" t="str">
        <f>IF($A49=X$1, IF(ROW(X49)=2, "+", IF(COUNTIF($B49:W49, "X")=0, "+", "-")), IF(MOD($A49, X$1)=0, "X", "O"))</f>
        <v>O</v>
      </c>
      <c r="Y49" s="43" t="str">
        <f>IF($A49=Y$1, IF(ROW(Y49)=2, "+", IF(COUNTIF($B49:X49, "X")=0, "+", "-")), IF(MOD($A49, Y$1)=0, "X", "O"))</f>
        <v>O</v>
      </c>
      <c r="Z49" s="43" t="str">
        <f>IF($A49=Z$1, IF(ROW(Z49)=2, "+", IF(COUNTIF($B49:Y49, "X")=0, "+", "-")), IF(MOD($A49, Z$1)=0, "X", "O"))</f>
        <v>O</v>
      </c>
      <c r="AA49" s="43" t="str">
        <f>IF($A49=AA$1, IF(ROW(AA49)=2, "+", IF(COUNTIF($B49:Z49, "X")=0, "+", "-")), IF(MOD($A49, AA$1)=0, "X", "O"))</f>
        <v>O</v>
      </c>
      <c r="AB49" s="43" t="str">
        <f>IF($A49=AB$1, IF(ROW(AB49)=2, "+", IF(COUNTIF($B49:AA49, "X")=0, "+", "-")), IF(MOD($A49, AB$1)=0, "X", "O"))</f>
        <v>O</v>
      </c>
      <c r="AC49" s="43" t="str">
        <f>IF($A49=AC$1, IF(ROW(AC49)=2, "+", IF(COUNTIF($B49:AB49, "X")=0, "+", "-")), IF(MOD($A49, AC$1)=0, "X", "O"))</f>
        <v>O</v>
      </c>
      <c r="AD49" s="43" t="str">
        <f>IF($A49=AD$1, IF(ROW(AD49)=2, "+", IF(COUNTIF($B49:AC49, "X")=0, "+", "-")), IF(MOD($A49, AD$1)=0, "X", "O"))</f>
        <v>O</v>
      </c>
      <c r="AE49" s="43" t="str">
        <f>IF($A49=AE$1, IF(ROW(AE49)=2, "+", IF(COUNTIF($B49:AD49, "X")=0, "+", "-")), IF(MOD($A49, AE$1)=0, "X", "O"))</f>
        <v>O</v>
      </c>
      <c r="AF49" s="43" t="str">
        <f>IF($A49=AF$1, IF(ROW(AF49)=2, "+", IF(COUNTIF($B49:AE49, "X")=0, "+", "-")), IF(MOD($A49, AF$1)=0, "X", "O"))</f>
        <v>O</v>
      </c>
      <c r="AG49" s="43" t="str">
        <f>IF($A49=AG$1, IF(ROW(AG49)=2, "+", IF(COUNTIF($B49:AF49, "X")=0, "+", "-")), IF(MOD($A49, AG$1)=0, "X", "O"))</f>
        <v>O</v>
      </c>
      <c r="AH49" s="43" t="str">
        <f>IF($A49=AH$1, IF(ROW(AH49)=2, "+", IF(COUNTIF($B49:AG49, "X")=0, "+", "-")), IF(MOD($A49, AH$1)=0, "X", "O"))</f>
        <v>O</v>
      </c>
      <c r="AI49" s="43" t="str">
        <f>IF($A49=AI$1, IF(ROW(AI49)=2, "+", IF(COUNTIF($B49:AH49, "X")=0, "+", "-")), IF(MOD($A49, AI$1)=0, "X", "O"))</f>
        <v>O</v>
      </c>
      <c r="AJ49" s="43" t="str">
        <f>IF($A49=AJ$1, IF(ROW(AJ49)=2, "+", IF(COUNTIF($B49:AI49, "X")=0, "+", "-")), IF(MOD($A49, AJ$1)=0, "X", "O"))</f>
        <v>O</v>
      </c>
      <c r="AK49" s="43" t="str">
        <f>IF($A49=AK$1, IF(ROW(AK49)=2, "+", IF(COUNTIF($B49:AJ49, "X")=0, "+", "-")), IF(MOD($A49, AK$1)=0, "X", "O"))</f>
        <v>O</v>
      </c>
      <c r="AL49" s="43" t="str">
        <f>IF($A49=AL$1, IF(ROW(AL49)=2, "+", IF(COUNTIF($B49:AK49, "X")=0, "+", "-")), IF(MOD($A49, AL$1)=0, "X", "O"))</f>
        <v>O</v>
      </c>
      <c r="AM49" s="43" t="str">
        <f>IF($A49=AM$1, IF(ROW(AM49)=2, "+", IF(COUNTIF($B49:AL49, "X")=0, "+", "-")), IF(MOD($A49, AM$1)=0, "X", "O"))</f>
        <v>O</v>
      </c>
      <c r="AN49" s="43" t="str">
        <f>IF($A49=AN$1, IF(ROW(AN49)=2, "+", IF(COUNTIF($B49:AM49, "X")=0, "+", "-")), IF(MOD($A49, AN$1)=0, "X", "O"))</f>
        <v>O</v>
      </c>
      <c r="AO49" s="43" t="str">
        <f>IF($A49=AO$1, IF(ROW(AO49)=2, "+", IF(COUNTIF($B49:AN49, "X")=0, "+", "-")), IF(MOD($A49, AO$1)=0, "X", "O"))</f>
        <v>O</v>
      </c>
      <c r="AP49" s="43" t="str">
        <f>IF($A49=AP$1, IF(ROW(AP49)=2, "+", IF(COUNTIF($B49:AO49, "X")=0, "+", "-")), IF(MOD($A49, AP$1)=0, "X", "O"))</f>
        <v>O</v>
      </c>
      <c r="AQ49" s="43" t="str">
        <f>IF($A49=AQ$1, IF(ROW(AQ49)=2, "+", IF(COUNTIF($B49:AP49, "X")=0, "+", "-")), IF(MOD($A49, AQ$1)=0, "X", "O"))</f>
        <v>O</v>
      </c>
      <c r="AR49" s="43" t="str">
        <f>IF($A49=AR$1, IF(ROW(AR49)=2, "+", IF(COUNTIF($B49:AQ49, "X")=0, "+", "-")), IF(MOD($A49, AR$1)=0, "X", "O"))</f>
        <v>O</v>
      </c>
      <c r="AS49" s="43" t="str">
        <f>IF($A49=AS$1, IF(ROW(AS49)=2, "+", IF(COUNTIF($B49:AR49, "X")=0, "+", "-")), IF(MOD($A49, AS$1)=0, "X", "O"))</f>
        <v>O</v>
      </c>
      <c r="AT49" s="43" t="str">
        <f>IF($A49=AT$1, IF(ROW(AT49)=2, "+", IF(COUNTIF($B49:AS49, "X")=0, "+", "-")), IF(MOD($A49, AT$1)=0, "X", "O"))</f>
        <v>O</v>
      </c>
      <c r="AU49" s="43" t="str">
        <f>IF($A49=AU$1, IF(ROW(AU49)=2, "+", IF(COUNTIF($B49:AT49, "X")=0, "+", "-")), IF(MOD($A49, AU$1)=0, "X", "O"))</f>
        <v>O</v>
      </c>
      <c r="AV49" s="43" t="str">
        <f>IF($A49=AV$1, IF(ROW(AV49)=2, "+", IF(COUNTIF($B49:AU49, "X")=0, "+", "-")), IF(MOD($A49, AV$1)=0, "X", "O"))</f>
        <v>O</v>
      </c>
      <c r="AW49" s="43" t="str">
        <f>IF($A49=AW$1, IF(ROW(AW49)=2, "+", IF(COUNTIF($B49:AV49, "X")=0, "+", "-")), IF(MOD($A49, AW$1)=0, "X", "O"))</f>
        <v>-</v>
      </c>
      <c r="AX49" s="43" t="str">
        <f>IF($A49=AX$1, IF(ROW(AX49)=2, "+", IF(COUNTIF($B49:AW49, "X")=0, "+", "-")), IF(MOD($A49, AX$1)=0, "X", "O"))</f>
        <v>O</v>
      </c>
      <c r="AY49" s="43" t="str">
        <f>IF($A49=AY$1, IF(ROW(AY49)=2, "+", IF(COUNTIF($B49:AX49, "X")=0, "+", "-")), IF(MOD($A49, AY$1)=0, "X", "O"))</f>
        <v>O</v>
      </c>
      <c r="AZ49" s="43" t="str">
        <f>IF($A49=AZ$1, IF(ROW(AZ49)=2, "+", IF(COUNTIF($B49:AY49, "X")=0, "+", "-")), IF(MOD($A49, AZ$1)=0, "X", "O"))</f>
        <v>O</v>
      </c>
      <c r="BA49" s="43" t="str">
        <f>IF($A49=BA$1, IF(ROW(BA49)=2, "+", IF(COUNTIF($B49:AZ49, "X")=0, "+", "-")), IF(MOD($A49, BA$1)=0, "X", "O"))</f>
        <v>O</v>
      </c>
      <c r="BB49" s="43" t="str">
        <f>IF($A49=BB$1, IF(ROW(BB49)=2, "+", IF(COUNTIF($B49:BA49, "X")=0, "+", "-")), IF(MOD($A49, BB$1)=0, "X", "O"))</f>
        <v>O</v>
      </c>
      <c r="BC49" s="43" t="str">
        <f>IF($A49=BC$1, IF(ROW(BC49)=2, "+", IF(COUNTIF($B49:BB49, "X")=0, "+", "-")), IF(MOD($A49, BC$1)=0, "X", "O"))</f>
        <v>O</v>
      </c>
      <c r="BD49" s="43" t="str">
        <f>IF($A49=BD$1, IF(ROW(BD49)=2, "+", IF(COUNTIF($B49:BC49, "X")=0, "+", "-")), IF(MOD($A49, BD$1)=0, "X", "O"))</f>
        <v>O</v>
      </c>
      <c r="BE49" s="43" t="str">
        <f>IF($A49=BE$1, IF(ROW(BE49)=2, "+", IF(COUNTIF($B49:BD49, "X")=0, "+", "-")), IF(MOD($A49, BE$1)=0, "X", "O"))</f>
        <v>O</v>
      </c>
      <c r="BF49" s="43" t="str">
        <f>IF($A49=BF$1, IF(ROW(BF49)=2, "+", IF(COUNTIF($B49:BE49, "X")=0, "+", "-")), IF(MOD($A49, BF$1)=0, "X", "O"))</f>
        <v>O</v>
      </c>
      <c r="BG49" s="43" t="str">
        <f>IF($A49=BG$1, IF(ROW(BG49)=2, "+", IF(COUNTIF($B49:BF49, "X")=0, "+", "-")), IF(MOD($A49, BG$1)=0, "X", "O"))</f>
        <v>O</v>
      </c>
      <c r="BH49" s="43" t="str">
        <f>IF($A49=BH$1, IF(ROW(BH49)=2, "+", IF(COUNTIF($B49:BG49, "X")=0, "+", "-")), IF(MOD($A49, BH$1)=0, "X", "O"))</f>
        <v>O</v>
      </c>
    </row>
    <row r="50" spans="1:60" x14ac:dyDescent="0.25">
      <c r="A50">
        <v>50</v>
      </c>
      <c r="B50" s="43" t="str">
        <f>IF($A50=B$1, IF(ROW(B50)=2, "+", IF(COUNTIF(A50:$B50, "X")=0, "+", "-")), IF(MOD($A50, B$1)=0, "X", "O"))</f>
        <v>X</v>
      </c>
      <c r="C50" s="43" t="str">
        <f>IF($A50=C$1, IF(ROW(C50)=2, "+", IF(COUNTIF(B50:$B50, "X")=0, "+", "-")), IF(MOD($A50, C$1)=0, "X", "O"))</f>
        <v>O</v>
      </c>
      <c r="D50" s="43" t="str">
        <f>IF($A50=D$1, IF(ROW(D50)=2, "+", IF(COUNTIF($B50:C50, "X")=0, "+", "-")), IF(MOD($A50, D$1)=0, "X", "O"))</f>
        <v>O</v>
      </c>
      <c r="E50" s="43" t="str">
        <f>IF($A50=E$1, IF(ROW(E50)=2, "+", IF(COUNTIF($B50:D50, "X")=0, "+", "-")), IF(MOD($A50, E$1)=0, "X", "O"))</f>
        <v>X</v>
      </c>
      <c r="F50" s="43" t="str">
        <f>IF($A50=F$1, IF(ROW(F50)=2, "+", IF(COUNTIF($B50:E50, "X")=0, "+", "-")), IF(MOD($A50, F$1)=0, "X", "O"))</f>
        <v>O</v>
      </c>
      <c r="G50" s="43" t="str">
        <f>IF($A50=G$1, IF(ROW(G50)=2, "+", IF(COUNTIF($B50:F50, "X")=0, "+", "-")), IF(MOD($A50, G$1)=0, "X", "O"))</f>
        <v>O</v>
      </c>
      <c r="H50" s="43" t="str">
        <f>IF($A50=H$1, IF(ROW(H50)=2, "+", IF(COUNTIF($B50:G50, "X")=0, "+", "-")), IF(MOD($A50, H$1)=0, "X", "O"))</f>
        <v>O</v>
      </c>
      <c r="I50" s="43" t="str">
        <f>IF($A50=I$1, IF(ROW(I50)=2, "+", IF(COUNTIF($B50:H50, "X")=0, "+", "-")), IF(MOD($A50, I$1)=0, "X", "O"))</f>
        <v>O</v>
      </c>
      <c r="J50" s="43" t="str">
        <f>IF($A50=J$1, IF(ROW(J50)=2, "+", IF(COUNTIF($B50:I50, "X")=0, "+", "-")), IF(MOD($A50, J$1)=0, "X", "O"))</f>
        <v>X</v>
      </c>
      <c r="K50" s="43" t="str">
        <f>IF($A50=K$1, IF(ROW(K50)=2, "+", IF(COUNTIF($B50:J50, "X")=0, "+", "-")), IF(MOD($A50, K$1)=0, "X", "O"))</f>
        <v>O</v>
      </c>
      <c r="L50" s="43" t="str">
        <f>IF($A50=L$1, IF(ROW(L50)=2, "+", IF(COUNTIF($B50:K50, "X")=0, "+", "-")), IF(MOD($A50, L$1)=0, "X", "O"))</f>
        <v>O</v>
      </c>
      <c r="M50" s="43" t="str">
        <f>IF($A50=M$1, IF(ROW(M50)=2, "+", IF(COUNTIF($B50:L50, "X")=0, "+", "-")), IF(MOD($A50, M$1)=0, "X", "O"))</f>
        <v>O</v>
      </c>
      <c r="N50" s="43" t="str">
        <f>IF($A50=N$1, IF(ROW(N50)=2, "+", IF(COUNTIF($B50:M50, "X")=0, "+", "-")), IF(MOD($A50, N$1)=0, "X", "O"))</f>
        <v>O</v>
      </c>
      <c r="O50" s="43" t="str">
        <f>IF($A50=O$1, IF(ROW(O50)=2, "+", IF(COUNTIF($B50:N50, "X")=0, "+", "-")), IF(MOD($A50, O$1)=0, "X", "O"))</f>
        <v>O</v>
      </c>
      <c r="P50" s="43" t="str">
        <f>IF($A50=P$1, IF(ROW(P50)=2, "+", IF(COUNTIF($B50:O50, "X")=0, "+", "-")), IF(MOD($A50, P$1)=0, "X", "O"))</f>
        <v>O</v>
      </c>
      <c r="Q50" s="43" t="str">
        <f>IF($A50=Q$1, IF(ROW(Q50)=2, "+", IF(COUNTIF($B50:P50, "X")=0, "+", "-")), IF(MOD($A50, Q$1)=0, "X", "O"))</f>
        <v>O</v>
      </c>
      <c r="R50" s="43" t="str">
        <f>IF($A50=R$1, IF(ROW(R50)=2, "+", IF(COUNTIF($B50:Q50, "X")=0, "+", "-")), IF(MOD($A50, R$1)=0, "X", "O"))</f>
        <v>O</v>
      </c>
      <c r="S50" s="43" t="str">
        <f>IF($A50=S$1, IF(ROW(S50)=2, "+", IF(COUNTIF($B50:R50, "X")=0, "+", "-")), IF(MOD($A50, S$1)=0, "X", "O"))</f>
        <v>O</v>
      </c>
      <c r="T50" s="43" t="str">
        <f>IF($A50=T$1, IF(ROW(T50)=2, "+", IF(COUNTIF($B50:S50, "X")=0, "+", "-")), IF(MOD($A50, T$1)=0, "X", "O"))</f>
        <v>O</v>
      </c>
      <c r="U50" s="43" t="str">
        <f>IF($A50=U$1, IF(ROW(U50)=2, "+", IF(COUNTIF($B50:T50, "X")=0, "+", "-")), IF(MOD($A50, U$1)=0, "X", "O"))</f>
        <v>O</v>
      </c>
      <c r="V50" s="43" t="str">
        <f>IF($A50=V$1, IF(ROW(V50)=2, "+", IF(COUNTIF($B50:U50, "X")=0, "+", "-")), IF(MOD($A50, V$1)=0, "X", "O"))</f>
        <v>O</v>
      </c>
      <c r="W50" s="43" t="str">
        <f>IF($A50=W$1, IF(ROW(W50)=2, "+", IF(COUNTIF($B50:V50, "X")=0, "+", "-")), IF(MOD($A50, W$1)=0, "X", "O"))</f>
        <v>O</v>
      </c>
      <c r="X50" s="43" t="str">
        <f>IF($A50=X$1, IF(ROW(X50)=2, "+", IF(COUNTIF($B50:W50, "X")=0, "+", "-")), IF(MOD($A50, X$1)=0, "X", "O"))</f>
        <v>O</v>
      </c>
      <c r="Y50" s="43" t="str">
        <f>IF($A50=Y$1, IF(ROW(Y50)=2, "+", IF(COUNTIF($B50:X50, "X")=0, "+", "-")), IF(MOD($A50, Y$1)=0, "X", "O"))</f>
        <v>X</v>
      </c>
      <c r="Z50" s="43" t="str">
        <f>IF($A50=Z$1, IF(ROW(Z50)=2, "+", IF(COUNTIF($B50:Y50, "X")=0, "+", "-")), IF(MOD($A50, Z$1)=0, "X", "O"))</f>
        <v>O</v>
      </c>
      <c r="AA50" s="43" t="str">
        <f>IF($A50=AA$1, IF(ROW(AA50)=2, "+", IF(COUNTIF($B50:Z50, "X")=0, "+", "-")), IF(MOD($A50, AA$1)=0, "X", "O"))</f>
        <v>O</v>
      </c>
      <c r="AB50" s="43" t="str">
        <f>IF($A50=AB$1, IF(ROW(AB50)=2, "+", IF(COUNTIF($B50:AA50, "X")=0, "+", "-")), IF(MOD($A50, AB$1)=0, "X", "O"))</f>
        <v>O</v>
      </c>
      <c r="AC50" s="43" t="str">
        <f>IF($A50=AC$1, IF(ROW(AC50)=2, "+", IF(COUNTIF($B50:AB50, "X")=0, "+", "-")), IF(MOD($A50, AC$1)=0, "X", "O"))</f>
        <v>O</v>
      </c>
      <c r="AD50" s="43" t="str">
        <f>IF($A50=AD$1, IF(ROW(AD50)=2, "+", IF(COUNTIF($B50:AC50, "X")=0, "+", "-")), IF(MOD($A50, AD$1)=0, "X", "O"))</f>
        <v>O</v>
      </c>
      <c r="AE50" s="43" t="str">
        <f>IF($A50=AE$1, IF(ROW(AE50)=2, "+", IF(COUNTIF($B50:AD50, "X")=0, "+", "-")), IF(MOD($A50, AE$1)=0, "X", "O"))</f>
        <v>O</v>
      </c>
      <c r="AF50" s="43" t="str">
        <f>IF($A50=AF$1, IF(ROW(AF50)=2, "+", IF(COUNTIF($B50:AE50, "X")=0, "+", "-")), IF(MOD($A50, AF$1)=0, "X", "O"))</f>
        <v>O</v>
      </c>
      <c r="AG50" s="43" t="str">
        <f>IF($A50=AG$1, IF(ROW(AG50)=2, "+", IF(COUNTIF($B50:AF50, "X")=0, "+", "-")), IF(MOD($A50, AG$1)=0, "X", "O"))</f>
        <v>O</v>
      </c>
      <c r="AH50" s="43" t="str">
        <f>IF($A50=AH$1, IF(ROW(AH50)=2, "+", IF(COUNTIF($B50:AG50, "X")=0, "+", "-")), IF(MOD($A50, AH$1)=0, "X", "O"))</f>
        <v>O</v>
      </c>
      <c r="AI50" s="43" t="str">
        <f>IF($A50=AI$1, IF(ROW(AI50)=2, "+", IF(COUNTIF($B50:AH50, "X")=0, "+", "-")), IF(MOD($A50, AI$1)=0, "X", "O"))</f>
        <v>O</v>
      </c>
      <c r="AJ50" s="43" t="str">
        <f>IF($A50=AJ$1, IF(ROW(AJ50)=2, "+", IF(COUNTIF($B50:AI50, "X")=0, "+", "-")), IF(MOD($A50, AJ$1)=0, "X", "O"))</f>
        <v>O</v>
      </c>
      <c r="AK50" s="43" t="str">
        <f>IF($A50=AK$1, IF(ROW(AK50)=2, "+", IF(COUNTIF($B50:AJ50, "X")=0, "+", "-")), IF(MOD($A50, AK$1)=0, "X", "O"))</f>
        <v>O</v>
      </c>
      <c r="AL50" s="43" t="str">
        <f>IF($A50=AL$1, IF(ROW(AL50)=2, "+", IF(COUNTIF($B50:AK50, "X")=0, "+", "-")), IF(MOD($A50, AL$1)=0, "X", "O"))</f>
        <v>O</v>
      </c>
      <c r="AM50" s="43" t="str">
        <f>IF($A50=AM$1, IF(ROW(AM50)=2, "+", IF(COUNTIF($B50:AL50, "X")=0, "+", "-")), IF(MOD($A50, AM$1)=0, "X", "O"))</f>
        <v>O</v>
      </c>
      <c r="AN50" s="43" t="str">
        <f>IF($A50=AN$1, IF(ROW(AN50)=2, "+", IF(COUNTIF($B50:AM50, "X")=0, "+", "-")), IF(MOD($A50, AN$1)=0, "X", "O"))</f>
        <v>O</v>
      </c>
      <c r="AO50" s="43" t="str">
        <f>IF($A50=AO$1, IF(ROW(AO50)=2, "+", IF(COUNTIF($B50:AN50, "X")=0, "+", "-")), IF(MOD($A50, AO$1)=0, "X", "O"))</f>
        <v>O</v>
      </c>
      <c r="AP50" s="43" t="str">
        <f>IF($A50=AP$1, IF(ROW(AP50)=2, "+", IF(COUNTIF($B50:AO50, "X")=0, "+", "-")), IF(MOD($A50, AP$1)=0, "X", "O"))</f>
        <v>O</v>
      </c>
      <c r="AQ50" s="43" t="str">
        <f>IF($A50=AQ$1, IF(ROW(AQ50)=2, "+", IF(COUNTIF($B50:AP50, "X")=0, "+", "-")), IF(MOD($A50, AQ$1)=0, "X", "O"))</f>
        <v>O</v>
      </c>
      <c r="AR50" s="43" t="str">
        <f>IF($A50=AR$1, IF(ROW(AR50)=2, "+", IF(COUNTIF($B50:AQ50, "X")=0, "+", "-")), IF(MOD($A50, AR$1)=0, "X", "O"))</f>
        <v>O</v>
      </c>
      <c r="AS50" s="43" t="str">
        <f>IF($A50=AS$1, IF(ROW(AS50)=2, "+", IF(COUNTIF($B50:AR50, "X")=0, "+", "-")), IF(MOD($A50, AS$1)=0, "X", "O"))</f>
        <v>O</v>
      </c>
      <c r="AT50" s="43" t="str">
        <f>IF($A50=AT$1, IF(ROW(AT50)=2, "+", IF(COUNTIF($B50:AS50, "X")=0, "+", "-")), IF(MOD($A50, AT$1)=0, "X", "O"))</f>
        <v>O</v>
      </c>
      <c r="AU50" s="43" t="str">
        <f>IF($A50=AU$1, IF(ROW(AU50)=2, "+", IF(COUNTIF($B50:AT50, "X")=0, "+", "-")), IF(MOD($A50, AU$1)=0, "X", "O"))</f>
        <v>O</v>
      </c>
      <c r="AV50" s="43" t="str">
        <f>IF($A50=AV$1, IF(ROW(AV50)=2, "+", IF(COUNTIF($B50:AU50, "X")=0, "+", "-")), IF(MOD($A50, AV$1)=0, "X", "O"))</f>
        <v>O</v>
      </c>
      <c r="AW50" s="43" t="str">
        <f>IF($A50=AW$1, IF(ROW(AW50)=2, "+", IF(COUNTIF($B50:AV50, "X")=0, "+", "-")), IF(MOD($A50, AW$1)=0, "X", "O"))</f>
        <v>O</v>
      </c>
      <c r="AX50" s="43" t="str">
        <f>IF($A50=AX$1, IF(ROW(AX50)=2, "+", IF(COUNTIF($B50:AW50, "X")=0, "+", "-")), IF(MOD($A50, AX$1)=0, "X", "O"))</f>
        <v>-</v>
      </c>
      <c r="AY50" s="43" t="str">
        <f>IF($A50=AY$1, IF(ROW(AY50)=2, "+", IF(COUNTIF($B50:AX50, "X")=0, "+", "-")), IF(MOD($A50, AY$1)=0, "X", "O"))</f>
        <v>O</v>
      </c>
      <c r="AZ50" s="43" t="str">
        <f>IF($A50=AZ$1, IF(ROW(AZ50)=2, "+", IF(COUNTIF($B50:AY50, "X")=0, "+", "-")), IF(MOD($A50, AZ$1)=0, "X", "O"))</f>
        <v>O</v>
      </c>
      <c r="BA50" s="43" t="str">
        <f>IF($A50=BA$1, IF(ROW(BA50)=2, "+", IF(COUNTIF($B50:AZ50, "X")=0, "+", "-")), IF(MOD($A50, BA$1)=0, "X", "O"))</f>
        <v>O</v>
      </c>
      <c r="BB50" s="43" t="str">
        <f>IF($A50=BB$1, IF(ROW(BB50)=2, "+", IF(COUNTIF($B50:BA50, "X")=0, "+", "-")), IF(MOD($A50, BB$1)=0, "X", "O"))</f>
        <v>O</v>
      </c>
      <c r="BC50" s="43" t="str">
        <f>IF($A50=BC$1, IF(ROW(BC50)=2, "+", IF(COUNTIF($B50:BB50, "X")=0, "+", "-")), IF(MOD($A50, BC$1)=0, "X", "O"))</f>
        <v>O</v>
      </c>
      <c r="BD50" s="43" t="str">
        <f>IF($A50=BD$1, IF(ROW(BD50)=2, "+", IF(COUNTIF($B50:BC50, "X")=0, "+", "-")), IF(MOD($A50, BD$1)=0, "X", "O"))</f>
        <v>O</v>
      </c>
      <c r="BE50" s="43" t="str">
        <f>IF($A50=BE$1, IF(ROW(BE50)=2, "+", IF(COUNTIF($B50:BD50, "X")=0, "+", "-")), IF(MOD($A50, BE$1)=0, "X", "O"))</f>
        <v>O</v>
      </c>
      <c r="BF50" s="43" t="str">
        <f>IF($A50=BF$1, IF(ROW(BF50)=2, "+", IF(COUNTIF($B50:BE50, "X")=0, "+", "-")), IF(MOD($A50, BF$1)=0, "X", "O"))</f>
        <v>O</v>
      </c>
      <c r="BG50" s="43" t="str">
        <f>IF($A50=BG$1, IF(ROW(BG50)=2, "+", IF(COUNTIF($B50:BF50, "X")=0, "+", "-")), IF(MOD($A50, BG$1)=0, "X", "O"))</f>
        <v>O</v>
      </c>
      <c r="BH50" s="43" t="str">
        <f>IF($A50=BH$1, IF(ROW(BH50)=2, "+", IF(COUNTIF($B50:BG50, "X")=0, "+", "-")), IF(MOD($A50, BH$1)=0, "X", "O"))</f>
        <v>O</v>
      </c>
    </row>
    <row r="51" spans="1:60" x14ac:dyDescent="0.25">
      <c r="A51">
        <v>51</v>
      </c>
      <c r="B51" s="43" t="str">
        <f>IF($A51=B$1, IF(ROW(B51)=2, "+", IF(COUNTIF(A51:$B51, "X")=0, "+", "-")), IF(MOD($A51, B$1)=0, "X", "O"))</f>
        <v>O</v>
      </c>
      <c r="C51" s="43" t="str">
        <f>IF($A51=C$1, IF(ROW(C51)=2, "+", IF(COUNTIF(B51:$B51, "X")=0, "+", "-")), IF(MOD($A51, C$1)=0, "X", "O"))</f>
        <v>X</v>
      </c>
      <c r="D51" s="43" t="str">
        <f>IF($A51=D$1, IF(ROW(D51)=2, "+", IF(COUNTIF($B51:C51, "X")=0, "+", "-")), IF(MOD($A51, D$1)=0, "X", "O"))</f>
        <v>O</v>
      </c>
      <c r="E51" s="43" t="str">
        <f>IF($A51=E$1, IF(ROW(E51)=2, "+", IF(COUNTIF($B51:D51, "X")=0, "+", "-")), IF(MOD($A51, E$1)=0, "X", "O"))</f>
        <v>O</v>
      </c>
      <c r="F51" s="43" t="str">
        <f>IF($A51=F$1, IF(ROW(F51)=2, "+", IF(COUNTIF($B51:E51, "X")=0, "+", "-")), IF(MOD($A51, F$1)=0, "X", "O"))</f>
        <v>O</v>
      </c>
      <c r="G51" s="43" t="str">
        <f>IF($A51=G$1, IF(ROW(G51)=2, "+", IF(COUNTIF($B51:F51, "X")=0, "+", "-")), IF(MOD($A51, G$1)=0, "X", "O"))</f>
        <v>O</v>
      </c>
      <c r="H51" s="43" t="str">
        <f>IF($A51=H$1, IF(ROW(H51)=2, "+", IF(COUNTIF($B51:G51, "X")=0, "+", "-")), IF(MOD($A51, H$1)=0, "X", "O"))</f>
        <v>O</v>
      </c>
      <c r="I51" s="43" t="str">
        <f>IF($A51=I$1, IF(ROW(I51)=2, "+", IF(COUNTIF($B51:H51, "X")=0, "+", "-")), IF(MOD($A51, I$1)=0, "X", "O"))</f>
        <v>O</v>
      </c>
      <c r="J51" s="43" t="str">
        <f>IF($A51=J$1, IF(ROW(J51)=2, "+", IF(COUNTIF($B51:I51, "X")=0, "+", "-")), IF(MOD($A51, J$1)=0, "X", "O"))</f>
        <v>O</v>
      </c>
      <c r="K51" s="43" t="str">
        <f>IF($A51=K$1, IF(ROW(K51)=2, "+", IF(COUNTIF($B51:J51, "X")=0, "+", "-")), IF(MOD($A51, K$1)=0, "X", "O"))</f>
        <v>O</v>
      </c>
      <c r="L51" s="43" t="str">
        <f>IF($A51=L$1, IF(ROW(L51)=2, "+", IF(COUNTIF($B51:K51, "X")=0, "+", "-")), IF(MOD($A51, L$1)=0, "X", "O"))</f>
        <v>O</v>
      </c>
      <c r="M51" s="43" t="str">
        <f>IF($A51=M$1, IF(ROW(M51)=2, "+", IF(COUNTIF($B51:L51, "X")=0, "+", "-")), IF(MOD($A51, M$1)=0, "X", "O"))</f>
        <v>O</v>
      </c>
      <c r="N51" s="43" t="str">
        <f>IF($A51=N$1, IF(ROW(N51)=2, "+", IF(COUNTIF($B51:M51, "X")=0, "+", "-")), IF(MOD($A51, N$1)=0, "X", "O"))</f>
        <v>O</v>
      </c>
      <c r="O51" s="43" t="str">
        <f>IF($A51=O$1, IF(ROW(O51)=2, "+", IF(COUNTIF($B51:N51, "X")=0, "+", "-")), IF(MOD($A51, O$1)=0, "X", "O"))</f>
        <v>O</v>
      </c>
      <c r="P51" s="43" t="str">
        <f>IF($A51=P$1, IF(ROW(P51)=2, "+", IF(COUNTIF($B51:O51, "X")=0, "+", "-")), IF(MOD($A51, P$1)=0, "X", "O"))</f>
        <v>O</v>
      </c>
      <c r="Q51" s="43" t="str">
        <f>IF($A51=Q$1, IF(ROW(Q51)=2, "+", IF(COUNTIF($B51:P51, "X")=0, "+", "-")), IF(MOD($A51, Q$1)=0, "X", "O"))</f>
        <v>X</v>
      </c>
      <c r="R51" s="43" t="str">
        <f>IF($A51=R$1, IF(ROW(R51)=2, "+", IF(COUNTIF($B51:Q51, "X")=0, "+", "-")), IF(MOD($A51, R$1)=0, "X", "O"))</f>
        <v>O</v>
      </c>
      <c r="S51" s="43" t="str">
        <f>IF($A51=S$1, IF(ROW(S51)=2, "+", IF(COUNTIF($B51:R51, "X")=0, "+", "-")), IF(MOD($A51, S$1)=0, "X", "O"))</f>
        <v>O</v>
      </c>
      <c r="T51" s="43" t="str">
        <f>IF($A51=T$1, IF(ROW(T51)=2, "+", IF(COUNTIF($B51:S51, "X")=0, "+", "-")), IF(MOD($A51, T$1)=0, "X", "O"))</f>
        <v>O</v>
      </c>
      <c r="U51" s="43" t="str">
        <f>IF($A51=U$1, IF(ROW(U51)=2, "+", IF(COUNTIF($B51:T51, "X")=0, "+", "-")), IF(MOD($A51, U$1)=0, "X", "O"))</f>
        <v>O</v>
      </c>
      <c r="V51" s="43" t="str">
        <f>IF($A51=V$1, IF(ROW(V51)=2, "+", IF(COUNTIF($B51:U51, "X")=0, "+", "-")), IF(MOD($A51, V$1)=0, "X", "O"))</f>
        <v>O</v>
      </c>
      <c r="W51" s="43" t="str">
        <f>IF($A51=W$1, IF(ROW(W51)=2, "+", IF(COUNTIF($B51:V51, "X")=0, "+", "-")), IF(MOD($A51, W$1)=0, "X", "O"))</f>
        <v>O</v>
      </c>
      <c r="X51" s="43" t="str">
        <f>IF($A51=X$1, IF(ROW(X51)=2, "+", IF(COUNTIF($B51:W51, "X")=0, "+", "-")), IF(MOD($A51, X$1)=0, "X", "O"))</f>
        <v>O</v>
      </c>
      <c r="Y51" s="43" t="str">
        <f>IF($A51=Y$1, IF(ROW(Y51)=2, "+", IF(COUNTIF($B51:X51, "X")=0, "+", "-")), IF(MOD($A51, Y$1)=0, "X", "O"))</f>
        <v>O</v>
      </c>
      <c r="Z51" s="43" t="str">
        <f>IF($A51=Z$1, IF(ROW(Z51)=2, "+", IF(COUNTIF($B51:Y51, "X")=0, "+", "-")), IF(MOD($A51, Z$1)=0, "X", "O"))</f>
        <v>O</v>
      </c>
      <c r="AA51" s="43" t="str">
        <f>IF($A51=AA$1, IF(ROW(AA51)=2, "+", IF(COUNTIF($B51:Z51, "X")=0, "+", "-")), IF(MOD($A51, AA$1)=0, "X", "O"))</f>
        <v>O</v>
      </c>
      <c r="AB51" s="43" t="str">
        <f>IF($A51=AB$1, IF(ROW(AB51)=2, "+", IF(COUNTIF($B51:AA51, "X")=0, "+", "-")), IF(MOD($A51, AB$1)=0, "X", "O"))</f>
        <v>O</v>
      </c>
      <c r="AC51" s="43" t="str">
        <f>IF($A51=AC$1, IF(ROW(AC51)=2, "+", IF(COUNTIF($B51:AB51, "X")=0, "+", "-")), IF(MOD($A51, AC$1)=0, "X", "O"))</f>
        <v>O</v>
      </c>
      <c r="AD51" s="43" t="str">
        <f>IF($A51=AD$1, IF(ROW(AD51)=2, "+", IF(COUNTIF($B51:AC51, "X")=0, "+", "-")), IF(MOD($A51, AD$1)=0, "X", "O"))</f>
        <v>O</v>
      </c>
      <c r="AE51" s="43" t="str">
        <f>IF($A51=AE$1, IF(ROW(AE51)=2, "+", IF(COUNTIF($B51:AD51, "X")=0, "+", "-")), IF(MOD($A51, AE$1)=0, "X", "O"))</f>
        <v>O</v>
      </c>
      <c r="AF51" s="43" t="str">
        <f>IF($A51=AF$1, IF(ROW(AF51)=2, "+", IF(COUNTIF($B51:AE51, "X")=0, "+", "-")), IF(MOD($A51, AF$1)=0, "X", "O"))</f>
        <v>O</v>
      </c>
      <c r="AG51" s="43" t="str">
        <f>IF($A51=AG$1, IF(ROW(AG51)=2, "+", IF(COUNTIF($B51:AF51, "X")=0, "+", "-")), IF(MOD($A51, AG$1)=0, "X", "O"))</f>
        <v>O</v>
      </c>
      <c r="AH51" s="43" t="str">
        <f>IF($A51=AH$1, IF(ROW(AH51)=2, "+", IF(COUNTIF($B51:AG51, "X")=0, "+", "-")), IF(MOD($A51, AH$1)=0, "X", "O"))</f>
        <v>O</v>
      </c>
      <c r="AI51" s="43" t="str">
        <f>IF($A51=AI$1, IF(ROW(AI51)=2, "+", IF(COUNTIF($B51:AH51, "X")=0, "+", "-")), IF(MOD($A51, AI$1)=0, "X", "O"))</f>
        <v>O</v>
      </c>
      <c r="AJ51" s="43" t="str">
        <f>IF($A51=AJ$1, IF(ROW(AJ51)=2, "+", IF(COUNTIF($B51:AI51, "X")=0, "+", "-")), IF(MOD($A51, AJ$1)=0, "X", "O"))</f>
        <v>O</v>
      </c>
      <c r="AK51" s="43" t="str">
        <f>IF($A51=AK$1, IF(ROW(AK51)=2, "+", IF(COUNTIF($B51:AJ51, "X")=0, "+", "-")), IF(MOD($A51, AK$1)=0, "X", "O"))</f>
        <v>O</v>
      </c>
      <c r="AL51" s="43" t="str">
        <f>IF($A51=AL$1, IF(ROW(AL51)=2, "+", IF(COUNTIF($B51:AK51, "X")=0, "+", "-")), IF(MOD($A51, AL$1)=0, "X", "O"))</f>
        <v>O</v>
      </c>
      <c r="AM51" s="43" t="str">
        <f>IF($A51=AM$1, IF(ROW(AM51)=2, "+", IF(COUNTIF($B51:AL51, "X")=0, "+", "-")), IF(MOD($A51, AM$1)=0, "X", "O"))</f>
        <v>O</v>
      </c>
      <c r="AN51" s="43" t="str">
        <f>IF($A51=AN$1, IF(ROW(AN51)=2, "+", IF(COUNTIF($B51:AM51, "X")=0, "+", "-")), IF(MOD($A51, AN$1)=0, "X", "O"))</f>
        <v>O</v>
      </c>
      <c r="AO51" s="43" t="str">
        <f>IF($A51=AO$1, IF(ROW(AO51)=2, "+", IF(COUNTIF($B51:AN51, "X")=0, "+", "-")), IF(MOD($A51, AO$1)=0, "X", "O"))</f>
        <v>O</v>
      </c>
      <c r="AP51" s="43" t="str">
        <f>IF($A51=AP$1, IF(ROW(AP51)=2, "+", IF(COUNTIF($B51:AO51, "X")=0, "+", "-")), IF(MOD($A51, AP$1)=0, "X", "O"))</f>
        <v>O</v>
      </c>
      <c r="AQ51" s="43" t="str">
        <f>IF($A51=AQ$1, IF(ROW(AQ51)=2, "+", IF(COUNTIF($B51:AP51, "X")=0, "+", "-")), IF(MOD($A51, AQ$1)=0, "X", "O"))</f>
        <v>O</v>
      </c>
      <c r="AR51" s="43" t="str">
        <f>IF($A51=AR$1, IF(ROW(AR51)=2, "+", IF(COUNTIF($B51:AQ51, "X")=0, "+", "-")), IF(MOD($A51, AR$1)=0, "X", "O"))</f>
        <v>O</v>
      </c>
      <c r="AS51" s="43" t="str">
        <f>IF($A51=AS$1, IF(ROW(AS51)=2, "+", IF(COUNTIF($B51:AR51, "X")=0, "+", "-")), IF(MOD($A51, AS$1)=0, "X", "O"))</f>
        <v>O</v>
      </c>
      <c r="AT51" s="43" t="str">
        <f>IF($A51=AT$1, IF(ROW(AT51)=2, "+", IF(COUNTIF($B51:AS51, "X")=0, "+", "-")), IF(MOD($A51, AT$1)=0, "X", "O"))</f>
        <v>O</v>
      </c>
      <c r="AU51" s="43" t="str">
        <f>IF($A51=AU$1, IF(ROW(AU51)=2, "+", IF(COUNTIF($B51:AT51, "X")=0, "+", "-")), IF(MOD($A51, AU$1)=0, "X", "O"))</f>
        <v>O</v>
      </c>
      <c r="AV51" s="43" t="str">
        <f>IF($A51=AV$1, IF(ROW(AV51)=2, "+", IF(COUNTIF($B51:AU51, "X")=0, "+", "-")), IF(MOD($A51, AV$1)=0, "X", "O"))</f>
        <v>O</v>
      </c>
      <c r="AW51" s="43" t="str">
        <f>IF($A51=AW$1, IF(ROW(AW51)=2, "+", IF(COUNTIF($B51:AV51, "X")=0, "+", "-")), IF(MOD($A51, AW$1)=0, "X", "O"))</f>
        <v>O</v>
      </c>
      <c r="AX51" s="43" t="str">
        <f>IF($A51=AX$1, IF(ROW(AX51)=2, "+", IF(COUNTIF($B51:AW51, "X")=0, "+", "-")), IF(MOD($A51, AX$1)=0, "X", "O"))</f>
        <v>O</v>
      </c>
      <c r="AY51" s="43" t="str">
        <f>IF($A51=AY$1, IF(ROW(AY51)=2, "+", IF(COUNTIF($B51:AX51, "X")=0, "+", "-")), IF(MOD($A51, AY$1)=0, "X", "O"))</f>
        <v>-</v>
      </c>
      <c r="AZ51" s="43" t="str">
        <f>IF($A51=AZ$1, IF(ROW(AZ51)=2, "+", IF(COUNTIF($B51:AY51, "X")=0, "+", "-")), IF(MOD($A51, AZ$1)=0, "X", "O"))</f>
        <v>O</v>
      </c>
      <c r="BA51" s="43" t="str">
        <f>IF($A51=BA$1, IF(ROW(BA51)=2, "+", IF(COUNTIF($B51:AZ51, "X")=0, "+", "-")), IF(MOD($A51, BA$1)=0, "X", "O"))</f>
        <v>O</v>
      </c>
      <c r="BB51" s="43" t="str">
        <f>IF($A51=BB$1, IF(ROW(BB51)=2, "+", IF(COUNTIF($B51:BA51, "X")=0, "+", "-")), IF(MOD($A51, BB$1)=0, "X", "O"))</f>
        <v>O</v>
      </c>
      <c r="BC51" s="43" t="str">
        <f>IF($A51=BC$1, IF(ROW(BC51)=2, "+", IF(COUNTIF($B51:BB51, "X")=0, "+", "-")), IF(MOD($A51, BC$1)=0, "X", "O"))</f>
        <v>O</v>
      </c>
      <c r="BD51" s="43" t="str">
        <f>IF($A51=BD$1, IF(ROW(BD51)=2, "+", IF(COUNTIF($B51:BC51, "X")=0, "+", "-")), IF(MOD($A51, BD$1)=0, "X", "O"))</f>
        <v>O</v>
      </c>
      <c r="BE51" s="43" t="str">
        <f>IF($A51=BE$1, IF(ROW(BE51)=2, "+", IF(COUNTIF($B51:BD51, "X")=0, "+", "-")), IF(MOD($A51, BE$1)=0, "X", "O"))</f>
        <v>O</v>
      </c>
      <c r="BF51" s="43" t="str">
        <f>IF($A51=BF$1, IF(ROW(BF51)=2, "+", IF(COUNTIF($B51:BE51, "X")=0, "+", "-")), IF(MOD($A51, BF$1)=0, "X", "O"))</f>
        <v>O</v>
      </c>
      <c r="BG51" s="43" t="str">
        <f>IF($A51=BG$1, IF(ROW(BG51)=2, "+", IF(COUNTIF($B51:BF51, "X")=0, "+", "-")), IF(MOD($A51, BG$1)=0, "X", "O"))</f>
        <v>O</v>
      </c>
      <c r="BH51" s="43" t="str">
        <f>IF($A51=BH$1, IF(ROW(BH51)=2, "+", IF(COUNTIF($B51:BG51, "X")=0, "+", "-")), IF(MOD($A51, BH$1)=0, "X", "O"))</f>
        <v>O</v>
      </c>
    </row>
    <row r="52" spans="1:60" x14ac:dyDescent="0.25">
      <c r="A52">
        <v>52</v>
      </c>
      <c r="B52" s="43" t="str">
        <f>IF($A52=B$1, IF(ROW(B52)=2, "+", IF(COUNTIF(A52:$B52, "X")=0, "+", "-")), IF(MOD($A52, B$1)=0, "X", "O"))</f>
        <v>X</v>
      </c>
      <c r="C52" s="43" t="str">
        <f>IF($A52=C$1, IF(ROW(C52)=2, "+", IF(COUNTIF(B52:$B52, "X")=0, "+", "-")), IF(MOD($A52, C$1)=0, "X", "O"))</f>
        <v>O</v>
      </c>
      <c r="D52" s="43" t="str">
        <f>IF($A52=D$1, IF(ROW(D52)=2, "+", IF(COUNTIF($B52:C52, "X")=0, "+", "-")), IF(MOD($A52, D$1)=0, "X", "O"))</f>
        <v>X</v>
      </c>
      <c r="E52" s="43" t="str">
        <f>IF($A52=E$1, IF(ROW(E52)=2, "+", IF(COUNTIF($B52:D52, "X")=0, "+", "-")), IF(MOD($A52, E$1)=0, "X", "O"))</f>
        <v>O</v>
      </c>
      <c r="F52" s="43" t="str">
        <f>IF($A52=F$1, IF(ROW(F52)=2, "+", IF(COUNTIF($B52:E52, "X")=0, "+", "-")), IF(MOD($A52, F$1)=0, "X", "O"))</f>
        <v>O</v>
      </c>
      <c r="G52" s="43" t="str">
        <f>IF($A52=G$1, IF(ROW(G52)=2, "+", IF(COUNTIF($B52:F52, "X")=0, "+", "-")), IF(MOD($A52, G$1)=0, "X", "O"))</f>
        <v>O</v>
      </c>
      <c r="H52" s="43" t="str">
        <f>IF($A52=H$1, IF(ROW(H52)=2, "+", IF(COUNTIF($B52:G52, "X")=0, "+", "-")), IF(MOD($A52, H$1)=0, "X", "O"))</f>
        <v>O</v>
      </c>
      <c r="I52" s="43" t="str">
        <f>IF($A52=I$1, IF(ROW(I52)=2, "+", IF(COUNTIF($B52:H52, "X")=0, "+", "-")), IF(MOD($A52, I$1)=0, "X", "O"))</f>
        <v>O</v>
      </c>
      <c r="J52" s="43" t="str">
        <f>IF($A52=J$1, IF(ROW(J52)=2, "+", IF(COUNTIF($B52:I52, "X")=0, "+", "-")), IF(MOD($A52, J$1)=0, "X", "O"))</f>
        <v>O</v>
      </c>
      <c r="K52" s="43" t="str">
        <f>IF($A52=K$1, IF(ROW(K52)=2, "+", IF(COUNTIF($B52:J52, "X")=0, "+", "-")), IF(MOD($A52, K$1)=0, "X", "O"))</f>
        <v>O</v>
      </c>
      <c r="L52" s="43" t="str">
        <f>IF($A52=L$1, IF(ROW(L52)=2, "+", IF(COUNTIF($B52:K52, "X")=0, "+", "-")), IF(MOD($A52, L$1)=0, "X", "O"))</f>
        <v>O</v>
      </c>
      <c r="M52" s="43" t="str">
        <f>IF($A52=M$1, IF(ROW(M52)=2, "+", IF(COUNTIF($B52:L52, "X")=0, "+", "-")), IF(MOD($A52, M$1)=0, "X", "O"))</f>
        <v>X</v>
      </c>
      <c r="N52" s="43" t="str">
        <f>IF($A52=N$1, IF(ROW(N52)=2, "+", IF(COUNTIF($B52:M52, "X")=0, "+", "-")), IF(MOD($A52, N$1)=0, "X", "O"))</f>
        <v>O</v>
      </c>
      <c r="O52" s="43" t="str">
        <f>IF($A52=O$1, IF(ROW(O52)=2, "+", IF(COUNTIF($B52:N52, "X")=0, "+", "-")), IF(MOD($A52, O$1)=0, "X", "O"))</f>
        <v>O</v>
      </c>
      <c r="P52" s="43" t="str">
        <f>IF($A52=P$1, IF(ROW(P52)=2, "+", IF(COUNTIF($B52:O52, "X")=0, "+", "-")), IF(MOD($A52, P$1)=0, "X", "O"))</f>
        <v>O</v>
      </c>
      <c r="Q52" s="43" t="str">
        <f>IF($A52=Q$1, IF(ROW(Q52)=2, "+", IF(COUNTIF($B52:P52, "X")=0, "+", "-")), IF(MOD($A52, Q$1)=0, "X", "O"))</f>
        <v>O</v>
      </c>
      <c r="R52" s="43" t="str">
        <f>IF($A52=R$1, IF(ROW(R52)=2, "+", IF(COUNTIF($B52:Q52, "X")=0, "+", "-")), IF(MOD($A52, R$1)=0, "X", "O"))</f>
        <v>O</v>
      </c>
      <c r="S52" s="43" t="str">
        <f>IF($A52=S$1, IF(ROW(S52)=2, "+", IF(COUNTIF($B52:R52, "X")=0, "+", "-")), IF(MOD($A52, S$1)=0, "X", "O"))</f>
        <v>O</v>
      </c>
      <c r="T52" s="43" t="str">
        <f>IF($A52=T$1, IF(ROW(T52)=2, "+", IF(COUNTIF($B52:S52, "X")=0, "+", "-")), IF(MOD($A52, T$1)=0, "X", "O"))</f>
        <v>O</v>
      </c>
      <c r="U52" s="43" t="str">
        <f>IF($A52=U$1, IF(ROW(U52)=2, "+", IF(COUNTIF($B52:T52, "X")=0, "+", "-")), IF(MOD($A52, U$1)=0, "X", "O"))</f>
        <v>O</v>
      </c>
      <c r="V52" s="43" t="str">
        <f>IF($A52=V$1, IF(ROW(V52)=2, "+", IF(COUNTIF($B52:U52, "X")=0, "+", "-")), IF(MOD($A52, V$1)=0, "X", "O"))</f>
        <v>O</v>
      </c>
      <c r="W52" s="43" t="str">
        <f>IF($A52=W$1, IF(ROW(W52)=2, "+", IF(COUNTIF($B52:V52, "X")=0, "+", "-")), IF(MOD($A52, W$1)=0, "X", "O"))</f>
        <v>O</v>
      </c>
      <c r="X52" s="43" t="str">
        <f>IF($A52=X$1, IF(ROW(X52)=2, "+", IF(COUNTIF($B52:W52, "X")=0, "+", "-")), IF(MOD($A52, X$1)=0, "X", "O"))</f>
        <v>O</v>
      </c>
      <c r="Y52" s="43" t="str">
        <f>IF($A52=Y$1, IF(ROW(Y52)=2, "+", IF(COUNTIF($B52:X52, "X")=0, "+", "-")), IF(MOD($A52, Y$1)=0, "X", "O"))</f>
        <v>O</v>
      </c>
      <c r="Z52" s="43" t="str">
        <f>IF($A52=Z$1, IF(ROW(Z52)=2, "+", IF(COUNTIF($B52:Y52, "X")=0, "+", "-")), IF(MOD($A52, Z$1)=0, "X", "O"))</f>
        <v>X</v>
      </c>
      <c r="AA52" s="43" t="str">
        <f>IF($A52=AA$1, IF(ROW(AA52)=2, "+", IF(COUNTIF($B52:Z52, "X")=0, "+", "-")), IF(MOD($A52, AA$1)=0, "X", "O"))</f>
        <v>O</v>
      </c>
      <c r="AB52" s="43" t="str">
        <f>IF($A52=AB$1, IF(ROW(AB52)=2, "+", IF(COUNTIF($B52:AA52, "X")=0, "+", "-")), IF(MOD($A52, AB$1)=0, "X", "O"))</f>
        <v>O</v>
      </c>
      <c r="AC52" s="43" t="str">
        <f>IF($A52=AC$1, IF(ROW(AC52)=2, "+", IF(COUNTIF($B52:AB52, "X")=0, "+", "-")), IF(MOD($A52, AC$1)=0, "X", "O"))</f>
        <v>O</v>
      </c>
      <c r="AD52" s="43" t="str">
        <f>IF($A52=AD$1, IF(ROW(AD52)=2, "+", IF(COUNTIF($B52:AC52, "X")=0, "+", "-")), IF(MOD($A52, AD$1)=0, "X", "O"))</f>
        <v>O</v>
      </c>
      <c r="AE52" s="43" t="str">
        <f>IF($A52=AE$1, IF(ROW(AE52)=2, "+", IF(COUNTIF($B52:AD52, "X")=0, "+", "-")), IF(MOD($A52, AE$1)=0, "X", "O"))</f>
        <v>O</v>
      </c>
      <c r="AF52" s="43" t="str">
        <f>IF($A52=AF$1, IF(ROW(AF52)=2, "+", IF(COUNTIF($B52:AE52, "X")=0, "+", "-")), IF(MOD($A52, AF$1)=0, "X", "O"))</f>
        <v>O</v>
      </c>
      <c r="AG52" s="43" t="str">
        <f>IF($A52=AG$1, IF(ROW(AG52)=2, "+", IF(COUNTIF($B52:AF52, "X")=0, "+", "-")), IF(MOD($A52, AG$1)=0, "X", "O"))</f>
        <v>O</v>
      </c>
      <c r="AH52" s="43" t="str">
        <f>IF($A52=AH$1, IF(ROW(AH52)=2, "+", IF(COUNTIF($B52:AG52, "X")=0, "+", "-")), IF(MOD($A52, AH$1)=0, "X", "O"))</f>
        <v>O</v>
      </c>
      <c r="AI52" s="43" t="str">
        <f>IF($A52=AI$1, IF(ROW(AI52)=2, "+", IF(COUNTIF($B52:AH52, "X")=0, "+", "-")), IF(MOD($A52, AI$1)=0, "X", "O"))</f>
        <v>O</v>
      </c>
      <c r="AJ52" s="43" t="str">
        <f>IF($A52=AJ$1, IF(ROW(AJ52)=2, "+", IF(COUNTIF($B52:AI52, "X")=0, "+", "-")), IF(MOD($A52, AJ$1)=0, "X", "O"))</f>
        <v>O</v>
      </c>
      <c r="AK52" s="43" t="str">
        <f>IF($A52=AK$1, IF(ROW(AK52)=2, "+", IF(COUNTIF($B52:AJ52, "X")=0, "+", "-")), IF(MOD($A52, AK$1)=0, "X", "O"))</f>
        <v>O</v>
      </c>
      <c r="AL52" s="43" t="str">
        <f>IF($A52=AL$1, IF(ROW(AL52)=2, "+", IF(COUNTIF($B52:AK52, "X")=0, "+", "-")), IF(MOD($A52, AL$1)=0, "X", "O"))</f>
        <v>O</v>
      </c>
      <c r="AM52" s="43" t="str">
        <f>IF($A52=AM$1, IF(ROW(AM52)=2, "+", IF(COUNTIF($B52:AL52, "X")=0, "+", "-")), IF(MOD($A52, AM$1)=0, "X", "O"))</f>
        <v>O</v>
      </c>
      <c r="AN52" s="43" t="str">
        <f>IF($A52=AN$1, IF(ROW(AN52)=2, "+", IF(COUNTIF($B52:AM52, "X")=0, "+", "-")), IF(MOD($A52, AN$1)=0, "X", "O"))</f>
        <v>O</v>
      </c>
      <c r="AO52" s="43" t="str">
        <f>IF($A52=AO$1, IF(ROW(AO52)=2, "+", IF(COUNTIF($B52:AN52, "X")=0, "+", "-")), IF(MOD($A52, AO$1)=0, "X", "O"))</f>
        <v>O</v>
      </c>
      <c r="AP52" s="43" t="str">
        <f>IF($A52=AP$1, IF(ROW(AP52)=2, "+", IF(COUNTIF($B52:AO52, "X")=0, "+", "-")), IF(MOD($A52, AP$1)=0, "X", "O"))</f>
        <v>O</v>
      </c>
      <c r="AQ52" s="43" t="str">
        <f>IF($A52=AQ$1, IF(ROW(AQ52)=2, "+", IF(COUNTIF($B52:AP52, "X")=0, "+", "-")), IF(MOD($A52, AQ$1)=0, "X", "O"))</f>
        <v>O</v>
      </c>
      <c r="AR52" s="43" t="str">
        <f>IF($A52=AR$1, IF(ROW(AR52)=2, "+", IF(COUNTIF($B52:AQ52, "X")=0, "+", "-")), IF(MOD($A52, AR$1)=0, "X", "O"))</f>
        <v>O</v>
      </c>
      <c r="AS52" s="43" t="str">
        <f>IF($A52=AS$1, IF(ROW(AS52)=2, "+", IF(COUNTIF($B52:AR52, "X")=0, "+", "-")), IF(MOD($A52, AS$1)=0, "X", "O"))</f>
        <v>O</v>
      </c>
      <c r="AT52" s="43" t="str">
        <f>IF($A52=AT$1, IF(ROW(AT52)=2, "+", IF(COUNTIF($B52:AS52, "X")=0, "+", "-")), IF(MOD($A52, AT$1)=0, "X", "O"))</f>
        <v>O</v>
      </c>
      <c r="AU52" s="43" t="str">
        <f>IF($A52=AU$1, IF(ROW(AU52)=2, "+", IF(COUNTIF($B52:AT52, "X")=0, "+", "-")), IF(MOD($A52, AU$1)=0, "X", "O"))</f>
        <v>O</v>
      </c>
      <c r="AV52" s="43" t="str">
        <f>IF($A52=AV$1, IF(ROW(AV52)=2, "+", IF(COUNTIF($B52:AU52, "X")=0, "+", "-")), IF(MOD($A52, AV$1)=0, "X", "O"))</f>
        <v>O</v>
      </c>
      <c r="AW52" s="43" t="str">
        <f>IF($A52=AW$1, IF(ROW(AW52)=2, "+", IF(COUNTIF($B52:AV52, "X")=0, "+", "-")), IF(MOD($A52, AW$1)=0, "X", "O"))</f>
        <v>O</v>
      </c>
      <c r="AX52" s="43" t="str">
        <f>IF($A52=AX$1, IF(ROW(AX52)=2, "+", IF(COUNTIF($B52:AW52, "X")=0, "+", "-")), IF(MOD($A52, AX$1)=0, "X", "O"))</f>
        <v>O</v>
      </c>
      <c r="AY52" s="43" t="str">
        <f>IF($A52=AY$1, IF(ROW(AY52)=2, "+", IF(COUNTIF($B52:AX52, "X")=0, "+", "-")), IF(MOD($A52, AY$1)=0, "X", "O"))</f>
        <v>O</v>
      </c>
      <c r="AZ52" s="43" t="str">
        <f>IF($A52=AZ$1, IF(ROW(AZ52)=2, "+", IF(COUNTIF($B52:AY52, "X")=0, "+", "-")), IF(MOD($A52, AZ$1)=0, "X", "O"))</f>
        <v>-</v>
      </c>
      <c r="BA52" s="43" t="str">
        <f>IF($A52=BA$1, IF(ROW(BA52)=2, "+", IF(COUNTIF($B52:AZ52, "X")=0, "+", "-")), IF(MOD($A52, BA$1)=0, "X", "O"))</f>
        <v>O</v>
      </c>
      <c r="BB52" s="43" t="str">
        <f>IF($A52=BB$1, IF(ROW(BB52)=2, "+", IF(COUNTIF($B52:BA52, "X")=0, "+", "-")), IF(MOD($A52, BB$1)=0, "X", "O"))</f>
        <v>O</v>
      </c>
      <c r="BC52" s="43" t="str">
        <f>IF($A52=BC$1, IF(ROW(BC52)=2, "+", IF(COUNTIF($B52:BB52, "X")=0, "+", "-")), IF(MOD($A52, BC$1)=0, "X", "O"))</f>
        <v>O</v>
      </c>
      <c r="BD52" s="43" t="str">
        <f>IF($A52=BD$1, IF(ROW(BD52)=2, "+", IF(COUNTIF($B52:BC52, "X")=0, "+", "-")), IF(MOD($A52, BD$1)=0, "X", "O"))</f>
        <v>O</v>
      </c>
      <c r="BE52" s="43" t="str">
        <f>IF($A52=BE$1, IF(ROW(BE52)=2, "+", IF(COUNTIF($B52:BD52, "X")=0, "+", "-")), IF(MOD($A52, BE$1)=0, "X", "O"))</f>
        <v>O</v>
      </c>
      <c r="BF52" s="43" t="str">
        <f>IF($A52=BF$1, IF(ROW(BF52)=2, "+", IF(COUNTIF($B52:BE52, "X")=0, "+", "-")), IF(MOD($A52, BF$1)=0, "X", "O"))</f>
        <v>O</v>
      </c>
      <c r="BG52" s="43" t="str">
        <f>IF($A52=BG$1, IF(ROW(BG52)=2, "+", IF(COUNTIF($B52:BF52, "X")=0, "+", "-")), IF(MOD($A52, BG$1)=0, "X", "O"))</f>
        <v>O</v>
      </c>
      <c r="BH52" s="43" t="str">
        <f>IF($A52=BH$1, IF(ROW(BH52)=2, "+", IF(COUNTIF($B52:BG52, "X")=0, "+", "-")), IF(MOD($A52, BH$1)=0, "X", "O"))</f>
        <v>O</v>
      </c>
    </row>
    <row r="53" spans="1:60" x14ac:dyDescent="0.25">
      <c r="A53">
        <v>53</v>
      </c>
      <c r="B53" s="43" t="str">
        <f>IF($A53=B$1, IF(ROW(B53)=2, "+", IF(COUNTIF(A53:$B53, "X")=0, "+", "-")), IF(MOD($A53, B$1)=0, "X", "O"))</f>
        <v>O</v>
      </c>
      <c r="C53" s="43" t="str">
        <f>IF($A53=C$1, IF(ROW(C53)=2, "+", IF(COUNTIF(B53:$B53, "X")=0, "+", "-")), IF(MOD($A53, C$1)=0, "X", "O"))</f>
        <v>O</v>
      </c>
      <c r="D53" s="43" t="str">
        <f>IF($A53=D$1, IF(ROW(D53)=2, "+", IF(COUNTIF($B53:C53, "X")=0, "+", "-")), IF(MOD($A53, D$1)=0, "X", "O"))</f>
        <v>O</v>
      </c>
      <c r="E53" s="43" t="str">
        <f>IF($A53=E$1, IF(ROW(E53)=2, "+", IF(COUNTIF($B53:D53, "X")=0, "+", "-")), IF(MOD($A53, E$1)=0, "X", "O"))</f>
        <v>O</v>
      </c>
      <c r="F53" s="43" t="str">
        <f>IF($A53=F$1, IF(ROW(F53)=2, "+", IF(COUNTIF($B53:E53, "X")=0, "+", "-")), IF(MOD($A53, F$1)=0, "X", "O"))</f>
        <v>O</v>
      </c>
      <c r="G53" s="43" t="str">
        <f>IF($A53=G$1, IF(ROW(G53)=2, "+", IF(COUNTIF($B53:F53, "X")=0, "+", "-")), IF(MOD($A53, G$1)=0, "X", "O"))</f>
        <v>O</v>
      </c>
      <c r="H53" s="43" t="str">
        <f>IF($A53=H$1, IF(ROW(H53)=2, "+", IF(COUNTIF($B53:G53, "X")=0, "+", "-")), IF(MOD($A53, H$1)=0, "X", "O"))</f>
        <v>O</v>
      </c>
      <c r="I53" s="43" t="str">
        <f>IF($A53=I$1, IF(ROW(I53)=2, "+", IF(COUNTIF($B53:H53, "X")=0, "+", "-")), IF(MOD($A53, I$1)=0, "X", "O"))</f>
        <v>O</v>
      </c>
      <c r="J53" s="43" t="str">
        <f>IF($A53=J$1, IF(ROW(J53)=2, "+", IF(COUNTIF($B53:I53, "X")=0, "+", "-")), IF(MOD($A53, J$1)=0, "X", "O"))</f>
        <v>O</v>
      </c>
      <c r="K53" s="43" t="str">
        <f>IF($A53=K$1, IF(ROW(K53)=2, "+", IF(COUNTIF($B53:J53, "X")=0, "+", "-")), IF(MOD($A53, K$1)=0, "X", "O"))</f>
        <v>O</v>
      </c>
      <c r="L53" s="43" t="str">
        <f>IF($A53=L$1, IF(ROW(L53)=2, "+", IF(COUNTIF($B53:K53, "X")=0, "+", "-")), IF(MOD($A53, L$1)=0, "X", "O"))</f>
        <v>O</v>
      </c>
      <c r="M53" s="43" t="str">
        <f>IF($A53=M$1, IF(ROW(M53)=2, "+", IF(COUNTIF($B53:L53, "X")=0, "+", "-")), IF(MOD($A53, M$1)=0, "X", "O"))</f>
        <v>O</v>
      </c>
      <c r="N53" s="43" t="str">
        <f>IF($A53=N$1, IF(ROW(N53)=2, "+", IF(COUNTIF($B53:M53, "X")=0, "+", "-")), IF(MOD($A53, N$1)=0, "X", "O"))</f>
        <v>O</v>
      </c>
      <c r="O53" s="43" t="str">
        <f>IF($A53=O$1, IF(ROW(O53)=2, "+", IF(COUNTIF($B53:N53, "X")=0, "+", "-")), IF(MOD($A53, O$1)=0, "X", "O"))</f>
        <v>O</v>
      </c>
      <c r="P53" s="43" t="str">
        <f>IF($A53=P$1, IF(ROW(P53)=2, "+", IF(COUNTIF($B53:O53, "X")=0, "+", "-")), IF(MOD($A53, P$1)=0, "X", "O"))</f>
        <v>O</v>
      </c>
      <c r="Q53" s="43" t="str">
        <f>IF($A53=Q$1, IF(ROW(Q53)=2, "+", IF(COUNTIF($B53:P53, "X")=0, "+", "-")), IF(MOD($A53, Q$1)=0, "X", "O"))</f>
        <v>O</v>
      </c>
      <c r="R53" s="43" t="str">
        <f>IF($A53=R$1, IF(ROW(R53)=2, "+", IF(COUNTIF($B53:Q53, "X")=0, "+", "-")), IF(MOD($A53, R$1)=0, "X", "O"))</f>
        <v>O</v>
      </c>
      <c r="S53" s="43" t="str">
        <f>IF($A53=S$1, IF(ROW(S53)=2, "+", IF(COUNTIF($B53:R53, "X")=0, "+", "-")), IF(MOD($A53, S$1)=0, "X", "O"))</f>
        <v>O</v>
      </c>
      <c r="T53" s="43" t="str">
        <f>IF($A53=T$1, IF(ROW(T53)=2, "+", IF(COUNTIF($B53:S53, "X")=0, "+", "-")), IF(MOD($A53, T$1)=0, "X", "O"))</f>
        <v>O</v>
      </c>
      <c r="U53" s="43" t="str">
        <f>IF($A53=U$1, IF(ROW(U53)=2, "+", IF(COUNTIF($B53:T53, "X")=0, "+", "-")), IF(MOD($A53, U$1)=0, "X", "O"))</f>
        <v>O</v>
      </c>
      <c r="V53" s="43" t="str">
        <f>IF($A53=V$1, IF(ROW(V53)=2, "+", IF(COUNTIF($B53:U53, "X")=0, "+", "-")), IF(MOD($A53, V$1)=0, "X", "O"))</f>
        <v>O</v>
      </c>
      <c r="W53" s="43" t="str">
        <f>IF($A53=W$1, IF(ROW(W53)=2, "+", IF(COUNTIF($B53:V53, "X")=0, "+", "-")), IF(MOD($A53, W$1)=0, "X", "O"))</f>
        <v>O</v>
      </c>
      <c r="X53" s="43" t="str">
        <f>IF($A53=X$1, IF(ROW(X53)=2, "+", IF(COUNTIF($B53:W53, "X")=0, "+", "-")), IF(MOD($A53, X$1)=0, "X", "O"))</f>
        <v>O</v>
      </c>
      <c r="Y53" s="43" t="str">
        <f>IF($A53=Y$1, IF(ROW(Y53)=2, "+", IF(COUNTIF($B53:X53, "X")=0, "+", "-")), IF(MOD($A53, Y$1)=0, "X", "O"))</f>
        <v>O</v>
      </c>
      <c r="Z53" s="43" t="str">
        <f>IF($A53=Z$1, IF(ROW(Z53)=2, "+", IF(COUNTIF($B53:Y53, "X")=0, "+", "-")), IF(MOD($A53, Z$1)=0, "X", "O"))</f>
        <v>O</v>
      </c>
      <c r="AA53" s="43" t="str">
        <f>IF($A53=AA$1, IF(ROW(AA53)=2, "+", IF(COUNTIF($B53:Z53, "X")=0, "+", "-")), IF(MOD($A53, AA$1)=0, "X", "O"))</f>
        <v>O</v>
      </c>
      <c r="AB53" s="43" t="str">
        <f>IF($A53=AB$1, IF(ROW(AB53)=2, "+", IF(COUNTIF($B53:AA53, "X")=0, "+", "-")), IF(MOD($A53, AB$1)=0, "X", "O"))</f>
        <v>O</v>
      </c>
      <c r="AC53" s="43" t="str">
        <f>IF($A53=AC$1, IF(ROW(AC53)=2, "+", IF(COUNTIF($B53:AB53, "X")=0, "+", "-")), IF(MOD($A53, AC$1)=0, "X", "O"))</f>
        <v>O</v>
      </c>
      <c r="AD53" s="43" t="str">
        <f>IF($A53=AD$1, IF(ROW(AD53)=2, "+", IF(COUNTIF($B53:AC53, "X")=0, "+", "-")), IF(MOD($A53, AD$1)=0, "X", "O"))</f>
        <v>O</v>
      </c>
      <c r="AE53" s="43" t="str">
        <f>IF($A53=AE$1, IF(ROW(AE53)=2, "+", IF(COUNTIF($B53:AD53, "X")=0, "+", "-")), IF(MOD($A53, AE$1)=0, "X", "O"))</f>
        <v>O</v>
      </c>
      <c r="AF53" s="43" t="str">
        <f>IF($A53=AF$1, IF(ROW(AF53)=2, "+", IF(COUNTIF($B53:AE53, "X")=0, "+", "-")), IF(MOD($A53, AF$1)=0, "X", "O"))</f>
        <v>O</v>
      </c>
      <c r="AG53" s="43" t="str">
        <f>IF($A53=AG$1, IF(ROW(AG53)=2, "+", IF(COUNTIF($B53:AF53, "X")=0, "+", "-")), IF(MOD($A53, AG$1)=0, "X", "O"))</f>
        <v>O</v>
      </c>
      <c r="AH53" s="43" t="str">
        <f>IF($A53=AH$1, IF(ROW(AH53)=2, "+", IF(COUNTIF($B53:AG53, "X")=0, "+", "-")), IF(MOD($A53, AH$1)=0, "X", "O"))</f>
        <v>O</v>
      </c>
      <c r="AI53" s="43" t="str">
        <f>IF($A53=AI$1, IF(ROW(AI53)=2, "+", IF(COUNTIF($B53:AH53, "X")=0, "+", "-")), IF(MOD($A53, AI$1)=0, "X", "O"))</f>
        <v>O</v>
      </c>
      <c r="AJ53" s="43" t="str">
        <f>IF($A53=AJ$1, IF(ROW(AJ53)=2, "+", IF(COUNTIF($B53:AI53, "X")=0, "+", "-")), IF(MOD($A53, AJ$1)=0, "X", "O"))</f>
        <v>O</v>
      </c>
      <c r="AK53" s="43" t="str">
        <f>IF($A53=AK$1, IF(ROW(AK53)=2, "+", IF(COUNTIF($B53:AJ53, "X")=0, "+", "-")), IF(MOD($A53, AK$1)=0, "X", "O"))</f>
        <v>O</v>
      </c>
      <c r="AL53" s="43" t="str">
        <f>IF($A53=AL$1, IF(ROW(AL53)=2, "+", IF(COUNTIF($B53:AK53, "X")=0, "+", "-")), IF(MOD($A53, AL$1)=0, "X", "O"))</f>
        <v>O</v>
      </c>
      <c r="AM53" s="43" t="str">
        <f>IF($A53=AM$1, IF(ROW(AM53)=2, "+", IF(COUNTIF($B53:AL53, "X")=0, "+", "-")), IF(MOD($A53, AM$1)=0, "X", "O"))</f>
        <v>O</v>
      </c>
      <c r="AN53" s="43" t="str">
        <f>IF($A53=AN$1, IF(ROW(AN53)=2, "+", IF(COUNTIF($B53:AM53, "X")=0, "+", "-")), IF(MOD($A53, AN$1)=0, "X", "O"))</f>
        <v>O</v>
      </c>
      <c r="AO53" s="43" t="str">
        <f>IF($A53=AO$1, IF(ROW(AO53)=2, "+", IF(COUNTIF($B53:AN53, "X")=0, "+", "-")), IF(MOD($A53, AO$1)=0, "X", "O"))</f>
        <v>O</v>
      </c>
      <c r="AP53" s="43" t="str">
        <f>IF($A53=AP$1, IF(ROW(AP53)=2, "+", IF(COUNTIF($B53:AO53, "X")=0, "+", "-")), IF(MOD($A53, AP$1)=0, "X", "O"))</f>
        <v>O</v>
      </c>
      <c r="AQ53" s="43" t="str">
        <f>IF($A53=AQ$1, IF(ROW(AQ53)=2, "+", IF(COUNTIF($B53:AP53, "X")=0, "+", "-")), IF(MOD($A53, AQ$1)=0, "X", "O"))</f>
        <v>O</v>
      </c>
      <c r="AR53" s="43" t="str">
        <f>IF($A53=AR$1, IF(ROW(AR53)=2, "+", IF(COUNTIF($B53:AQ53, "X")=0, "+", "-")), IF(MOD($A53, AR$1)=0, "X", "O"))</f>
        <v>O</v>
      </c>
      <c r="AS53" s="43" t="str">
        <f>IF($A53=AS$1, IF(ROW(AS53)=2, "+", IF(COUNTIF($B53:AR53, "X")=0, "+", "-")), IF(MOD($A53, AS$1)=0, "X", "O"))</f>
        <v>O</v>
      </c>
      <c r="AT53" s="43" t="str">
        <f>IF($A53=AT$1, IF(ROW(AT53)=2, "+", IF(COUNTIF($B53:AS53, "X")=0, "+", "-")), IF(MOD($A53, AT$1)=0, "X", "O"))</f>
        <v>O</v>
      </c>
      <c r="AU53" s="43" t="str">
        <f>IF($A53=AU$1, IF(ROW(AU53)=2, "+", IF(COUNTIF($B53:AT53, "X")=0, "+", "-")), IF(MOD($A53, AU$1)=0, "X", "O"))</f>
        <v>O</v>
      </c>
      <c r="AV53" s="43" t="str">
        <f>IF($A53=AV$1, IF(ROW(AV53)=2, "+", IF(COUNTIF($B53:AU53, "X")=0, "+", "-")), IF(MOD($A53, AV$1)=0, "X", "O"))</f>
        <v>O</v>
      </c>
      <c r="AW53" s="43" t="str">
        <f>IF($A53=AW$1, IF(ROW(AW53)=2, "+", IF(COUNTIF($B53:AV53, "X")=0, "+", "-")), IF(MOD($A53, AW$1)=0, "X", "O"))</f>
        <v>O</v>
      </c>
      <c r="AX53" s="43" t="str">
        <f>IF($A53=AX$1, IF(ROW(AX53)=2, "+", IF(COUNTIF($B53:AW53, "X")=0, "+", "-")), IF(MOD($A53, AX$1)=0, "X", "O"))</f>
        <v>O</v>
      </c>
      <c r="AY53" s="43" t="str">
        <f>IF($A53=AY$1, IF(ROW(AY53)=2, "+", IF(COUNTIF($B53:AX53, "X")=0, "+", "-")), IF(MOD($A53, AY$1)=0, "X", "O"))</f>
        <v>O</v>
      </c>
      <c r="AZ53" s="43" t="str">
        <f>IF($A53=AZ$1, IF(ROW(AZ53)=2, "+", IF(COUNTIF($B53:AY53, "X")=0, "+", "-")), IF(MOD($A53, AZ$1)=0, "X", "O"))</f>
        <v>O</v>
      </c>
      <c r="BA53" s="43" t="str">
        <f>IF($A53=BA$1, IF(ROW(BA53)=2, "+", IF(COUNTIF($B53:AZ53, "X")=0, "+", "-")), IF(MOD($A53, BA$1)=0, "X", "O"))</f>
        <v>+</v>
      </c>
      <c r="BB53" s="43" t="str">
        <f>IF($A53=BB$1, IF(ROW(BB53)=2, "+", IF(COUNTIF($B53:BA53, "X")=0, "+", "-")), IF(MOD($A53, BB$1)=0, "X", "O"))</f>
        <v>O</v>
      </c>
      <c r="BC53" s="43" t="str">
        <f>IF($A53=BC$1, IF(ROW(BC53)=2, "+", IF(COUNTIF($B53:BB53, "X")=0, "+", "-")), IF(MOD($A53, BC$1)=0, "X", "O"))</f>
        <v>O</v>
      </c>
      <c r="BD53" s="43" t="str">
        <f>IF($A53=BD$1, IF(ROW(BD53)=2, "+", IF(COUNTIF($B53:BC53, "X")=0, "+", "-")), IF(MOD($A53, BD$1)=0, "X", "O"))</f>
        <v>O</v>
      </c>
      <c r="BE53" s="43" t="str">
        <f>IF($A53=BE$1, IF(ROW(BE53)=2, "+", IF(COUNTIF($B53:BD53, "X")=0, "+", "-")), IF(MOD($A53, BE$1)=0, "X", "O"))</f>
        <v>O</v>
      </c>
      <c r="BF53" s="43" t="str">
        <f>IF($A53=BF$1, IF(ROW(BF53)=2, "+", IF(COUNTIF($B53:BE53, "X")=0, "+", "-")), IF(MOD($A53, BF$1)=0, "X", "O"))</f>
        <v>O</v>
      </c>
      <c r="BG53" s="43" t="str">
        <f>IF($A53=BG$1, IF(ROW(BG53)=2, "+", IF(COUNTIF($B53:BF53, "X")=0, "+", "-")), IF(MOD($A53, BG$1)=0, "X", "O"))</f>
        <v>O</v>
      </c>
      <c r="BH53" s="43" t="str">
        <f>IF($A53=BH$1, IF(ROW(BH53)=2, "+", IF(COUNTIF($B53:BG53, "X")=0, "+", "-")), IF(MOD($A53, BH$1)=0, "X", "O"))</f>
        <v>O</v>
      </c>
    </row>
    <row r="54" spans="1:60" x14ac:dyDescent="0.25">
      <c r="A54">
        <v>54</v>
      </c>
      <c r="B54" s="43" t="str">
        <f>IF($A54=B$1, IF(ROW(B54)=2, "+", IF(COUNTIF(A54:$B54, "X")=0, "+", "-")), IF(MOD($A54, B$1)=0, "X", "O"))</f>
        <v>X</v>
      </c>
      <c r="C54" s="43" t="str">
        <f>IF($A54=C$1, IF(ROW(C54)=2, "+", IF(COUNTIF(B54:$B54, "X")=0, "+", "-")), IF(MOD($A54, C$1)=0, "X", "O"))</f>
        <v>X</v>
      </c>
      <c r="D54" s="43" t="str">
        <f>IF($A54=D$1, IF(ROW(D54)=2, "+", IF(COUNTIF($B54:C54, "X")=0, "+", "-")), IF(MOD($A54, D$1)=0, "X", "O"))</f>
        <v>O</v>
      </c>
      <c r="E54" s="43" t="str">
        <f>IF($A54=E$1, IF(ROW(E54)=2, "+", IF(COUNTIF($B54:D54, "X")=0, "+", "-")), IF(MOD($A54, E$1)=0, "X", "O"))</f>
        <v>O</v>
      </c>
      <c r="F54" s="43" t="str">
        <f>IF($A54=F$1, IF(ROW(F54)=2, "+", IF(COUNTIF($B54:E54, "X")=0, "+", "-")), IF(MOD($A54, F$1)=0, "X", "O"))</f>
        <v>X</v>
      </c>
      <c r="G54" s="43" t="str">
        <f>IF($A54=G$1, IF(ROW(G54)=2, "+", IF(COUNTIF($B54:F54, "X")=0, "+", "-")), IF(MOD($A54, G$1)=0, "X", "O"))</f>
        <v>O</v>
      </c>
      <c r="H54" s="43" t="str">
        <f>IF($A54=H$1, IF(ROW(H54)=2, "+", IF(COUNTIF($B54:G54, "X")=0, "+", "-")), IF(MOD($A54, H$1)=0, "X", "O"))</f>
        <v>O</v>
      </c>
      <c r="I54" s="43" t="str">
        <f>IF($A54=I$1, IF(ROW(I54)=2, "+", IF(COUNTIF($B54:H54, "X")=0, "+", "-")), IF(MOD($A54, I$1)=0, "X", "O"))</f>
        <v>X</v>
      </c>
      <c r="J54" s="43" t="str">
        <f>IF($A54=J$1, IF(ROW(J54)=2, "+", IF(COUNTIF($B54:I54, "X")=0, "+", "-")), IF(MOD($A54, J$1)=0, "X", "O"))</f>
        <v>O</v>
      </c>
      <c r="K54" s="43" t="str">
        <f>IF($A54=K$1, IF(ROW(K54)=2, "+", IF(COUNTIF($B54:J54, "X")=0, "+", "-")), IF(MOD($A54, K$1)=0, "X", "O"))</f>
        <v>O</v>
      </c>
      <c r="L54" s="43" t="str">
        <f>IF($A54=L$1, IF(ROW(L54)=2, "+", IF(COUNTIF($B54:K54, "X")=0, "+", "-")), IF(MOD($A54, L$1)=0, "X", "O"))</f>
        <v>O</v>
      </c>
      <c r="M54" s="43" t="str">
        <f>IF($A54=M$1, IF(ROW(M54)=2, "+", IF(COUNTIF($B54:L54, "X")=0, "+", "-")), IF(MOD($A54, M$1)=0, "X", "O"))</f>
        <v>O</v>
      </c>
      <c r="N54" s="43" t="str">
        <f>IF($A54=N$1, IF(ROW(N54)=2, "+", IF(COUNTIF($B54:M54, "X")=0, "+", "-")), IF(MOD($A54, N$1)=0, "X", "O"))</f>
        <v>O</v>
      </c>
      <c r="O54" s="43" t="str">
        <f>IF($A54=O$1, IF(ROW(O54)=2, "+", IF(COUNTIF($B54:N54, "X")=0, "+", "-")), IF(MOD($A54, O$1)=0, "X", "O"))</f>
        <v>O</v>
      </c>
      <c r="P54" s="43" t="str">
        <f>IF($A54=P$1, IF(ROW(P54)=2, "+", IF(COUNTIF($B54:O54, "X")=0, "+", "-")), IF(MOD($A54, P$1)=0, "X", "O"))</f>
        <v>O</v>
      </c>
      <c r="Q54" s="43" t="str">
        <f>IF($A54=Q$1, IF(ROW(Q54)=2, "+", IF(COUNTIF($B54:P54, "X")=0, "+", "-")), IF(MOD($A54, Q$1)=0, "X", "O"))</f>
        <v>O</v>
      </c>
      <c r="R54" s="43" t="str">
        <f>IF($A54=R$1, IF(ROW(R54)=2, "+", IF(COUNTIF($B54:Q54, "X")=0, "+", "-")), IF(MOD($A54, R$1)=0, "X", "O"))</f>
        <v>X</v>
      </c>
      <c r="S54" s="43" t="str">
        <f>IF($A54=S$1, IF(ROW(S54)=2, "+", IF(COUNTIF($B54:R54, "X")=0, "+", "-")), IF(MOD($A54, S$1)=0, "X", "O"))</f>
        <v>O</v>
      </c>
      <c r="T54" s="43" t="str">
        <f>IF($A54=T$1, IF(ROW(T54)=2, "+", IF(COUNTIF($B54:S54, "X")=0, "+", "-")), IF(MOD($A54, T$1)=0, "X", "O"))</f>
        <v>O</v>
      </c>
      <c r="U54" s="43" t="str">
        <f>IF($A54=U$1, IF(ROW(U54)=2, "+", IF(COUNTIF($B54:T54, "X")=0, "+", "-")), IF(MOD($A54, U$1)=0, "X", "O"))</f>
        <v>O</v>
      </c>
      <c r="V54" s="43" t="str">
        <f>IF($A54=V$1, IF(ROW(V54)=2, "+", IF(COUNTIF($B54:U54, "X")=0, "+", "-")), IF(MOD($A54, V$1)=0, "X", "O"))</f>
        <v>O</v>
      </c>
      <c r="W54" s="43" t="str">
        <f>IF($A54=W$1, IF(ROW(W54)=2, "+", IF(COUNTIF($B54:V54, "X")=0, "+", "-")), IF(MOD($A54, W$1)=0, "X", "O"))</f>
        <v>O</v>
      </c>
      <c r="X54" s="43" t="str">
        <f>IF($A54=X$1, IF(ROW(X54)=2, "+", IF(COUNTIF($B54:W54, "X")=0, "+", "-")), IF(MOD($A54, X$1)=0, "X", "O"))</f>
        <v>O</v>
      </c>
      <c r="Y54" s="43" t="str">
        <f>IF($A54=Y$1, IF(ROW(Y54)=2, "+", IF(COUNTIF($B54:X54, "X")=0, "+", "-")), IF(MOD($A54, Y$1)=0, "X", "O"))</f>
        <v>O</v>
      </c>
      <c r="Z54" s="43" t="str">
        <f>IF($A54=Z$1, IF(ROW(Z54)=2, "+", IF(COUNTIF($B54:Y54, "X")=0, "+", "-")), IF(MOD($A54, Z$1)=0, "X", "O"))</f>
        <v>O</v>
      </c>
      <c r="AA54" s="43" t="str">
        <f>IF($A54=AA$1, IF(ROW(AA54)=2, "+", IF(COUNTIF($B54:Z54, "X")=0, "+", "-")), IF(MOD($A54, AA$1)=0, "X", "O"))</f>
        <v>X</v>
      </c>
      <c r="AB54" s="43" t="str">
        <f>IF($A54=AB$1, IF(ROW(AB54)=2, "+", IF(COUNTIF($B54:AA54, "X")=0, "+", "-")), IF(MOD($A54, AB$1)=0, "X", "O"))</f>
        <v>O</v>
      </c>
      <c r="AC54" s="43" t="str">
        <f>IF($A54=AC$1, IF(ROW(AC54)=2, "+", IF(COUNTIF($B54:AB54, "X")=0, "+", "-")), IF(MOD($A54, AC$1)=0, "X", "O"))</f>
        <v>O</v>
      </c>
      <c r="AD54" s="43" t="str">
        <f>IF($A54=AD$1, IF(ROW(AD54)=2, "+", IF(COUNTIF($B54:AC54, "X")=0, "+", "-")), IF(MOD($A54, AD$1)=0, "X", "O"))</f>
        <v>O</v>
      </c>
      <c r="AE54" s="43" t="str">
        <f>IF($A54=AE$1, IF(ROW(AE54)=2, "+", IF(COUNTIF($B54:AD54, "X")=0, "+", "-")), IF(MOD($A54, AE$1)=0, "X", "O"))</f>
        <v>O</v>
      </c>
      <c r="AF54" s="43" t="str">
        <f>IF($A54=AF$1, IF(ROW(AF54)=2, "+", IF(COUNTIF($B54:AE54, "X")=0, "+", "-")), IF(MOD($A54, AF$1)=0, "X", "O"))</f>
        <v>O</v>
      </c>
      <c r="AG54" s="43" t="str">
        <f>IF($A54=AG$1, IF(ROW(AG54)=2, "+", IF(COUNTIF($B54:AF54, "X")=0, "+", "-")), IF(MOD($A54, AG$1)=0, "X", "O"))</f>
        <v>O</v>
      </c>
      <c r="AH54" s="43" t="str">
        <f>IF($A54=AH$1, IF(ROW(AH54)=2, "+", IF(COUNTIF($B54:AG54, "X")=0, "+", "-")), IF(MOD($A54, AH$1)=0, "X", "O"))</f>
        <v>O</v>
      </c>
      <c r="AI54" s="43" t="str">
        <f>IF($A54=AI$1, IF(ROW(AI54)=2, "+", IF(COUNTIF($B54:AH54, "X")=0, "+", "-")), IF(MOD($A54, AI$1)=0, "X", "O"))</f>
        <v>O</v>
      </c>
      <c r="AJ54" s="43" t="str">
        <f>IF($A54=AJ$1, IF(ROW(AJ54)=2, "+", IF(COUNTIF($B54:AI54, "X")=0, "+", "-")), IF(MOD($A54, AJ$1)=0, "X", "O"))</f>
        <v>O</v>
      </c>
      <c r="AK54" s="43" t="str">
        <f>IF($A54=AK$1, IF(ROW(AK54)=2, "+", IF(COUNTIF($B54:AJ54, "X")=0, "+", "-")), IF(MOD($A54, AK$1)=0, "X", "O"))</f>
        <v>O</v>
      </c>
      <c r="AL54" s="43" t="str">
        <f>IF($A54=AL$1, IF(ROW(AL54)=2, "+", IF(COUNTIF($B54:AK54, "X")=0, "+", "-")), IF(MOD($A54, AL$1)=0, "X", "O"))</f>
        <v>O</v>
      </c>
      <c r="AM54" s="43" t="str">
        <f>IF($A54=AM$1, IF(ROW(AM54)=2, "+", IF(COUNTIF($B54:AL54, "X")=0, "+", "-")), IF(MOD($A54, AM$1)=0, "X", "O"))</f>
        <v>O</v>
      </c>
      <c r="AN54" s="43" t="str">
        <f>IF($A54=AN$1, IF(ROW(AN54)=2, "+", IF(COUNTIF($B54:AM54, "X")=0, "+", "-")), IF(MOD($A54, AN$1)=0, "X", "O"))</f>
        <v>O</v>
      </c>
      <c r="AO54" s="43" t="str">
        <f>IF($A54=AO$1, IF(ROW(AO54)=2, "+", IF(COUNTIF($B54:AN54, "X")=0, "+", "-")), IF(MOD($A54, AO$1)=0, "X", "O"))</f>
        <v>O</v>
      </c>
      <c r="AP54" s="43" t="str">
        <f>IF($A54=AP$1, IF(ROW(AP54)=2, "+", IF(COUNTIF($B54:AO54, "X")=0, "+", "-")), IF(MOD($A54, AP$1)=0, "X", "O"))</f>
        <v>O</v>
      </c>
      <c r="AQ54" s="43" t="str">
        <f>IF($A54=AQ$1, IF(ROW(AQ54)=2, "+", IF(COUNTIF($B54:AP54, "X")=0, "+", "-")), IF(MOD($A54, AQ$1)=0, "X", "O"))</f>
        <v>O</v>
      </c>
      <c r="AR54" s="43" t="str">
        <f>IF($A54=AR$1, IF(ROW(AR54)=2, "+", IF(COUNTIF($B54:AQ54, "X")=0, "+", "-")), IF(MOD($A54, AR$1)=0, "X", "O"))</f>
        <v>O</v>
      </c>
      <c r="AS54" s="43" t="str">
        <f>IF($A54=AS$1, IF(ROW(AS54)=2, "+", IF(COUNTIF($B54:AR54, "X")=0, "+", "-")), IF(MOD($A54, AS$1)=0, "X", "O"))</f>
        <v>O</v>
      </c>
      <c r="AT54" s="43" t="str">
        <f>IF($A54=AT$1, IF(ROW(AT54)=2, "+", IF(COUNTIF($B54:AS54, "X")=0, "+", "-")), IF(MOD($A54, AT$1)=0, "X", "O"))</f>
        <v>O</v>
      </c>
      <c r="AU54" s="43" t="str">
        <f>IF($A54=AU$1, IF(ROW(AU54)=2, "+", IF(COUNTIF($B54:AT54, "X")=0, "+", "-")), IF(MOD($A54, AU$1)=0, "X", "O"))</f>
        <v>O</v>
      </c>
      <c r="AV54" s="43" t="str">
        <f>IF($A54=AV$1, IF(ROW(AV54)=2, "+", IF(COUNTIF($B54:AU54, "X")=0, "+", "-")), IF(MOD($A54, AV$1)=0, "X", "O"))</f>
        <v>O</v>
      </c>
      <c r="AW54" s="43" t="str">
        <f>IF($A54=AW$1, IF(ROW(AW54)=2, "+", IF(COUNTIF($B54:AV54, "X")=0, "+", "-")), IF(MOD($A54, AW$1)=0, "X", "O"))</f>
        <v>O</v>
      </c>
      <c r="AX54" s="43" t="str">
        <f>IF($A54=AX$1, IF(ROW(AX54)=2, "+", IF(COUNTIF($B54:AW54, "X")=0, "+", "-")), IF(MOD($A54, AX$1)=0, "X", "O"))</f>
        <v>O</v>
      </c>
      <c r="AY54" s="43" t="str">
        <f>IF($A54=AY$1, IF(ROW(AY54)=2, "+", IF(COUNTIF($B54:AX54, "X")=0, "+", "-")), IF(MOD($A54, AY$1)=0, "X", "O"))</f>
        <v>O</v>
      </c>
      <c r="AZ54" s="43" t="str">
        <f>IF($A54=AZ$1, IF(ROW(AZ54)=2, "+", IF(COUNTIF($B54:AY54, "X")=0, "+", "-")), IF(MOD($A54, AZ$1)=0, "X", "O"))</f>
        <v>O</v>
      </c>
      <c r="BA54" s="43" t="str">
        <f>IF($A54=BA$1, IF(ROW(BA54)=2, "+", IF(COUNTIF($B54:AZ54, "X")=0, "+", "-")), IF(MOD($A54, BA$1)=0, "X", "O"))</f>
        <v>O</v>
      </c>
      <c r="BB54" s="43" t="str">
        <f>IF($A54=BB$1, IF(ROW(BB54)=2, "+", IF(COUNTIF($B54:BA54, "X")=0, "+", "-")), IF(MOD($A54, BB$1)=0, "X", "O"))</f>
        <v>-</v>
      </c>
      <c r="BC54" s="43" t="str">
        <f>IF($A54=BC$1, IF(ROW(BC54)=2, "+", IF(COUNTIF($B54:BB54, "X")=0, "+", "-")), IF(MOD($A54, BC$1)=0, "X", "O"))</f>
        <v>O</v>
      </c>
      <c r="BD54" s="43" t="str">
        <f>IF($A54=BD$1, IF(ROW(BD54)=2, "+", IF(COUNTIF($B54:BC54, "X")=0, "+", "-")), IF(MOD($A54, BD$1)=0, "X", "O"))</f>
        <v>O</v>
      </c>
      <c r="BE54" s="43" t="str">
        <f>IF($A54=BE$1, IF(ROW(BE54)=2, "+", IF(COUNTIF($B54:BD54, "X")=0, "+", "-")), IF(MOD($A54, BE$1)=0, "X", "O"))</f>
        <v>O</v>
      </c>
      <c r="BF54" s="43" t="str">
        <f>IF($A54=BF$1, IF(ROW(BF54)=2, "+", IF(COUNTIF($B54:BE54, "X")=0, "+", "-")), IF(MOD($A54, BF$1)=0, "X", "O"))</f>
        <v>O</v>
      </c>
      <c r="BG54" s="43" t="str">
        <f>IF($A54=BG$1, IF(ROW(BG54)=2, "+", IF(COUNTIF($B54:BF54, "X")=0, "+", "-")), IF(MOD($A54, BG$1)=0, "X", "O"))</f>
        <v>O</v>
      </c>
      <c r="BH54" s="43" t="str">
        <f>IF($A54=BH$1, IF(ROW(BH54)=2, "+", IF(COUNTIF($B54:BG54, "X")=0, "+", "-")), IF(MOD($A54, BH$1)=0, "X", "O"))</f>
        <v>O</v>
      </c>
    </row>
    <row r="55" spans="1:60" x14ac:dyDescent="0.25">
      <c r="A55">
        <v>55</v>
      </c>
      <c r="B55" s="43" t="str">
        <f>IF($A55=B$1, IF(ROW(B55)=2, "+", IF(COUNTIF(A55:$B55, "X")=0, "+", "-")), IF(MOD($A55, B$1)=0, "X", "O"))</f>
        <v>O</v>
      </c>
      <c r="C55" s="43" t="str">
        <f>IF($A55=C$1, IF(ROW(C55)=2, "+", IF(COUNTIF(B55:$B55, "X")=0, "+", "-")), IF(MOD($A55, C$1)=0, "X", "O"))</f>
        <v>O</v>
      </c>
      <c r="D55" s="43" t="str">
        <f>IF($A55=D$1, IF(ROW(D55)=2, "+", IF(COUNTIF($B55:C55, "X")=0, "+", "-")), IF(MOD($A55, D$1)=0, "X", "O"))</f>
        <v>O</v>
      </c>
      <c r="E55" s="43" t="str">
        <f>IF($A55=E$1, IF(ROW(E55)=2, "+", IF(COUNTIF($B55:D55, "X")=0, "+", "-")), IF(MOD($A55, E$1)=0, "X", "O"))</f>
        <v>X</v>
      </c>
      <c r="F55" s="43" t="str">
        <f>IF($A55=F$1, IF(ROW(F55)=2, "+", IF(COUNTIF($B55:E55, "X")=0, "+", "-")), IF(MOD($A55, F$1)=0, "X", "O"))</f>
        <v>O</v>
      </c>
      <c r="G55" s="43" t="str">
        <f>IF($A55=G$1, IF(ROW(G55)=2, "+", IF(COUNTIF($B55:F55, "X")=0, "+", "-")), IF(MOD($A55, G$1)=0, "X", "O"))</f>
        <v>O</v>
      </c>
      <c r="H55" s="43" t="str">
        <f>IF($A55=H$1, IF(ROW(H55)=2, "+", IF(COUNTIF($B55:G55, "X")=0, "+", "-")), IF(MOD($A55, H$1)=0, "X", "O"))</f>
        <v>O</v>
      </c>
      <c r="I55" s="43" t="str">
        <f>IF($A55=I$1, IF(ROW(I55)=2, "+", IF(COUNTIF($B55:H55, "X")=0, "+", "-")), IF(MOD($A55, I$1)=0, "X", "O"))</f>
        <v>O</v>
      </c>
      <c r="J55" s="43" t="str">
        <f>IF($A55=J$1, IF(ROW(J55)=2, "+", IF(COUNTIF($B55:I55, "X")=0, "+", "-")), IF(MOD($A55, J$1)=0, "X", "O"))</f>
        <v>O</v>
      </c>
      <c r="K55" s="43" t="str">
        <f>IF($A55=K$1, IF(ROW(K55)=2, "+", IF(COUNTIF($B55:J55, "X")=0, "+", "-")), IF(MOD($A55, K$1)=0, "X", "O"))</f>
        <v>X</v>
      </c>
      <c r="L55" s="43" t="str">
        <f>IF($A55=L$1, IF(ROW(L55)=2, "+", IF(COUNTIF($B55:K55, "X")=0, "+", "-")), IF(MOD($A55, L$1)=0, "X", "O"))</f>
        <v>O</v>
      </c>
      <c r="M55" s="43" t="str">
        <f>IF($A55=M$1, IF(ROW(M55)=2, "+", IF(COUNTIF($B55:L55, "X")=0, "+", "-")), IF(MOD($A55, M$1)=0, "X", "O"))</f>
        <v>O</v>
      </c>
      <c r="N55" s="43" t="str">
        <f>IF($A55=N$1, IF(ROW(N55)=2, "+", IF(COUNTIF($B55:M55, "X")=0, "+", "-")), IF(MOD($A55, N$1)=0, "X", "O"))</f>
        <v>O</v>
      </c>
      <c r="O55" s="43" t="str">
        <f>IF($A55=O$1, IF(ROW(O55)=2, "+", IF(COUNTIF($B55:N55, "X")=0, "+", "-")), IF(MOD($A55, O$1)=0, "X", "O"))</f>
        <v>O</v>
      </c>
      <c r="P55" s="43" t="str">
        <f>IF($A55=P$1, IF(ROW(P55)=2, "+", IF(COUNTIF($B55:O55, "X")=0, "+", "-")), IF(MOD($A55, P$1)=0, "X", "O"))</f>
        <v>O</v>
      </c>
      <c r="Q55" s="43" t="str">
        <f>IF($A55=Q$1, IF(ROW(Q55)=2, "+", IF(COUNTIF($B55:P55, "X")=0, "+", "-")), IF(MOD($A55, Q$1)=0, "X", "O"))</f>
        <v>O</v>
      </c>
      <c r="R55" s="43" t="str">
        <f>IF($A55=R$1, IF(ROW(R55)=2, "+", IF(COUNTIF($B55:Q55, "X")=0, "+", "-")), IF(MOD($A55, R$1)=0, "X", "O"))</f>
        <v>O</v>
      </c>
      <c r="S55" s="43" t="str">
        <f>IF($A55=S$1, IF(ROW(S55)=2, "+", IF(COUNTIF($B55:R55, "X")=0, "+", "-")), IF(MOD($A55, S$1)=0, "X", "O"))</f>
        <v>O</v>
      </c>
      <c r="T55" s="43" t="str">
        <f>IF($A55=T$1, IF(ROW(T55)=2, "+", IF(COUNTIF($B55:S55, "X")=0, "+", "-")), IF(MOD($A55, T$1)=0, "X", "O"))</f>
        <v>O</v>
      </c>
      <c r="U55" s="43" t="str">
        <f>IF($A55=U$1, IF(ROW(U55)=2, "+", IF(COUNTIF($B55:T55, "X")=0, "+", "-")), IF(MOD($A55, U$1)=0, "X", "O"))</f>
        <v>O</v>
      </c>
      <c r="V55" s="43" t="str">
        <f>IF($A55=V$1, IF(ROW(V55)=2, "+", IF(COUNTIF($B55:U55, "X")=0, "+", "-")), IF(MOD($A55, V$1)=0, "X", "O"))</f>
        <v>O</v>
      </c>
      <c r="W55" s="43" t="str">
        <f>IF($A55=W$1, IF(ROW(W55)=2, "+", IF(COUNTIF($B55:V55, "X")=0, "+", "-")), IF(MOD($A55, W$1)=0, "X", "O"))</f>
        <v>O</v>
      </c>
      <c r="X55" s="43" t="str">
        <f>IF($A55=X$1, IF(ROW(X55)=2, "+", IF(COUNTIF($B55:W55, "X")=0, "+", "-")), IF(MOD($A55, X$1)=0, "X", "O"))</f>
        <v>O</v>
      </c>
      <c r="Y55" s="43" t="str">
        <f>IF($A55=Y$1, IF(ROW(Y55)=2, "+", IF(COUNTIF($B55:X55, "X")=0, "+", "-")), IF(MOD($A55, Y$1)=0, "X", "O"))</f>
        <v>O</v>
      </c>
      <c r="Z55" s="43" t="str">
        <f>IF($A55=Z$1, IF(ROW(Z55)=2, "+", IF(COUNTIF($B55:Y55, "X")=0, "+", "-")), IF(MOD($A55, Z$1)=0, "X", "O"))</f>
        <v>O</v>
      </c>
      <c r="AA55" s="43" t="str">
        <f>IF($A55=AA$1, IF(ROW(AA55)=2, "+", IF(COUNTIF($B55:Z55, "X")=0, "+", "-")), IF(MOD($A55, AA$1)=0, "X", "O"))</f>
        <v>O</v>
      </c>
      <c r="AB55" s="43" t="str">
        <f>IF($A55=AB$1, IF(ROW(AB55)=2, "+", IF(COUNTIF($B55:AA55, "X")=0, "+", "-")), IF(MOD($A55, AB$1)=0, "X", "O"))</f>
        <v>O</v>
      </c>
      <c r="AC55" s="43" t="str">
        <f>IF($A55=AC$1, IF(ROW(AC55)=2, "+", IF(COUNTIF($B55:AB55, "X")=0, "+", "-")), IF(MOD($A55, AC$1)=0, "X", "O"))</f>
        <v>O</v>
      </c>
      <c r="AD55" s="43" t="str">
        <f>IF($A55=AD$1, IF(ROW(AD55)=2, "+", IF(COUNTIF($B55:AC55, "X")=0, "+", "-")), IF(MOD($A55, AD$1)=0, "X", "O"))</f>
        <v>O</v>
      </c>
      <c r="AE55" s="43" t="str">
        <f>IF($A55=AE$1, IF(ROW(AE55)=2, "+", IF(COUNTIF($B55:AD55, "X")=0, "+", "-")), IF(MOD($A55, AE$1)=0, "X", "O"))</f>
        <v>O</v>
      </c>
      <c r="AF55" s="43" t="str">
        <f>IF($A55=AF$1, IF(ROW(AF55)=2, "+", IF(COUNTIF($B55:AE55, "X")=0, "+", "-")), IF(MOD($A55, AF$1)=0, "X", "O"))</f>
        <v>O</v>
      </c>
      <c r="AG55" s="43" t="str">
        <f>IF($A55=AG$1, IF(ROW(AG55)=2, "+", IF(COUNTIF($B55:AF55, "X")=0, "+", "-")), IF(MOD($A55, AG$1)=0, "X", "O"))</f>
        <v>O</v>
      </c>
      <c r="AH55" s="43" t="str">
        <f>IF($A55=AH$1, IF(ROW(AH55)=2, "+", IF(COUNTIF($B55:AG55, "X")=0, "+", "-")), IF(MOD($A55, AH$1)=0, "X", "O"))</f>
        <v>O</v>
      </c>
      <c r="AI55" s="43" t="str">
        <f>IF($A55=AI$1, IF(ROW(AI55)=2, "+", IF(COUNTIF($B55:AH55, "X")=0, "+", "-")), IF(MOD($A55, AI$1)=0, "X", "O"))</f>
        <v>O</v>
      </c>
      <c r="AJ55" s="43" t="str">
        <f>IF($A55=AJ$1, IF(ROW(AJ55)=2, "+", IF(COUNTIF($B55:AI55, "X")=0, "+", "-")), IF(MOD($A55, AJ$1)=0, "X", "O"))</f>
        <v>O</v>
      </c>
      <c r="AK55" s="43" t="str">
        <f>IF($A55=AK$1, IF(ROW(AK55)=2, "+", IF(COUNTIF($B55:AJ55, "X")=0, "+", "-")), IF(MOD($A55, AK$1)=0, "X", "O"))</f>
        <v>O</v>
      </c>
      <c r="AL55" s="43" t="str">
        <f>IF($A55=AL$1, IF(ROW(AL55)=2, "+", IF(COUNTIF($B55:AK55, "X")=0, "+", "-")), IF(MOD($A55, AL$1)=0, "X", "O"))</f>
        <v>O</v>
      </c>
      <c r="AM55" s="43" t="str">
        <f>IF($A55=AM$1, IF(ROW(AM55)=2, "+", IF(COUNTIF($B55:AL55, "X")=0, "+", "-")), IF(MOD($A55, AM$1)=0, "X", "O"))</f>
        <v>O</v>
      </c>
      <c r="AN55" s="43" t="str">
        <f>IF($A55=AN$1, IF(ROW(AN55)=2, "+", IF(COUNTIF($B55:AM55, "X")=0, "+", "-")), IF(MOD($A55, AN$1)=0, "X", "O"))</f>
        <v>O</v>
      </c>
      <c r="AO55" s="43" t="str">
        <f>IF($A55=AO$1, IF(ROW(AO55)=2, "+", IF(COUNTIF($B55:AN55, "X")=0, "+", "-")), IF(MOD($A55, AO$1)=0, "X", "O"))</f>
        <v>O</v>
      </c>
      <c r="AP55" s="43" t="str">
        <f>IF($A55=AP$1, IF(ROW(AP55)=2, "+", IF(COUNTIF($B55:AO55, "X")=0, "+", "-")), IF(MOD($A55, AP$1)=0, "X", "O"))</f>
        <v>O</v>
      </c>
      <c r="AQ55" s="43" t="str">
        <f>IF($A55=AQ$1, IF(ROW(AQ55)=2, "+", IF(COUNTIF($B55:AP55, "X")=0, "+", "-")), IF(MOD($A55, AQ$1)=0, "X", "O"))</f>
        <v>O</v>
      </c>
      <c r="AR55" s="43" t="str">
        <f>IF($A55=AR$1, IF(ROW(AR55)=2, "+", IF(COUNTIF($B55:AQ55, "X")=0, "+", "-")), IF(MOD($A55, AR$1)=0, "X", "O"))</f>
        <v>O</v>
      </c>
      <c r="AS55" s="43" t="str">
        <f>IF($A55=AS$1, IF(ROW(AS55)=2, "+", IF(COUNTIF($B55:AR55, "X")=0, "+", "-")), IF(MOD($A55, AS$1)=0, "X", "O"))</f>
        <v>O</v>
      </c>
      <c r="AT55" s="43" t="str">
        <f>IF($A55=AT$1, IF(ROW(AT55)=2, "+", IF(COUNTIF($B55:AS55, "X")=0, "+", "-")), IF(MOD($A55, AT$1)=0, "X", "O"))</f>
        <v>O</v>
      </c>
      <c r="AU55" s="43" t="str">
        <f>IF($A55=AU$1, IF(ROW(AU55)=2, "+", IF(COUNTIF($B55:AT55, "X")=0, "+", "-")), IF(MOD($A55, AU$1)=0, "X", "O"))</f>
        <v>O</v>
      </c>
      <c r="AV55" s="43" t="str">
        <f>IF($A55=AV$1, IF(ROW(AV55)=2, "+", IF(COUNTIF($B55:AU55, "X")=0, "+", "-")), IF(MOD($A55, AV$1)=0, "X", "O"))</f>
        <v>O</v>
      </c>
      <c r="AW55" s="43" t="str">
        <f>IF($A55=AW$1, IF(ROW(AW55)=2, "+", IF(COUNTIF($B55:AV55, "X")=0, "+", "-")), IF(MOD($A55, AW$1)=0, "X", "O"))</f>
        <v>O</v>
      </c>
      <c r="AX55" s="43" t="str">
        <f>IF($A55=AX$1, IF(ROW(AX55)=2, "+", IF(COUNTIF($B55:AW55, "X")=0, "+", "-")), IF(MOD($A55, AX$1)=0, "X", "O"))</f>
        <v>O</v>
      </c>
      <c r="AY55" s="43" t="str">
        <f>IF($A55=AY$1, IF(ROW(AY55)=2, "+", IF(COUNTIF($B55:AX55, "X")=0, "+", "-")), IF(MOD($A55, AY$1)=0, "X", "O"))</f>
        <v>O</v>
      </c>
      <c r="AZ55" s="43" t="str">
        <f>IF($A55=AZ$1, IF(ROW(AZ55)=2, "+", IF(COUNTIF($B55:AY55, "X")=0, "+", "-")), IF(MOD($A55, AZ$1)=0, "X", "O"))</f>
        <v>O</v>
      </c>
      <c r="BA55" s="43" t="str">
        <f>IF($A55=BA$1, IF(ROW(BA55)=2, "+", IF(COUNTIF($B55:AZ55, "X")=0, "+", "-")), IF(MOD($A55, BA$1)=0, "X", "O"))</f>
        <v>O</v>
      </c>
      <c r="BB55" s="43" t="str">
        <f>IF($A55=BB$1, IF(ROW(BB55)=2, "+", IF(COUNTIF($B55:BA55, "X")=0, "+", "-")), IF(MOD($A55, BB$1)=0, "X", "O"))</f>
        <v>O</v>
      </c>
      <c r="BC55" s="43" t="str">
        <f>IF($A55=BC$1, IF(ROW(BC55)=2, "+", IF(COUNTIF($B55:BB55, "X")=0, "+", "-")), IF(MOD($A55, BC$1)=0, "X", "O"))</f>
        <v>-</v>
      </c>
      <c r="BD55" s="43" t="str">
        <f>IF($A55=BD$1, IF(ROW(BD55)=2, "+", IF(COUNTIF($B55:BC55, "X")=0, "+", "-")), IF(MOD($A55, BD$1)=0, "X", "O"))</f>
        <v>O</v>
      </c>
      <c r="BE55" s="43" t="str">
        <f>IF($A55=BE$1, IF(ROW(BE55)=2, "+", IF(COUNTIF($B55:BD55, "X")=0, "+", "-")), IF(MOD($A55, BE$1)=0, "X", "O"))</f>
        <v>O</v>
      </c>
      <c r="BF55" s="43" t="str">
        <f>IF($A55=BF$1, IF(ROW(BF55)=2, "+", IF(COUNTIF($B55:BE55, "X")=0, "+", "-")), IF(MOD($A55, BF$1)=0, "X", "O"))</f>
        <v>O</v>
      </c>
      <c r="BG55" s="43" t="str">
        <f>IF($A55=BG$1, IF(ROW(BG55)=2, "+", IF(COUNTIF($B55:BF55, "X")=0, "+", "-")), IF(MOD($A55, BG$1)=0, "X", "O"))</f>
        <v>O</v>
      </c>
      <c r="BH55" s="43" t="str">
        <f>IF($A55=BH$1, IF(ROW(BH55)=2, "+", IF(COUNTIF($B55:BG55, "X")=0, "+", "-")), IF(MOD($A55, BH$1)=0, "X", "O"))</f>
        <v>O</v>
      </c>
    </row>
    <row r="56" spans="1:60" x14ac:dyDescent="0.25">
      <c r="A56">
        <v>56</v>
      </c>
      <c r="B56" s="43" t="str">
        <f>IF($A56=B$1, IF(ROW(B56)=2, "+", IF(COUNTIF(A56:$B56, "X")=0, "+", "-")), IF(MOD($A56, B$1)=0, "X", "O"))</f>
        <v>X</v>
      </c>
      <c r="C56" s="43" t="str">
        <f>IF($A56=C$1, IF(ROW(C56)=2, "+", IF(COUNTIF(B56:$B56, "X")=0, "+", "-")), IF(MOD($A56, C$1)=0, "X", "O"))</f>
        <v>O</v>
      </c>
      <c r="D56" s="43" t="str">
        <f>IF($A56=D$1, IF(ROW(D56)=2, "+", IF(COUNTIF($B56:C56, "X")=0, "+", "-")), IF(MOD($A56, D$1)=0, "X", "O"))</f>
        <v>X</v>
      </c>
      <c r="E56" s="43" t="str">
        <f>IF($A56=E$1, IF(ROW(E56)=2, "+", IF(COUNTIF($B56:D56, "X")=0, "+", "-")), IF(MOD($A56, E$1)=0, "X", "O"))</f>
        <v>O</v>
      </c>
      <c r="F56" s="43" t="str">
        <f>IF($A56=F$1, IF(ROW(F56)=2, "+", IF(COUNTIF($B56:E56, "X")=0, "+", "-")), IF(MOD($A56, F$1)=0, "X", "O"))</f>
        <v>O</v>
      </c>
      <c r="G56" s="43" t="str">
        <f>IF($A56=G$1, IF(ROW(G56)=2, "+", IF(COUNTIF($B56:F56, "X")=0, "+", "-")), IF(MOD($A56, G$1)=0, "X", "O"))</f>
        <v>X</v>
      </c>
      <c r="H56" s="43" t="str">
        <f>IF($A56=H$1, IF(ROW(H56)=2, "+", IF(COUNTIF($B56:G56, "X")=0, "+", "-")), IF(MOD($A56, H$1)=0, "X", "O"))</f>
        <v>X</v>
      </c>
      <c r="I56" s="43" t="str">
        <f>IF($A56=I$1, IF(ROW(I56)=2, "+", IF(COUNTIF($B56:H56, "X")=0, "+", "-")), IF(MOD($A56, I$1)=0, "X", "O"))</f>
        <v>O</v>
      </c>
      <c r="J56" s="43" t="str">
        <f>IF($A56=J$1, IF(ROW(J56)=2, "+", IF(COUNTIF($B56:I56, "X")=0, "+", "-")), IF(MOD($A56, J$1)=0, "X", "O"))</f>
        <v>O</v>
      </c>
      <c r="K56" s="43" t="str">
        <f>IF($A56=K$1, IF(ROW(K56)=2, "+", IF(COUNTIF($B56:J56, "X")=0, "+", "-")), IF(MOD($A56, K$1)=0, "X", "O"))</f>
        <v>O</v>
      </c>
      <c r="L56" s="43" t="str">
        <f>IF($A56=L$1, IF(ROW(L56)=2, "+", IF(COUNTIF($B56:K56, "X")=0, "+", "-")), IF(MOD($A56, L$1)=0, "X", "O"))</f>
        <v>O</v>
      </c>
      <c r="M56" s="43" t="str">
        <f>IF($A56=M$1, IF(ROW(M56)=2, "+", IF(COUNTIF($B56:L56, "X")=0, "+", "-")), IF(MOD($A56, M$1)=0, "X", "O"))</f>
        <v>O</v>
      </c>
      <c r="N56" s="43" t="str">
        <f>IF($A56=N$1, IF(ROW(N56)=2, "+", IF(COUNTIF($B56:M56, "X")=0, "+", "-")), IF(MOD($A56, N$1)=0, "X", "O"))</f>
        <v>X</v>
      </c>
      <c r="O56" s="43" t="str">
        <f>IF($A56=O$1, IF(ROW(O56)=2, "+", IF(COUNTIF($B56:N56, "X")=0, "+", "-")), IF(MOD($A56, O$1)=0, "X", "O"))</f>
        <v>O</v>
      </c>
      <c r="P56" s="43" t="str">
        <f>IF($A56=P$1, IF(ROW(P56)=2, "+", IF(COUNTIF($B56:O56, "X")=0, "+", "-")), IF(MOD($A56, P$1)=0, "X", "O"))</f>
        <v>O</v>
      </c>
      <c r="Q56" s="43" t="str">
        <f>IF($A56=Q$1, IF(ROW(Q56)=2, "+", IF(COUNTIF($B56:P56, "X")=0, "+", "-")), IF(MOD($A56, Q$1)=0, "X", "O"))</f>
        <v>O</v>
      </c>
      <c r="R56" s="43" t="str">
        <f>IF($A56=R$1, IF(ROW(R56)=2, "+", IF(COUNTIF($B56:Q56, "X")=0, "+", "-")), IF(MOD($A56, R$1)=0, "X", "O"))</f>
        <v>O</v>
      </c>
      <c r="S56" s="43" t="str">
        <f>IF($A56=S$1, IF(ROW(S56)=2, "+", IF(COUNTIF($B56:R56, "X")=0, "+", "-")), IF(MOD($A56, S$1)=0, "X", "O"))</f>
        <v>O</v>
      </c>
      <c r="T56" s="43" t="str">
        <f>IF($A56=T$1, IF(ROW(T56)=2, "+", IF(COUNTIF($B56:S56, "X")=0, "+", "-")), IF(MOD($A56, T$1)=0, "X", "O"))</f>
        <v>O</v>
      </c>
      <c r="U56" s="43" t="str">
        <f>IF($A56=U$1, IF(ROW(U56)=2, "+", IF(COUNTIF($B56:T56, "X")=0, "+", "-")), IF(MOD($A56, U$1)=0, "X", "O"))</f>
        <v>O</v>
      </c>
      <c r="V56" s="43" t="str">
        <f>IF($A56=V$1, IF(ROW(V56)=2, "+", IF(COUNTIF($B56:U56, "X")=0, "+", "-")), IF(MOD($A56, V$1)=0, "X", "O"))</f>
        <v>O</v>
      </c>
      <c r="W56" s="43" t="str">
        <f>IF($A56=W$1, IF(ROW(W56)=2, "+", IF(COUNTIF($B56:V56, "X")=0, "+", "-")), IF(MOD($A56, W$1)=0, "X", "O"))</f>
        <v>O</v>
      </c>
      <c r="X56" s="43" t="str">
        <f>IF($A56=X$1, IF(ROW(X56)=2, "+", IF(COUNTIF($B56:W56, "X")=0, "+", "-")), IF(MOD($A56, X$1)=0, "X", "O"))</f>
        <v>O</v>
      </c>
      <c r="Y56" s="43" t="str">
        <f>IF($A56=Y$1, IF(ROW(Y56)=2, "+", IF(COUNTIF($B56:X56, "X")=0, "+", "-")), IF(MOD($A56, Y$1)=0, "X", "O"))</f>
        <v>O</v>
      </c>
      <c r="Z56" s="43" t="str">
        <f>IF($A56=Z$1, IF(ROW(Z56)=2, "+", IF(COUNTIF($B56:Y56, "X")=0, "+", "-")), IF(MOD($A56, Z$1)=0, "X", "O"))</f>
        <v>O</v>
      </c>
      <c r="AA56" s="43" t="str">
        <f>IF($A56=AA$1, IF(ROW(AA56)=2, "+", IF(COUNTIF($B56:Z56, "X")=0, "+", "-")), IF(MOD($A56, AA$1)=0, "X", "O"))</f>
        <v>O</v>
      </c>
      <c r="AB56" s="43" t="str">
        <f>IF($A56=AB$1, IF(ROW(AB56)=2, "+", IF(COUNTIF($B56:AA56, "X")=0, "+", "-")), IF(MOD($A56, AB$1)=0, "X", "O"))</f>
        <v>X</v>
      </c>
      <c r="AC56" s="43" t="str">
        <f>IF($A56=AC$1, IF(ROW(AC56)=2, "+", IF(COUNTIF($B56:AB56, "X")=0, "+", "-")), IF(MOD($A56, AC$1)=0, "X", "O"))</f>
        <v>O</v>
      </c>
      <c r="AD56" s="43" t="str">
        <f>IF($A56=AD$1, IF(ROW(AD56)=2, "+", IF(COUNTIF($B56:AC56, "X")=0, "+", "-")), IF(MOD($A56, AD$1)=0, "X", "O"))</f>
        <v>O</v>
      </c>
      <c r="AE56" s="43" t="str">
        <f>IF($A56=AE$1, IF(ROW(AE56)=2, "+", IF(COUNTIF($B56:AD56, "X")=0, "+", "-")), IF(MOD($A56, AE$1)=0, "X", "O"))</f>
        <v>O</v>
      </c>
      <c r="AF56" s="43" t="str">
        <f>IF($A56=AF$1, IF(ROW(AF56)=2, "+", IF(COUNTIF($B56:AE56, "X")=0, "+", "-")), IF(MOD($A56, AF$1)=0, "X", "O"))</f>
        <v>O</v>
      </c>
      <c r="AG56" s="43" t="str">
        <f>IF($A56=AG$1, IF(ROW(AG56)=2, "+", IF(COUNTIF($B56:AF56, "X")=0, "+", "-")), IF(MOD($A56, AG$1)=0, "X", "O"))</f>
        <v>O</v>
      </c>
      <c r="AH56" s="43" t="str">
        <f>IF($A56=AH$1, IF(ROW(AH56)=2, "+", IF(COUNTIF($B56:AG56, "X")=0, "+", "-")), IF(MOD($A56, AH$1)=0, "X", "O"))</f>
        <v>O</v>
      </c>
      <c r="AI56" s="43" t="str">
        <f>IF($A56=AI$1, IF(ROW(AI56)=2, "+", IF(COUNTIF($B56:AH56, "X")=0, "+", "-")), IF(MOD($A56, AI$1)=0, "X", "O"))</f>
        <v>O</v>
      </c>
      <c r="AJ56" s="43" t="str">
        <f>IF($A56=AJ$1, IF(ROW(AJ56)=2, "+", IF(COUNTIF($B56:AI56, "X")=0, "+", "-")), IF(MOD($A56, AJ$1)=0, "X", "O"))</f>
        <v>O</v>
      </c>
      <c r="AK56" s="43" t="str">
        <f>IF($A56=AK$1, IF(ROW(AK56)=2, "+", IF(COUNTIF($B56:AJ56, "X")=0, "+", "-")), IF(MOD($A56, AK$1)=0, "X", "O"))</f>
        <v>O</v>
      </c>
      <c r="AL56" s="43" t="str">
        <f>IF($A56=AL$1, IF(ROW(AL56)=2, "+", IF(COUNTIF($B56:AK56, "X")=0, "+", "-")), IF(MOD($A56, AL$1)=0, "X", "O"))</f>
        <v>O</v>
      </c>
      <c r="AM56" s="43" t="str">
        <f>IF($A56=AM$1, IF(ROW(AM56)=2, "+", IF(COUNTIF($B56:AL56, "X")=0, "+", "-")), IF(MOD($A56, AM$1)=0, "X", "O"))</f>
        <v>O</v>
      </c>
      <c r="AN56" s="43" t="str">
        <f>IF($A56=AN$1, IF(ROW(AN56)=2, "+", IF(COUNTIF($B56:AM56, "X")=0, "+", "-")), IF(MOD($A56, AN$1)=0, "X", "O"))</f>
        <v>O</v>
      </c>
      <c r="AO56" s="43" t="str">
        <f>IF($A56=AO$1, IF(ROW(AO56)=2, "+", IF(COUNTIF($B56:AN56, "X")=0, "+", "-")), IF(MOD($A56, AO$1)=0, "X", "O"))</f>
        <v>O</v>
      </c>
      <c r="AP56" s="43" t="str">
        <f>IF($A56=AP$1, IF(ROW(AP56)=2, "+", IF(COUNTIF($B56:AO56, "X")=0, "+", "-")), IF(MOD($A56, AP$1)=0, "X", "O"))</f>
        <v>O</v>
      </c>
      <c r="AQ56" s="43" t="str">
        <f>IF($A56=AQ$1, IF(ROW(AQ56)=2, "+", IF(COUNTIF($B56:AP56, "X")=0, "+", "-")), IF(MOD($A56, AQ$1)=0, "X", "O"))</f>
        <v>O</v>
      </c>
      <c r="AR56" s="43" t="str">
        <f>IF($A56=AR$1, IF(ROW(AR56)=2, "+", IF(COUNTIF($B56:AQ56, "X")=0, "+", "-")), IF(MOD($A56, AR$1)=0, "X", "O"))</f>
        <v>O</v>
      </c>
      <c r="AS56" s="43" t="str">
        <f>IF($A56=AS$1, IF(ROW(AS56)=2, "+", IF(COUNTIF($B56:AR56, "X")=0, "+", "-")), IF(MOD($A56, AS$1)=0, "X", "O"))</f>
        <v>O</v>
      </c>
      <c r="AT56" s="43" t="str">
        <f>IF($A56=AT$1, IF(ROW(AT56)=2, "+", IF(COUNTIF($B56:AS56, "X")=0, "+", "-")), IF(MOD($A56, AT$1)=0, "X", "O"))</f>
        <v>O</v>
      </c>
      <c r="AU56" s="43" t="str">
        <f>IF($A56=AU$1, IF(ROW(AU56)=2, "+", IF(COUNTIF($B56:AT56, "X")=0, "+", "-")), IF(MOD($A56, AU$1)=0, "X", "O"))</f>
        <v>O</v>
      </c>
      <c r="AV56" s="43" t="str">
        <f>IF($A56=AV$1, IF(ROW(AV56)=2, "+", IF(COUNTIF($B56:AU56, "X")=0, "+", "-")), IF(MOD($A56, AV$1)=0, "X", "O"))</f>
        <v>O</v>
      </c>
      <c r="AW56" s="43" t="str">
        <f>IF($A56=AW$1, IF(ROW(AW56)=2, "+", IF(COUNTIF($B56:AV56, "X")=0, "+", "-")), IF(MOD($A56, AW$1)=0, "X", "O"))</f>
        <v>O</v>
      </c>
      <c r="AX56" s="43" t="str">
        <f>IF($A56=AX$1, IF(ROW(AX56)=2, "+", IF(COUNTIF($B56:AW56, "X")=0, "+", "-")), IF(MOD($A56, AX$1)=0, "X", "O"))</f>
        <v>O</v>
      </c>
      <c r="AY56" s="43" t="str">
        <f>IF($A56=AY$1, IF(ROW(AY56)=2, "+", IF(COUNTIF($B56:AX56, "X")=0, "+", "-")), IF(MOD($A56, AY$1)=0, "X", "O"))</f>
        <v>O</v>
      </c>
      <c r="AZ56" s="43" t="str">
        <f>IF($A56=AZ$1, IF(ROW(AZ56)=2, "+", IF(COUNTIF($B56:AY56, "X")=0, "+", "-")), IF(MOD($A56, AZ$1)=0, "X", "O"))</f>
        <v>O</v>
      </c>
      <c r="BA56" s="43" t="str">
        <f>IF($A56=BA$1, IF(ROW(BA56)=2, "+", IF(COUNTIF($B56:AZ56, "X")=0, "+", "-")), IF(MOD($A56, BA$1)=0, "X", "O"))</f>
        <v>O</v>
      </c>
      <c r="BB56" s="43" t="str">
        <f>IF($A56=BB$1, IF(ROW(BB56)=2, "+", IF(COUNTIF($B56:BA56, "X")=0, "+", "-")), IF(MOD($A56, BB$1)=0, "X", "O"))</f>
        <v>O</v>
      </c>
      <c r="BC56" s="43" t="str">
        <f>IF($A56=BC$1, IF(ROW(BC56)=2, "+", IF(COUNTIF($B56:BB56, "X")=0, "+", "-")), IF(MOD($A56, BC$1)=0, "X", "O"))</f>
        <v>O</v>
      </c>
      <c r="BD56" s="43" t="str">
        <f>IF($A56=BD$1, IF(ROW(BD56)=2, "+", IF(COUNTIF($B56:BC56, "X")=0, "+", "-")), IF(MOD($A56, BD$1)=0, "X", "O"))</f>
        <v>-</v>
      </c>
      <c r="BE56" s="43" t="str">
        <f>IF($A56=BE$1, IF(ROW(BE56)=2, "+", IF(COUNTIF($B56:BD56, "X")=0, "+", "-")), IF(MOD($A56, BE$1)=0, "X", "O"))</f>
        <v>O</v>
      </c>
      <c r="BF56" s="43" t="str">
        <f>IF($A56=BF$1, IF(ROW(BF56)=2, "+", IF(COUNTIF($B56:BE56, "X")=0, "+", "-")), IF(MOD($A56, BF$1)=0, "X", "O"))</f>
        <v>O</v>
      </c>
      <c r="BG56" s="43" t="str">
        <f>IF($A56=BG$1, IF(ROW(BG56)=2, "+", IF(COUNTIF($B56:BF56, "X")=0, "+", "-")), IF(MOD($A56, BG$1)=0, "X", "O"))</f>
        <v>O</v>
      </c>
      <c r="BH56" s="43" t="str">
        <f>IF($A56=BH$1, IF(ROW(BH56)=2, "+", IF(COUNTIF($B56:BG56, "X")=0, "+", "-")), IF(MOD($A56, BH$1)=0, "X", "O"))</f>
        <v>O</v>
      </c>
    </row>
    <row r="57" spans="1:60" x14ac:dyDescent="0.25">
      <c r="A57">
        <v>57</v>
      </c>
      <c r="B57" s="43" t="str">
        <f>IF($A57=B$1, IF(ROW(B57)=2, "+", IF(COUNTIF(A57:$B57, "X")=0, "+", "-")), IF(MOD($A57, B$1)=0, "X", "O"))</f>
        <v>O</v>
      </c>
      <c r="C57" s="43" t="str">
        <f>IF($A57=C$1, IF(ROW(C57)=2, "+", IF(COUNTIF(B57:$B57, "X")=0, "+", "-")), IF(MOD($A57, C$1)=0, "X", "O"))</f>
        <v>X</v>
      </c>
      <c r="D57" s="43" t="str">
        <f>IF($A57=D$1, IF(ROW(D57)=2, "+", IF(COUNTIF($B57:C57, "X")=0, "+", "-")), IF(MOD($A57, D$1)=0, "X", "O"))</f>
        <v>O</v>
      </c>
      <c r="E57" s="43" t="str">
        <f>IF($A57=E$1, IF(ROW(E57)=2, "+", IF(COUNTIF($B57:D57, "X")=0, "+", "-")), IF(MOD($A57, E$1)=0, "X", "O"))</f>
        <v>O</v>
      </c>
      <c r="F57" s="43" t="str">
        <f>IF($A57=F$1, IF(ROW(F57)=2, "+", IF(COUNTIF($B57:E57, "X")=0, "+", "-")), IF(MOD($A57, F$1)=0, "X", "O"))</f>
        <v>O</v>
      </c>
      <c r="G57" s="43" t="str">
        <f>IF($A57=G$1, IF(ROW(G57)=2, "+", IF(COUNTIF($B57:F57, "X")=0, "+", "-")), IF(MOD($A57, G$1)=0, "X", "O"))</f>
        <v>O</v>
      </c>
      <c r="H57" s="43" t="str">
        <f>IF($A57=H$1, IF(ROW(H57)=2, "+", IF(COUNTIF($B57:G57, "X")=0, "+", "-")), IF(MOD($A57, H$1)=0, "X", "O"))</f>
        <v>O</v>
      </c>
      <c r="I57" s="43" t="str">
        <f>IF($A57=I$1, IF(ROW(I57)=2, "+", IF(COUNTIF($B57:H57, "X")=0, "+", "-")), IF(MOD($A57, I$1)=0, "X", "O"))</f>
        <v>O</v>
      </c>
      <c r="J57" s="43" t="str">
        <f>IF($A57=J$1, IF(ROW(J57)=2, "+", IF(COUNTIF($B57:I57, "X")=0, "+", "-")), IF(MOD($A57, J$1)=0, "X", "O"))</f>
        <v>O</v>
      </c>
      <c r="K57" s="43" t="str">
        <f>IF($A57=K$1, IF(ROW(K57)=2, "+", IF(COUNTIF($B57:J57, "X")=0, "+", "-")), IF(MOD($A57, K$1)=0, "X", "O"))</f>
        <v>O</v>
      </c>
      <c r="L57" s="43" t="str">
        <f>IF($A57=L$1, IF(ROW(L57)=2, "+", IF(COUNTIF($B57:K57, "X")=0, "+", "-")), IF(MOD($A57, L$1)=0, "X", "O"))</f>
        <v>O</v>
      </c>
      <c r="M57" s="43" t="str">
        <f>IF($A57=M$1, IF(ROW(M57)=2, "+", IF(COUNTIF($B57:L57, "X")=0, "+", "-")), IF(MOD($A57, M$1)=0, "X", "O"))</f>
        <v>O</v>
      </c>
      <c r="N57" s="43" t="str">
        <f>IF($A57=N$1, IF(ROW(N57)=2, "+", IF(COUNTIF($B57:M57, "X")=0, "+", "-")), IF(MOD($A57, N$1)=0, "X", "O"))</f>
        <v>O</v>
      </c>
      <c r="O57" s="43" t="str">
        <f>IF($A57=O$1, IF(ROW(O57)=2, "+", IF(COUNTIF($B57:N57, "X")=0, "+", "-")), IF(MOD($A57, O$1)=0, "X", "O"))</f>
        <v>O</v>
      </c>
      <c r="P57" s="43" t="str">
        <f>IF($A57=P$1, IF(ROW(P57)=2, "+", IF(COUNTIF($B57:O57, "X")=0, "+", "-")), IF(MOD($A57, P$1)=0, "X", "O"))</f>
        <v>O</v>
      </c>
      <c r="Q57" s="43" t="str">
        <f>IF($A57=Q$1, IF(ROW(Q57)=2, "+", IF(COUNTIF($B57:P57, "X")=0, "+", "-")), IF(MOD($A57, Q$1)=0, "X", "O"))</f>
        <v>O</v>
      </c>
      <c r="R57" s="43" t="str">
        <f>IF($A57=R$1, IF(ROW(R57)=2, "+", IF(COUNTIF($B57:Q57, "X")=0, "+", "-")), IF(MOD($A57, R$1)=0, "X", "O"))</f>
        <v>O</v>
      </c>
      <c r="S57" s="43" t="str">
        <f>IF($A57=S$1, IF(ROW(S57)=2, "+", IF(COUNTIF($B57:R57, "X")=0, "+", "-")), IF(MOD($A57, S$1)=0, "X", "O"))</f>
        <v>X</v>
      </c>
      <c r="T57" s="43" t="str">
        <f>IF($A57=T$1, IF(ROW(T57)=2, "+", IF(COUNTIF($B57:S57, "X")=0, "+", "-")), IF(MOD($A57, T$1)=0, "X", "O"))</f>
        <v>O</v>
      </c>
      <c r="U57" s="43" t="str">
        <f>IF($A57=U$1, IF(ROW(U57)=2, "+", IF(COUNTIF($B57:T57, "X")=0, "+", "-")), IF(MOD($A57, U$1)=0, "X", "O"))</f>
        <v>O</v>
      </c>
      <c r="V57" s="43" t="str">
        <f>IF($A57=V$1, IF(ROW(V57)=2, "+", IF(COUNTIF($B57:U57, "X")=0, "+", "-")), IF(MOD($A57, V$1)=0, "X", "O"))</f>
        <v>O</v>
      </c>
      <c r="W57" s="43" t="str">
        <f>IF($A57=W$1, IF(ROW(W57)=2, "+", IF(COUNTIF($B57:V57, "X")=0, "+", "-")), IF(MOD($A57, W$1)=0, "X", "O"))</f>
        <v>O</v>
      </c>
      <c r="X57" s="43" t="str">
        <f>IF($A57=X$1, IF(ROW(X57)=2, "+", IF(COUNTIF($B57:W57, "X")=0, "+", "-")), IF(MOD($A57, X$1)=0, "X", "O"))</f>
        <v>O</v>
      </c>
      <c r="Y57" s="43" t="str">
        <f>IF($A57=Y$1, IF(ROW(Y57)=2, "+", IF(COUNTIF($B57:X57, "X")=0, "+", "-")), IF(MOD($A57, Y$1)=0, "X", "O"))</f>
        <v>O</v>
      </c>
      <c r="Z57" s="43" t="str">
        <f>IF($A57=Z$1, IF(ROW(Z57)=2, "+", IF(COUNTIF($B57:Y57, "X")=0, "+", "-")), IF(MOD($A57, Z$1)=0, "X", "O"))</f>
        <v>O</v>
      </c>
      <c r="AA57" s="43" t="str">
        <f>IF($A57=AA$1, IF(ROW(AA57)=2, "+", IF(COUNTIF($B57:Z57, "X")=0, "+", "-")), IF(MOD($A57, AA$1)=0, "X", "O"))</f>
        <v>O</v>
      </c>
      <c r="AB57" s="43" t="str">
        <f>IF($A57=AB$1, IF(ROW(AB57)=2, "+", IF(COUNTIF($B57:AA57, "X")=0, "+", "-")), IF(MOD($A57, AB$1)=0, "X", "O"))</f>
        <v>O</v>
      </c>
      <c r="AC57" s="43" t="str">
        <f>IF($A57=AC$1, IF(ROW(AC57)=2, "+", IF(COUNTIF($B57:AB57, "X")=0, "+", "-")), IF(MOD($A57, AC$1)=0, "X", "O"))</f>
        <v>O</v>
      </c>
      <c r="AD57" s="43" t="str">
        <f>IF($A57=AD$1, IF(ROW(AD57)=2, "+", IF(COUNTIF($B57:AC57, "X")=0, "+", "-")), IF(MOD($A57, AD$1)=0, "X", "O"))</f>
        <v>O</v>
      </c>
      <c r="AE57" s="43" t="str">
        <f>IF($A57=AE$1, IF(ROW(AE57)=2, "+", IF(COUNTIF($B57:AD57, "X")=0, "+", "-")), IF(MOD($A57, AE$1)=0, "X", "O"))</f>
        <v>O</v>
      </c>
      <c r="AF57" s="43" t="str">
        <f>IF($A57=AF$1, IF(ROW(AF57)=2, "+", IF(COUNTIF($B57:AE57, "X")=0, "+", "-")), IF(MOD($A57, AF$1)=0, "X", "O"))</f>
        <v>O</v>
      </c>
      <c r="AG57" s="43" t="str">
        <f>IF($A57=AG$1, IF(ROW(AG57)=2, "+", IF(COUNTIF($B57:AF57, "X")=0, "+", "-")), IF(MOD($A57, AG$1)=0, "X", "O"))</f>
        <v>O</v>
      </c>
      <c r="AH57" s="43" t="str">
        <f>IF($A57=AH$1, IF(ROW(AH57)=2, "+", IF(COUNTIF($B57:AG57, "X")=0, "+", "-")), IF(MOD($A57, AH$1)=0, "X", "O"))</f>
        <v>O</v>
      </c>
      <c r="AI57" s="43" t="str">
        <f>IF($A57=AI$1, IF(ROW(AI57)=2, "+", IF(COUNTIF($B57:AH57, "X")=0, "+", "-")), IF(MOD($A57, AI$1)=0, "X", "O"))</f>
        <v>O</v>
      </c>
      <c r="AJ57" s="43" t="str">
        <f>IF($A57=AJ$1, IF(ROW(AJ57)=2, "+", IF(COUNTIF($B57:AI57, "X")=0, "+", "-")), IF(MOD($A57, AJ$1)=0, "X", "O"))</f>
        <v>O</v>
      </c>
      <c r="AK57" s="43" t="str">
        <f>IF($A57=AK$1, IF(ROW(AK57)=2, "+", IF(COUNTIF($B57:AJ57, "X")=0, "+", "-")), IF(MOD($A57, AK$1)=0, "X", "O"))</f>
        <v>O</v>
      </c>
      <c r="AL57" s="43" t="str">
        <f>IF($A57=AL$1, IF(ROW(AL57)=2, "+", IF(COUNTIF($B57:AK57, "X")=0, "+", "-")), IF(MOD($A57, AL$1)=0, "X", "O"))</f>
        <v>O</v>
      </c>
      <c r="AM57" s="43" t="str">
        <f>IF($A57=AM$1, IF(ROW(AM57)=2, "+", IF(COUNTIF($B57:AL57, "X")=0, "+", "-")), IF(MOD($A57, AM$1)=0, "X", "O"))</f>
        <v>O</v>
      </c>
      <c r="AN57" s="43" t="str">
        <f>IF($A57=AN$1, IF(ROW(AN57)=2, "+", IF(COUNTIF($B57:AM57, "X")=0, "+", "-")), IF(MOD($A57, AN$1)=0, "X", "O"))</f>
        <v>O</v>
      </c>
      <c r="AO57" s="43" t="str">
        <f>IF($A57=AO$1, IF(ROW(AO57)=2, "+", IF(COUNTIF($B57:AN57, "X")=0, "+", "-")), IF(MOD($A57, AO$1)=0, "X", "O"))</f>
        <v>O</v>
      </c>
      <c r="AP57" s="43" t="str">
        <f>IF($A57=AP$1, IF(ROW(AP57)=2, "+", IF(COUNTIF($B57:AO57, "X")=0, "+", "-")), IF(MOD($A57, AP$1)=0, "X", "O"))</f>
        <v>O</v>
      </c>
      <c r="AQ57" s="43" t="str">
        <f>IF($A57=AQ$1, IF(ROW(AQ57)=2, "+", IF(COUNTIF($B57:AP57, "X")=0, "+", "-")), IF(MOD($A57, AQ$1)=0, "X", "O"))</f>
        <v>O</v>
      </c>
      <c r="AR57" s="43" t="str">
        <f>IF($A57=AR$1, IF(ROW(AR57)=2, "+", IF(COUNTIF($B57:AQ57, "X")=0, "+", "-")), IF(MOD($A57, AR$1)=0, "X", "O"))</f>
        <v>O</v>
      </c>
      <c r="AS57" s="43" t="str">
        <f>IF($A57=AS$1, IF(ROW(AS57)=2, "+", IF(COUNTIF($B57:AR57, "X")=0, "+", "-")), IF(MOD($A57, AS$1)=0, "X", "O"))</f>
        <v>O</v>
      </c>
      <c r="AT57" s="43" t="str">
        <f>IF($A57=AT$1, IF(ROW(AT57)=2, "+", IF(COUNTIF($B57:AS57, "X")=0, "+", "-")), IF(MOD($A57, AT$1)=0, "X", "O"))</f>
        <v>O</v>
      </c>
      <c r="AU57" s="43" t="str">
        <f>IF($A57=AU$1, IF(ROW(AU57)=2, "+", IF(COUNTIF($B57:AT57, "X")=0, "+", "-")), IF(MOD($A57, AU$1)=0, "X", "O"))</f>
        <v>O</v>
      </c>
      <c r="AV57" s="43" t="str">
        <f>IF($A57=AV$1, IF(ROW(AV57)=2, "+", IF(COUNTIF($B57:AU57, "X")=0, "+", "-")), IF(MOD($A57, AV$1)=0, "X", "O"))</f>
        <v>O</v>
      </c>
      <c r="AW57" s="43" t="str">
        <f>IF($A57=AW$1, IF(ROW(AW57)=2, "+", IF(COUNTIF($B57:AV57, "X")=0, "+", "-")), IF(MOD($A57, AW$1)=0, "X", "O"))</f>
        <v>O</v>
      </c>
      <c r="AX57" s="43" t="str">
        <f>IF($A57=AX$1, IF(ROW(AX57)=2, "+", IF(COUNTIF($B57:AW57, "X")=0, "+", "-")), IF(MOD($A57, AX$1)=0, "X", "O"))</f>
        <v>O</v>
      </c>
      <c r="AY57" s="43" t="str">
        <f>IF($A57=AY$1, IF(ROW(AY57)=2, "+", IF(COUNTIF($B57:AX57, "X")=0, "+", "-")), IF(MOD($A57, AY$1)=0, "X", "O"))</f>
        <v>O</v>
      </c>
      <c r="AZ57" s="43" t="str">
        <f>IF($A57=AZ$1, IF(ROW(AZ57)=2, "+", IF(COUNTIF($B57:AY57, "X")=0, "+", "-")), IF(MOD($A57, AZ$1)=0, "X", "O"))</f>
        <v>O</v>
      </c>
      <c r="BA57" s="43" t="str">
        <f>IF($A57=BA$1, IF(ROW(BA57)=2, "+", IF(COUNTIF($B57:AZ57, "X")=0, "+", "-")), IF(MOD($A57, BA$1)=0, "X", "O"))</f>
        <v>O</v>
      </c>
      <c r="BB57" s="43" t="str">
        <f>IF($A57=BB$1, IF(ROW(BB57)=2, "+", IF(COUNTIF($B57:BA57, "X")=0, "+", "-")), IF(MOD($A57, BB$1)=0, "X", "O"))</f>
        <v>O</v>
      </c>
      <c r="BC57" s="43" t="str">
        <f>IF($A57=BC$1, IF(ROW(BC57)=2, "+", IF(COUNTIF($B57:BB57, "X")=0, "+", "-")), IF(MOD($A57, BC$1)=0, "X", "O"))</f>
        <v>O</v>
      </c>
      <c r="BD57" s="43" t="str">
        <f>IF($A57=BD$1, IF(ROW(BD57)=2, "+", IF(COUNTIF($B57:BC57, "X")=0, "+", "-")), IF(MOD($A57, BD$1)=0, "X", "O"))</f>
        <v>O</v>
      </c>
      <c r="BE57" s="43" t="str">
        <f>IF($A57=BE$1, IF(ROW(BE57)=2, "+", IF(COUNTIF($B57:BD57, "X")=0, "+", "-")), IF(MOD($A57, BE$1)=0, "X", "O"))</f>
        <v>-</v>
      </c>
      <c r="BF57" s="43" t="str">
        <f>IF($A57=BF$1, IF(ROW(BF57)=2, "+", IF(COUNTIF($B57:BE57, "X")=0, "+", "-")), IF(MOD($A57, BF$1)=0, "X", "O"))</f>
        <v>O</v>
      </c>
      <c r="BG57" s="43" t="str">
        <f>IF($A57=BG$1, IF(ROW(BG57)=2, "+", IF(COUNTIF($B57:BF57, "X")=0, "+", "-")), IF(MOD($A57, BG$1)=0, "X", "O"))</f>
        <v>O</v>
      </c>
      <c r="BH57" s="43" t="str">
        <f>IF($A57=BH$1, IF(ROW(BH57)=2, "+", IF(COUNTIF($B57:BG57, "X")=0, "+", "-")), IF(MOD($A57, BH$1)=0, "X", "O"))</f>
        <v>O</v>
      </c>
    </row>
    <row r="58" spans="1:60" x14ac:dyDescent="0.25">
      <c r="A58">
        <v>58</v>
      </c>
      <c r="B58" s="43" t="str">
        <f>IF($A58=B$1, IF(ROW(B58)=2, "+", IF(COUNTIF(A58:$B58, "X")=0, "+", "-")), IF(MOD($A58, B$1)=0, "X", "O"))</f>
        <v>X</v>
      </c>
      <c r="C58" s="43" t="str">
        <f>IF($A58=C$1, IF(ROW(C58)=2, "+", IF(COUNTIF(B58:$B58, "X")=0, "+", "-")), IF(MOD($A58, C$1)=0, "X", "O"))</f>
        <v>O</v>
      </c>
      <c r="D58" s="43" t="str">
        <f>IF($A58=D$1, IF(ROW(D58)=2, "+", IF(COUNTIF($B58:C58, "X")=0, "+", "-")), IF(MOD($A58, D$1)=0, "X", "O"))</f>
        <v>O</v>
      </c>
      <c r="E58" s="43" t="str">
        <f>IF($A58=E$1, IF(ROW(E58)=2, "+", IF(COUNTIF($B58:D58, "X")=0, "+", "-")), IF(MOD($A58, E$1)=0, "X", "O"))</f>
        <v>O</v>
      </c>
      <c r="F58" s="43" t="str">
        <f>IF($A58=F$1, IF(ROW(F58)=2, "+", IF(COUNTIF($B58:E58, "X")=0, "+", "-")), IF(MOD($A58, F$1)=0, "X", "O"))</f>
        <v>O</v>
      </c>
      <c r="G58" s="43" t="str">
        <f>IF($A58=G$1, IF(ROW(G58)=2, "+", IF(COUNTIF($B58:F58, "X")=0, "+", "-")), IF(MOD($A58, G$1)=0, "X", "O"))</f>
        <v>O</v>
      </c>
      <c r="H58" s="43" t="str">
        <f>IF($A58=H$1, IF(ROW(H58)=2, "+", IF(COUNTIF($B58:G58, "X")=0, "+", "-")), IF(MOD($A58, H$1)=0, "X", "O"))</f>
        <v>O</v>
      </c>
      <c r="I58" s="43" t="str">
        <f>IF($A58=I$1, IF(ROW(I58)=2, "+", IF(COUNTIF($B58:H58, "X")=0, "+", "-")), IF(MOD($A58, I$1)=0, "X", "O"))</f>
        <v>O</v>
      </c>
      <c r="J58" s="43" t="str">
        <f>IF($A58=J$1, IF(ROW(J58)=2, "+", IF(COUNTIF($B58:I58, "X")=0, "+", "-")), IF(MOD($A58, J$1)=0, "X", "O"))</f>
        <v>O</v>
      </c>
      <c r="K58" s="43" t="str">
        <f>IF($A58=K$1, IF(ROW(K58)=2, "+", IF(COUNTIF($B58:J58, "X")=0, "+", "-")), IF(MOD($A58, K$1)=0, "X", "O"))</f>
        <v>O</v>
      </c>
      <c r="L58" s="43" t="str">
        <f>IF($A58=L$1, IF(ROW(L58)=2, "+", IF(COUNTIF($B58:K58, "X")=0, "+", "-")), IF(MOD($A58, L$1)=0, "X", "O"))</f>
        <v>O</v>
      </c>
      <c r="M58" s="43" t="str">
        <f>IF($A58=M$1, IF(ROW(M58)=2, "+", IF(COUNTIF($B58:L58, "X")=0, "+", "-")), IF(MOD($A58, M$1)=0, "X", "O"))</f>
        <v>O</v>
      </c>
      <c r="N58" s="43" t="str">
        <f>IF($A58=N$1, IF(ROW(N58)=2, "+", IF(COUNTIF($B58:M58, "X")=0, "+", "-")), IF(MOD($A58, N$1)=0, "X", "O"))</f>
        <v>O</v>
      </c>
      <c r="O58" s="43" t="str">
        <f>IF($A58=O$1, IF(ROW(O58)=2, "+", IF(COUNTIF($B58:N58, "X")=0, "+", "-")), IF(MOD($A58, O$1)=0, "X", "O"))</f>
        <v>O</v>
      </c>
      <c r="P58" s="43" t="str">
        <f>IF($A58=P$1, IF(ROW(P58)=2, "+", IF(COUNTIF($B58:O58, "X")=0, "+", "-")), IF(MOD($A58, P$1)=0, "X", "O"))</f>
        <v>O</v>
      </c>
      <c r="Q58" s="43" t="str">
        <f>IF($A58=Q$1, IF(ROW(Q58)=2, "+", IF(COUNTIF($B58:P58, "X")=0, "+", "-")), IF(MOD($A58, Q$1)=0, "X", "O"))</f>
        <v>O</v>
      </c>
      <c r="R58" s="43" t="str">
        <f>IF($A58=R$1, IF(ROW(R58)=2, "+", IF(COUNTIF($B58:Q58, "X")=0, "+", "-")), IF(MOD($A58, R$1)=0, "X", "O"))</f>
        <v>O</v>
      </c>
      <c r="S58" s="43" t="str">
        <f>IF($A58=S$1, IF(ROW(S58)=2, "+", IF(COUNTIF($B58:R58, "X")=0, "+", "-")), IF(MOD($A58, S$1)=0, "X", "O"))</f>
        <v>O</v>
      </c>
      <c r="T58" s="43" t="str">
        <f>IF($A58=T$1, IF(ROW(T58)=2, "+", IF(COUNTIF($B58:S58, "X")=0, "+", "-")), IF(MOD($A58, T$1)=0, "X", "O"))</f>
        <v>O</v>
      </c>
      <c r="U58" s="43" t="str">
        <f>IF($A58=U$1, IF(ROW(U58)=2, "+", IF(COUNTIF($B58:T58, "X")=0, "+", "-")), IF(MOD($A58, U$1)=0, "X", "O"))</f>
        <v>O</v>
      </c>
      <c r="V58" s="43" t="str">
        <f>IF($A58=V$1, IF(ROW(V58)=2, "+", IF(COUNTIF($B58:U58, "X")=0, "+", "-")), IF(MOD($A58, V$1)=0, "X", "O"))</f>
        <v>O</v>
      </c>
      <c r="W58" s="43" t="str">
        <f>IF($A58=W$1, IF(ROW(W58)=2, "+", IF(COUNTIF($B58:V58, "X")=0, "+", "-")), IF(MOD($A58, W$1)=0, "X", "O"))</f>
        <v>O</v>
      </c>
      <c r="X58" s="43" t="str">
        <f>IF($A58=X$1, IF(ROW(X58)=2, "+", IF(COUNTIF($B58:W58, "X")=0, "+", "-")), IF(MOD($A58, X$1)=0, "X", "O"))</f>
        <v>O</v>
      </c>
      <c r="Y58" s="43" t="str">
        <f>IF($A58=Y$1, IF(ROW(Y58)=2, "+", IF(COUNTIF($B58:X58, "X")=0, "+", "-")), IF(MOD($A58, Y$1)=0, "X", "O"))</f>
        <v>O</v>
      </c>
      <c r="Z58" s="43" t="str">
        <f>IF($A58=Z$1, IF(ROW(Z58)=2, "+", IF(COUNTIF($B58:Y58, "X")=0, "+", "-")), IF(MOD($A58, Z$1)=0, "X", "O"))</f>
        <v>O</v>
      </c>
      <c r="AA58" s="43" t="str">
        <f>IF($A58=AA$1, IF(ROW(AA58)=2, "+", IF(COUNTIF($B58:Z58, "X")=0, "+", "-")), IF(MOD($A58, AA$1)=0, "X", "O"))</f>
        <v>O</v>
      </c>
      <c r="AB58" s="43" t="str">
        <f>IF($A58=AB$1, IF(ROW(AB58)=2, "+", IF(COUNTIF($B58:AA58, "X")=0, "+", "-")), IF(MOD($A58, AB$1)=0, "X", "O"))</f>
        <v>O</v>
      </c>
      <c r="AC58" s="43" t="str">
        <f>IF($A58=AC$1, IF(ROW(AC58)=2, "+", IF(COUNTIF($B58:AB58, "X")=0, "+", "-")), IF(MOD($A58, AC$1)=0, "X", "O"))</f>
        <v>X</v>
      </c>
      <c r="AD58" s="43" t="str">
        <f>IF($A58=AD$1, IF(ROW(AD58)=2, "+", IF(COUNTIF($B58:AC58, "X")=0, "+", "-")), IF(MOD($A58, AD$1)=0, "X", "O"))</f>
        <v>O</v>
      </c>
      <c r="AE58" s="43" t="str">
        <f>IF($A58=AE$1, IF(ROW(AE58)=2, "+", IF(COUNTIF($B58:AD58, "X")=0, "+", "-")), IF(MOD($A58, AE$1)=0, "X", "O"))</f>
        <v>O</v>
      </c>
      <c r="AF58" s="43" t="str">
        <f>IF($A58=AF$1, IF(ROW(AF58)=2, "+", IF(COUNTIF($B58:AE58, "X")=0, "+", "-")), IF(MOD($A58, AF$1)=0, "X", "O"))</f>
        <v>O</v>
      </c>
      <c r="AG58" s="43" t="str">
        <f>IF($A58=AG$1, IF(ROW(AG58)=2, "+", IF(COUNTIF($B58:AF58, "X")=0, "+", "-")), IF(MOD($A58, AG$1)=0, "X", "O"))</f>
        <v>O</v>
      </c>
      <c r="AH58" s="43" t="str">
        <f>IF($A58=AH$1, IF(ROW(AH58)=2, "+", IF(COUNTIF($B58:AG58, "X")=0, "+", "-")), IF(MOD($A58, AH$1)=0, "X", "O"))</f>
        <v>O</v>
      </c>
      <c r="AI58" s="43" t="str">
        <f>IF($A58=AI$1, IF(ROW(AI58)=2, "+", IF(COUNTIF($B58:AH58, "X")=0, "+", "-")), IF(MOD($A58, AI$1)=0, "X", "O"))</f>
        <v>O</v>
      </c>
      <c r="AJ58" s="43" t="str">
        <f>IF($A58=AJ$1, IF(ROW(AJ58)=2, "+", IF(COUNTIF($B58:AI58, "X")=0, "+", "-")), IF(MOD($A58, AJ$1)=0, "X", "O"))</f>
        <v>O</v>
      </c>
      <c r="AK58" s="43" t="str">
        <f>IF($A58=AK$1, IF(ROW(AK58)=2, "+", IF(COUNTIF($B58:AJ58, "X")=0, "+", "-")), IF(MOD($A58, AK$1)=0, "X", "O"))</f>
        <v>O</v>
      </c>
      <c r="AL58" s="43" t="str">
        <f>IF($A58=AL$1, IF(ROW(AL58)=2, "+", IF(COUNTIF($B58:AK58, "X")=0, "+", "-")), IF(MOD($A58, AL$1)=0, "X", "O"))</f>
        <v>O</v>
      </c>
      <c r="AM58" s="43" t="str">
        <f>IF($A58=AM$1, IF(ROW(AM58)=2, "+", IF(COUNTIF($B58:AL58, "X")=0, "+", "-")), IF(MOD($A58, AM$1)=0, "X", "O"))</f>
        <v>O</v>
      </c>
      <c r="AN58" s="43" t="str">
        <f>IF($A58=AN$1, IF(ROW(AN58)=2, "+", IF(COUNTIF($B58:AM58, "X")=0, "+", "-")), IF(MOD($A58, AN$1)=0, "X", "O"))</f>
        <v>O</v>
      </c>
      <c r="AO58" s="43" t="str">
        <f>IF($A58=AO$1, IF(ROW(AO58)=2, "+", IF(COUNTIF($B58:AN58, "X")=0, "+", "-")), IF(MOD($A58, AO$1)=0, "X", "O"))</f>
        <v>O</v>
      </c>
      <c r="AP58" s="43" t="str">
        <f>IF($A58=AP$1, IF(ROW(AP58)=2, "+", IF(COUNTIF($B58:AO58, "X")=0, "+", "-")), IF(MOD($A58, AP$1)=0, "X", "O"))</f>
        <v>O</v>
      </c>
      <c r="AQ58" s="43" t="str">
        <f>IF($A58=AQ$1, IF(ROW(AQ58)=2, "+", IF(COUNTIF($B58:AP58, "X")=0, "+", "-")), IF(MOD($A58, AQ$1)=0, "X", "O"))</f>
        <v>O</v>
      </c>
      <c r="AR58" s="43" t="str">
        <f>IF($A58=AR$1, IF(ROW(AR58)=2, "+", IF(COUNTIF($B58:AQ58, "X")=0, "+", "-")), IF(MOD($A58, AR$1)=0, "X", "O"))</f>
        <v>O</v>
      </c>
      <c r="AS58" s="43" t="str">
        <f>IF($A58=AS$1, IF(ROW(AS58)=2, "+", IF(COUNTIF($B58:AR58, "X")=0, "+", "-")), IF(MOD($A58, AS$1)=0, "X", "O"))</f>
        <v>O</v>
      </c>
      <c r="AT58" s="43" t="str">
        <f>IF($A58=AT$1, IF(ROW(AT58)=2, "+", IF(COUNTIF($B58:AS58, "X")=0, "+", "-")), IF(MOD($A58, AT$1)=0, "X", "O"))</f>
        <v>O</v>
      </c>
      <c r="AU58" s="43" t="str">
        <f>IF($A58=AU$1, IF(ROW(AU58)=2, "+", IF(COUNTIF($B58:AT58, "X")=0, "+", "-")), IF(MOD($A58, AU$1)=0, "X", "O"))</f>
        <v>O</v>
      </c>
      <c r="AV58" s="43" t="str">
        <f>IF($A58=AV$1, IF(ROW(AV58)=2, "+", IF(COUNTIF($B58:AU58, "X")=0, "+", "-")), IF(MOD($A58, AV$1)=0, "X", "O"))</f>
        <v>O</v>
      </c>
      <c r="AW58" s="43" t="str">
        <f>IF($A58=AW$1, IF(ROW(AW58)=2, "+", IF(COUNTIF($B58:AV58, "X")=0, "+", "-")), IF(MOD($A58, AW$1)=0, "X", "O"))</f>
        <v>O</v>
      </c>
      <c r="AX58" s="43" t="str">
        <f>IF($A58=AX$1, IF(ROW(AX58)=2, "+", IF(COUNTIF($B58:AW58, "X")=0, "+", "-")), IF(MOD($A58, AX$1)=0, "X", "O"))</f>
        <v>O</v>
      </c>
      <c r="AY58" s="43" t="str">
        <f>IF($A58=AY$1, IF(ROW(AY58)=2, "+", IF(COUNTIF($B58:AX58, "X")=0, "+", "-")), IF(MOD($A58, AY$1)=0, "X", "O"))</f>
        <v>O</v>
      </c>
      <c r="AZ58" s="43" t="str">
        <f>IF($A58=AZ$1, IF(ROW(AZ58)=2, "+", IF(COUNTIF($B58:AY58, "X")=0, "+", "-")), IF(MOD($A58, AZ$1)=0, "X", "O"))</f>
        <v>O</v>
      </c>
      <c r="BA58" s="43" t="str">
        <f>IF($A58=BA$1, IF(ROW(BA58)=2, "+", IF(COUNTIF($B58:AZ58, "X")=0, "+", "-")), IF(MOD($A58, BA$1)=0, "X", "O"))</f>
        <v>O</v>
      </c>
      <c r="BB58" s="43" t="str">
        <f>IF($A58=BB$1, IF(ROW(BB58)=2, "+", IF(COUNTIF($B58:BA58, "X")=0, "+", "-")), IF(MOD($A58, BB$1)=0, "X", "O"))</f>
        <v>O</v>
      </c>
      <c r="BC58" s="43" t="str">
        <f>IF($A58=BC$1, IF(ROW(BC58)=2, "+", IF(COUNTIF($B58:BB58, "X")=0, "+", "-")), IF(MOD($A58, BC$1)=0, "X", "O"))</f>
        <v>O</v>
      </c>
      <c r="BD58" s="43" t="str">
        <f>IF($A58=BD$1, IF(ROW(BD58)=2, "+", IF(COUNTIF($B58:BC58, "X")=0, "+", "-")), IF(MOD($A58, BD$1)=0, "X", "O"))</f>
        <v>O</v>
      </c>
      <c r="BE58" s="43" t="str">
        <f>IF($A58=BE$1, IF(ROW(BE58)=2, "+", IF(COUNTIF($B58:BD58, "X")=0, "+", "-")), IF(MOD($A58, BE$1)=0, "X", "O"))</f>
        <v>O</v>
      </c>
      <c r="BF58" s="43" t="str">
        <f>IF($A58=BF$1, IF(ROW(BF58)=2, "+", IF(COUNTIF($B58:BE58, "X")=0, "+", "-")), IF(MOD($A58, BF$1)=0, "X", "O"))</f>
        <v>-</v>
      </c>
      <c r="BG58" s="43" t="str">
        <f>IF($A58=BG$1, IF(ROW(BG58)=2, "+", IF(COUNTIF($B58:BF58, "X")=0, "+", "-")), IF(MOD($A58, BG$1)=0, "X", "O"))</f>
        <v>O</v>
      </c>
      <c r="BH58" s="43" t="str">
        <f>IF($A58=BH$1, IF(ROW(BH58)=2, "+", IF(COUNTIF($B58:BG58, "X")=0, "+", "-")), IF(MOD($A58, BH$1)=0, "X", "O"))</f>
        <v>O</v>
      </c>
    </row>
    <row r="59" spans="1:60" x14ac:dyDescent="0.25">
      <c r="A59">
        <v>59</v>
      </c>
      <c r="B59" s="43" t="str">
        <f>IF($A59=B$1, IF(ROW(B59)=2, "+", IF(COUNTIF(A59:$B59, "X")=0, "+", "-")), IF(MOD($A59, B$1)=0, "X", "O"))</f>
        <v>O</v>
      </c>
      <c r="C59" s="43" t="str">
        <f>IF($A59=C$1, IF(ROW(C59)=2, "+", IF(COUNTIF(B59:$B59, "X")=0, "+", "-")), IF(MOD($A59, C$1)=0, "X", "O"))</f>
        <v>O</v>
      </c>
      <c r="D59" s="43" t="str">
        <f>IF($A59=D$1, IF(ROW(D59)=2, "+", IF(COUNTIF($B59:C59, "X")=0, "+", "-")), IF(MOD($A59, D$1)=0, "X", "O"))</f>
        <v>O</v>
      </c>
      <c r="E59" s="43" t="str">
        <f>IF($A59=E$1, IF(ROW(E59)=2, "+", IF(COUNTIF($B59:D59, "X")=0, "+", "-")), IF(MOD($A59, E$1)=0, "X", "O"))</f>
        <v>O</v>
      </c>
      <c r="F59" s="43" t="str">
        <f>IF($A59=F$1, IF(ROW(F59)=2, "+", IF(COUNTIF($B59:E59, "X")=0, "+", "-")), IF(MOD($A59, F$1)=0, "X", "O"))</f>
        <v>O</v>
      </c>
      <c r="G59" s="43" t="str">
        <f>IF($A59=G$1, IF(ROW(G59)=2, "+", IF(COUNTIF($B59:F59, "X")=0, "+", "-")), IF(MOD($A59, G$1)=0, "X", "O"))</f>
        <v>O</v>
      </c>
      <c r="H59" s="43" t="str">
        <f>IF($A59=H$1, IF(ROW(H59)=2, "+", IF(COUNTIF($B59:G59, "X")=0, "+", "-")), IF(MOD($A59, H$1)=0, "X", "O"))</f>
        <v>O</v>
      </c>
      <c r="I59" s="43" t="str">
        <f>IF($A59=I$1, IF(ROW(I59)=2, "+", IF(COUNTIF($B59:H59, "X")=0, "+", "-")), IF(MOD($A59, I$1)=0, "X", "O"))</f>
        <v>O</v>
      </c>
      <c r="J59" s="43" t="str">
        <f>IF($A59=J$1, IF(ROW(J59)=2, "+", IF(COUNTIF($B59:I59, "X")=0, "+", "-")), IF(MOD($A59, J$1)=0, "X", "O"))</f>
        <v>O</v>
      </c>
      <c r="K59" s="43" t="str">
        <f>IF($A59=K$1, IF(ROW(K59)=2, "+", IF(COUNTIF($B59:J59, "X")=0, "+", "-")), IF(MOD($A59, K$1)=0, "X", "O"))</f>
        <v>O</v>
      </c>
      <c r="L59" s="43" t="str">
        <f>IF($A59=L$1, IF(ROW(L59)=2, "+", IF(COUNTIF($B59:K59, "X")=0, "+", "-")), IF(MOD($A59, L$1)=0, "X", "O"))</f>
        <v>O</v>
      </c>
      <c r="M59" s="43" t="str">
        <f>IF($A59=M$1, IF(ROW(M59)=2, "+", IF(COUNTIF($B59:L59, "X")=0, "+", "-")), IF(MOD($A59, M$1)=0, "X", "O"))</f>
        <v>O</v>
      </c>
      <c r="N59" s="43" t="str">
        <f>IF($A59=N$1, IF(ROW(N59)=2, "+", IF(COUNTIF($B59:M59, "X")=0, "+", "-")), IF(MOD($A59, N$1)=0, "X", "O"))</f>
        <v>O</v>
      </c>
      <c r="O59" s="43" t="str">
        <f>IF($A59=O$1, IF(ROW(O59)=2, "+", IF(COUNTIF($B59:N59, "X")=0, "+", "-")), IF(MOD($A59, O$1)=0, "X", "O"))</f>
        <v>O</v>
      </c>
      <c r="P59" s="43" t="str">
        <f>IF($A59=P$1, IF(ROW(P59)=2, "+", IF(COUNTIF($B59:O59, "X")=0, "+", "-")), IF(MOD($A59, P$1)=0, "X", "O"))</f>
        <v>O</v>
      </c>
      <c r="Q59" s="43" t="str">
        <f>IF($A59=Q$1, IF(ROW(Q59)=2, "+", IF(COUNTIF($B59:P59, "X")=0, "+", "-")), IF(MOD($A59, Q$1)=0, "X", "O"))</f>
        <v>O</v>
      </c>
      <c r="R59" s="43" t="str">
        <f>IF($A59=R$1, IF(ROW(R59)=2, "+", IF(COUNTIF($B59:Q59, "X")=0, "+", "-")), IF(MOD($A59, R$1)=0, "X", "O"))</f>
        <v>O</v>
      </c>
      <c r="S59" s="43" t="str">
        <f>IF($A59=S$1, IF(ROW(S59)=2, "+", IF(COUNTIF($B59:R59, "X")=0, "+", "-")), IF(MOD($A59, S$1)=0, "X", "O"))</f>
        <v>O</v>
      </c>
      <c r="T59" s="43" t="str">
        <f>IF($A59=T$1, IF(ROW(T59)=2, "+", IF(COUNTIF($B59:S59, "X")=0, "+", "-")), IF(MOD($A59, T$1)=0, "X", "O"))</f>
        <v>O</v>
      </c>
      <c r="U59" s="43" t="str">
        <f>IF($A59=U$1, IF(ROW(U59)=2, "+", IF(COUNTIF($B59:T59, "X")=0, "+", "-")), IF(MOD($A59, U$1)=0, "X", "O"))</f>
        <v>O</v>
      </c>
      <c r="V59" s="43" t="str">
        <f>IF($A59=V$1, IF(ROW(V59)=2, "+", IF(COUNTIF($B59:U59, "X")=0, "+", "-")), IF(MOD($A59, V$1)=0, "X", "O"))</f>
        <v>O</v>
      </c>
      <c r="W59" s="43" t="str">
        <f>IF($A59=W$1, IF(ROW(W59)=2, "+", IF(COUNTIF($B59:V59, "X")=0, "+", "-")), IF(MOD($A59, W$1)=0, "X", "O"))</f>
        <v>O</v>
      </c>
      <c r="X59" s="43" t="str">
        <f>IF($A59=X$1, IF(ROW(X59)=2, "+", IF(COUNTIF($B59:W59, "X")=0, "+", "-")), IF(MOD($A59, X$1)=0, "X", "O"))</f>
        <v>O</v>
      </c>
      <c r="Y59" s="43" t="str">
        <f>IF($A59=Y$1, IF(ROW(Y59)=2, "+", IF(COUNTIF($B59:X59, "X")=0, "+", "-")), IF(MOD($A59, Y$1)=0, "X", "O"))</f>
        <v>O</v>
      </c>
      <c r="Z59" s="43" t="str">
        <f>IF($A59=Z$1, IF(ROW(Z59)=2, "+", IF(COUNTIF($B59:Y59, "X")=0, "+", "-")), IF(MOD($A59, Z$1)=0, "X", "O"))</f>
        <v>O</v>
      </c>
      <c r="AA59" s="43" t="str">
        <f>IF($A59=AA$1, IF(ROW(AA59)=2, "+", IF(COUNTIF($B59:Z59, "X")=0, "+", "-")), IF(MOD($A59, AA$1)=0, "X", "O"))</f>
        <v>O</v>
      </c>
      <c r="AB59" s="43" t="str">
        <f>IF($A59=AB$1, IF(ROW(AB59)=2, "+", IF(COUNTIF($B59:AA59, "X")=0, "+", "-")), IF(MOD($A59, AB$1)=0, "X", "O"))</f>
        <v>O</v>
      </c>
      <c r="AC59" s="43" t="str">
        <f>IF($A59=AC$1, IF(ROW(AC59)=2, "+", IF(COUNTIF($B59:AB59, "X")=0, "+", "-")), IF(MOD($A59, AC$1)=0, "X", "O"))</f>
        <v>O</v>
      </c>
      <c r="AD59" s="43" t="str">
        <f>IF($A59=AD$1, IF(ROW(AD59)=2, "+", IF(COUNTIF($B59:AC59, "X")=0, "+", "-")), IF(MOD($A59, AD$1)=0, "X", "O"))</f>
        <v>O</v>
      </c>
      <c r="AE59" s="43" t="str">
        <f>IF($A59=AE$1, IF(ROW(AE59)=2, "+", IF(COUNTIF($B59:AD59, "X")=0, "+", "-")), IF(MOD($A59, AE$1)=0, "X", "O"))</f>
        <v>O</v>
      </c>
      <c r="AF59" s="43" t="str">
        <f>IF($A59=AF$1, IF(ROW(AF59)=2, "+", IF(COUNTIF($B59:AE59, "X")=0, "+", "-")), IF(MOD($A59, AF$1)=0, "X", "O"))</f>
        <v>O</v>
      </c>
      <c r="AG59" s="43" t="str">
        <f>IF($A59=AG$1, IF(ROW(AG59)=2, "+", IF(COUNTIF($B59:AF59, "X")=0, "+", "-")), IF(MOD($A59, AG$1)=0, "X", "O"))</f>
        <v>O</v>
      </c>
      <c r="AH59" s="43" t="str">
        <f>IF($A59=AH$1, IF(ROW(AH59)=2, "+", IF(COUNTIF($B59:AG59, "X")=0, "+", "-")), IF(MOD($A59, AH$1)=0, "X", "O"))</f>
        <v>O</v>
      </c>
      <c r="AI59" s="43" t="str">
        <f>IF($A59=AI$1, IF(ROW(AI59)=2, "+", IF(COUNTIF($B59:AH59, "X")=0, "+", "-")), IF(MOD($A59, AI$1)=0, "X", "O"))</f>
        <v>O</v>
      </c>
      <c r="AJ59" s="43" t="str">
        <f>IF($A59=AJ$1, IF(ROW(AJ59)=2, "+", IF(COUNTIF($B59:AI59, "X")=0, "+", "-")), IF(MOD($A59, AJ$1)=0, "X", "O"))</f>
        <v>O</v>
      </c>
      <c r="AK59" s="43" t="str">
        <f>IF($A59=AK$1, IF(ROW(AK59)=2, "+", IF(COUNTIF($B59:AJ59, "X")=0, "+", "-")), IF(MOD($A59, AK$1)=0, "X", "O"))</f>
        <v>O</v>
      </c>
      <c r="AL59" s="43" t="str">
        <f>IF($A59=AL$1, IF(ROW(AL59)=2, "+", IF(COUNTIF($B59:AK59, "X")=0, "+", "-")), IF(MOD($A59, AL$1)=0, "X", "O"))</f>
        <v>O</v>
      </c>
      <c r="AM59" s="43" t="str">
        <f>IF($A59=AM$1, IF(ROW(AM59)=2, "+", IF(COUNTIF($B59:AL59, "X")=0, "+", "-")), IF(MOD($A59, AM$1)=0, "X", "O"))</f>
        <v>O</v>
      </c>
      <c r="AN59" s="43" t="str">
        <f>IF($A59=AN$1, IF(ROW(AN59)=2, "+", IF(COUNTIF($B59:AM59, "X")=0, "+", "-")), IF(MOD($A59, AN$1)=0, "X", "O"))</f>
        <v>O</v>
      </c>
      <c r="AO59" s="43" t="str">
        <f>IF($A59=AO$1, IF(ROW(AO59)=2, "+", IF(COUNTIF($B59:AN59, "X")=0, "+", "-")), IF(MOD($A59, AO$1)=0, "X", "O"))</f>
        <v>O</v>
      </c>
      <c r="AP59" s="43" t="str">
        <f>IF($A59=AP$1, IF(ROW(AP59)=2, "+", IF(COUNTIF($B59:AO59, "X")=0, "+", "-")), IF(MOD($A59, AP$1)=0, "X", "O"))</f>
        <v>O</v>
      </c>
      <c r="AQ59" s="43" t="str">
        <f>IF($A59=AQ$1, IF(ROW(AQ59)=2, "+", IF(COUNTIF($B59:AP59, "X")=0, "+", "-")), IF(MOD($A59, AQ$1)=0, "X", "O"))</f>
        <v>O</v>
      </c>
      <c r="AR59" s="43" t="str">
        <f>IF($A59=AR$1, IF(ROW(AR59)=2, "+", IF(COUNTIF($B59:AQ59, "X")=0, "+", "-")), IF(MOD($A59, AR$1)=0, "X", "O"))</f>
        <v>O</v>
      </c>
      <c r="AS59" s="43" t="str">
        <f>IF($A59=AS$1, IF(ROW(AS59)=2, "+", IF(COUNTIF($B59:AR59, "X")=0, "+", "-")), IF(MOD($A59, AS$1)=0, "X", "O"))</f>
        <v>O</v>
      </c>
      <c r="AT59" s="43" t="str">
        <f>IF($A59=AT$1, IF(ROW(AT59)=2, "+", IF(COUNTIF($B59:AS59, "X")=0, "+", "-")), IF(MOD($A59, AT$1)=0, "X", "O"))</f>
        <v>O</v>
      </c>
      <c r="AU59" s="43" t="str">
        <f>IF($A59=AU$1, IF(ROW(AU59)=2, "+", IF(COUNTIF($B59:AT59, "X")=0, "+", "-")), IF(MOD($A59, AU$1)=0, "X", "O"))</f>
        <v>O</v>
      </c>
      <c r="AV59" s="43" t="str">
        <f>IF($A59=AV$1, IF(ROW(AV59)=2, "+", IF(COUNTIF($B59:AU59, "X")=0, "+", "-")), IF(MOD($A59, AV$1)=0, "X", "O"))</f>
        <v>O</v>
      </c>
      <c r="AW59" s="43" t="str">
        <f>IF($A59=AW$1, IF(ROW(AW59)=2, "+", IF(COUNTIF($B59:AV59, "X")=0, "+", "-")), IF(MOD($A59, AW$1)=0, "X", "O"))</f>
        <v>O</v>
      </c>
      <c r="AX59" s="43" t="str">
        <f>IF($A59=AX$1, IF(ROW(AX59)=2, "+", IF(COUNTIF($B59:AW59, "X")=0, "+", "-")), IF(MOD($A59, AX$1)=0, "X", "O"))</f>
        <v>O</v>
      </c>
      <c r="AY59" s="43" t="str">
        <f>IF($A59=AY$1, IF(ROW(AY59)=2, "+", IF(COUNTIF($B59:AX59, "X")=0, "+", "-")), IF(MOD($A59, AY$1)=0, "X", "O"))</f>
        <v>O</v>
      </c>
      <c r="AZ59" s="43" t="str">
        <f>IF($A59=AZ$1, IF(ROW(AZ59)=2, "+", IF(COUNTIF($B59:AY59, "X")=0, "+", "-")), IF(MOD($A59, AZ$1)=0, "X", "O"))</f>
        <v>O</v>
      </c>
      <c r="BA59" s="43" t="str">
        <f>IF($A59=BA$1, IF(ROW(BA59)=2, "+", IF(COUNTIF($B59:AZ59, "X")=0, "+", "-")), IF(MOD($A59, BA$1)=0, "X", "O"))</f>
        <v>O</v>
      </c>
      <c r="BB59" s="43" t="str">
        <f>IF($A59=BB$1, IF(ROW(BB59)=2, "+", IF(COUNTIF($B59:BA59, "X")=0, "+", "-")), IF(MOD($A59, BB$1)=0, "X", "O"))</f>
        <v>O</v>
      </c>
      <c r="BC59" s="43" t="str">
        <f>IF($A59=BC$1, IF(ROW(BC59)=2, "+", IF(COUNTIF($B59:BB59, "X")=0, "+", "-")), IF(MOD($A59, BC$1)=0, "X", "O"))</f>
        <v>O</v>
      </c>
      <c r="BD59" s="43" t="str">
        <f>IF($A59=BD$1, IF(ROW(BD59)=2, "+", IF(COUNTIF($B59:BC59, "X")=0, "+", "-")), IF(MOD($A59, BD$1)=0, "X", "O"))</f>
        <v>O</v>
      </c>
      <c r="BE59" s="43" t="str">
        <f>IF($A59=BE$1, IF(ROW(BE59)=2, "+", IF(COUNTIF($B59:BD59, "X")=0, "+", "-")), IF(MOD($A59, BE$1)=0, "X", "O"))</f>
        <v>O</v>
      </c>
      <c r="BF59" s="43" t="str">
        <f>IF($A59=BF$1, IF(ROW(BF59)=2, "+", IF(COUNTIF($B59:BE59, "X")=0, "+", "-")), IF(MOD($A59, BF$1)=0, "X", "O"))</f>
        <v>O</v>
      </c>
      <c r="BG59" s="43" t="str">
        <f>IF($A59=BG$1, IF(ROW(BG59)=2, "+", IF(COUNTIF($B59:BF59, "X")=0, "+", "-")), IF(MOD($A59, BG$1)=0, "X", "O"))</f>
        <v>+</v>
      </c>
      <c r="BH59" s="43" t="str">
        <f>IF($A59=BH$1, IF(ROW(BH59)=2, "+", IF(COUNTIF($B59:BG59, "X")=0, "+", "-")), IF(MOD($A59, BH$1)=0, "X", "O"))</f>
        <v>O</v>
      </c>
    </row>
    <row r="60" spans="1:60" x14ac:dyDescent="0.25">
      <c r="A60">
        <v>60</v>
      </c>
      <c r="B60" s="43" t="str">
        <f>IF($A60=B$1, IF(ROW(B60)=2, "+", IF(COUNTIF(A60:$B60, "X")=0, "+", "-")), IF(MOD($A60, B$1)=0, "X", "O"))</f>
        <v>X</v>
      </c>
      <c r="C60" s="43" t="str">
        <f>IF($A60=C$1, IF(ROW(C60)=2, "+", IF(COUNTIF(B60:$B60, "X")=0, "+", "-")), IF(MOD($A60, C$1)=0, "X", "O"))</f>
        <v>X</v>
      </c>
      <c r="D60" s="43" t="str">
        <f>IF($A60=D$1, IF(ROW(D60)=2, "+", IF(COUNTIF($B60:C60, "X")=0, "+", "-")), IF(MOD($A60, D$1)=0, "X", "O"))</f>
        <v>X</v>
      </c>
      <c r="E60" s="43" t="str">
        <f>IF($A60=E$1, IF(ROW(E60)=2, "+", IF(COUNTIF($B60:D60, "X")=0, "+", "-")), IF(MOD($A60, E$1)=0, "X", "O"))</f>
        <v>X</v>
      </c>
      <c r="F60" s="43" t="str">
        <f>IF($A60=F$1, IF(ROW(F60)=2, "+", IF(COUNTIF($B60:E60, "X")=0, "+", "-")), IF(MOD($A60, F$1)=0, "X", "O"))</f>
        <v>X</v>
      </c>
      <c r="G60" s="43" t="str">
        <f>IF($A60=G$1, IF(ROW(G60)=2, "+", IF(COUNTIF($B60:F60, "X")=0, "+", "-")), IF(MOD($A60, G$1)=0, "X", "O"))</f>
        <v>O</v>
      </c>
      <c r="H60" s="43" t="str">
        <f>IF($A60=H$1, IF(ROW(H60)=2, "+", IF(COUNTIF($B60:G60, "X")=0, "+", "-")), IF(MOD($A60, H$1)=0, "X", "O"))</f>
        <v>O</v>
      </c>
      <c r="I60" s="43" t="str">
        <f>IF($A60=I$1, IF(ROW(I60)=2, "+", IF(COUNTIF($B60:H60, "X")=0, "+", "-")), IF(MOD($A60, I$1)=0, "X", "O"))</f>
        <v>O</v>
      </c>
      <c r="J60" s="43" t="str">
        <f>IF($A60=J$1, IF(ROW(J60)=2, "+", IF(COUNTIF($B60:I60, "X")=0, "+", "-")), IF(MOD($A60, J$1)=0, "X", "O"))</f>
        <v>X</v>
      </c>
      <c r="K60" s="43" t="str">
        <f>IF($A60=K$1, IF(ROW(K60)=2, "+", IF(COUNTIF($B60:J60, "X")=0, "+", "-")), IF(MOD($A60, K$1)=0, "X", "O"))</f>
        <v>O</v>
      </c>
      <c r="L60" s="43" t="str">
        <f>IF($A60=L$1, IF(ROW(L60)=2, "+", IF(COUNTIF($B60:K60, "X")=0, "+", "-")), IF(MOD($A60, L$1)=0, "X", "O"))</f>
        <v>X</v>
      </c>
      <c r="M60" s="43" t="str">
        <f>IF($A60=M$1, IF(ROW(M60)=2, "+", IF(COUNTIF($B60:L60, "X")=0, "+", "-")), IF(MOD($A60, M$1)=0, "X", "O"))</f>
        <v>O</v>
      </c>
      <c r="N60" s="43" t="str">
        <f>IF($A60=N$1, IF(ROW(N60)=2, "+", IF(COUNTIF($B60:M60, "X")=0, "+", "-")), IF(MOD($A60, N$1)=0, "X", "O"))</f>
        <v>O</v>
      </c>
      <c r="O60" s="43" t="str">
        <f>IF($A60=O$1, IF(ROW(O60)=2, "+", IF(COUNTIF($B60:N60, "X")=0, "+", "-")), IF(MOD($A60, O$1)=0, "X", "O"))</f>
        <v>X</v>
      </c>
      <c r="P60" s="43" t="str">
        <f>IF($A60=P$1, IF(ROW(P60)=2, "+", IF(COUNTIF($B60:O60, "X")=0, "+", "-")), IF(MOD($A60, P$1)=0, "X", "O"))</f>
        <v>O</v>
      </c>
      <c r="Q60" s="43" t="str">
        <f>IF($A60=Q$1, IF(ROW(Q60)=2, "+", IF(COUNTIF($B60:P60, "X")=0, "+", "-")), IF(MOD($A60, Q$1)=0, "X", "O"))</f>
        <v>O</v>
      </c>
      <c r="R60" s="43" t="str">
        <f>IF($A60=R$1, IF(ROW(R60)=2, "+", IF(COUNTIF($B60:Q60, "X")=0, "+", "-")), IF(MOD($A60, R$1)=0, "X", "O"))</f>
        <v>O</v>
      </c>
      <c r="S60" s="43" t="str">
        <f>IF($A60=S$1, IF(ROW(S60)=2, "+", IF(COUNTIF($B60:R60, "X")=0, "+", "-")), IF(MOD($A60, S$1)=0, "X", "O"))</f>
        <v>O</v>
      </c>
      <c r="T60" s="43" t="str">
        <f>IF($A60=T$1, IF(ROW(T60)=2, "+", IF(COUNTIF($B60:S60, "X")=0, "+", "-")), IF(MOD($A60, T$1)=0, "X", "O"))</f>
        <v>X</v>
      </c>
      <c r="U60" s="43" t="str">
        <f>IF($A60=U$1, IF(ROW(U60)=2, "+", IF(COUNTIF($B60:T60, "X")=0, "+", "-")), IF(MOD($A60, U$1)=0, "X", "O"))</f>
        <v>O</v>
      </c>
      <c r="V60" s="43" t="str">
        <f>IF($A60=V$1, IF(ROW(V60)=2, "+", IF(COUNTIF($B60:U60, "X")=0, "+", "-")), IF(MOD($A60, V$1)=0, "X", "O"))</f>
        <v>O</v>
      </c>
      <c r="W60" s="43" t="str">
        <f>IF($A60=W$1, IF(ROW(W60)=2, "+", IF(COUNTIF($B60:V60, "X")=0, "+", "-")), IF(MOD($A60, W$1)=0, "X", "O"))</f>
        <v>O</v>
      </c>
      <c r="X60" s="43" t="str">
        <f>IF($A60=X$1, IF(ROW(X60)=2, "+", IF(COUNTIF($B60:W60, "X")=0, "+", "-")), IF(MOD($A60, X$1)=0, "X", "O"))</f>
        <v>O</v>
      </c>
      <c r="Y60" s="43" t="str">
        <f>IF($A60=Y$1, IF(ROW(Y60)=2, "+", IF(COUNTIF($B60:X60, "X")=0, "+", "-")), IF(MOD($A60, Y$1)=0, "X", "O"))</f>
        <v>O</v>
      </c>
      <c r="Z60" s="43" t="str">
        <f>IF($A60=Z$1, IF(ROW(Z60)=2, "+", IF(COUNTIF($B60:Y60, "X")=0, "+", "-")), IF(MOD($A60, Z$1)=0, "X", "O"))</f>
        <v>O</v>
      </c>
      <c r="AA60" s="43" t="str">
        <f>IF($A60=AA$1, IF(ROW(AA60)=2, "+", IF(COUNTIF($B60:Z60, "X")=0, "+", "-")), IF(MOD($A60, AA$1)=0, "X", "O"))</f>
        <v>O</v>
      </c>
      <c r="AB60" s="43" t="str">
        <f>IF($A60=AB$1, IF(ROW(AB60)=2, "+", IF(COUNTIF($B60:AA60, "X")=0, "+", "-")), IF(MOD($A60, AB$1)=0, "X", "O"))</f>
        <v>O</v>
      </c>
      <c r="AC60" s="43" t="str">
        <f>IF($A60=AC$1, IF(ROW(AC60)=2, "+", IF(COUNTIF($B60:AB60, "X")=0, "+", "-")), IF(MOD($A60, AC$1)=0, "X", "O"))</f>
        <v>O</v>
      </c>
      <c r="AD60" s="43" t="str">
        <f>IF($A60=AD$1, IF(ROW(AD60)=2, "+", IF(COUNTIF($B60:AC60, "X")=0, "+", "-")), IF(MOD($A60, AD$1)=0, "X", "O"))</f>
        <v>X</v>
      </c>
      <c r="AE60" s="43" t="str">
        <f>IF($A60=AE$1, IF(ROW(AE60)=2, "+", IF(COUNTIF($B60:AD60, "X")=0, "+", "-")), IF(MOD($A60, AE$1)=0, "X", "O"))</f>
        <v>O</v>
      </c>
      <c r="AF60" s="43" t="str">
        <f>IF($A60=AF$1, IF(ROW(AF60)=2, "+", IF(COUNTIF($B60:AE60, "X")=0, "+", "-")), IF(MOD($A60, AF$1)=0, "X", "O"))</f>
        <v>O</v>
      </c>
      <c r="AG60" s="43" t="str">
        <f>IF($A60=AG$1, IF(ROW(AG60)=2, "+", IF(COUNTIF($B60:AF60, "X")=0, "+", "-")), IF(MOD($A60, AG$1)=0, "X", "O"))</f>
        <v>O</v>
      </c>
      <c r="AH60" s="43" t="str">
        <f>IF($A60=AH$1, IF(ROW(AH60)=2, "+", IF(COUNTIF($B60:AG60, "X")=0, "+", "-")), IF(MOD($A60, AH$1)=0, "X", "O"))</f>
        <v>O</v>
      </c>
      <c r="AI60" s="43" t="str">
        <f>IF($A60=AI$1, IF(ROW(AI60)=2, "+", IF(COUNTIF($B60:AH60, "X")=0, "+", "-")), IF(MOD($A60, AI$1)=0, "X", "O"))</f>
        <v>O</v>
      </c>
      <c r="AJ60" s="43" t="str">
        <f>IF($A60=AJ$1, IF(ROW(AJ60)=2, "+", IF(COUNTIF($B60:AI60, "X")=0, "+", "-")), IF(MOD($A60, AJ$1)=0, "X", "O"))</f>
        <v>O</v>
      </c>
      <c r="AK60" s="43" t="str">
        <f>IF($A60=AK$1, IF(ROW(AK60)=2, "+", IF(COUNTIF($B60:AJ60, "X")=0, "+", "-")), IF(MOD($A60, AK$1)=0, "X", "O"))</f>
        <v>O</v>
      </c>
      <c r="AL60" s="43" t="str">
        <f>IF($A60=AL$1, IF(ROW(AL60)=2, "+", IF(COUNTIF($B60:AK60, "X")=0, "+", "-")), IF(MOD($A60, AL$1)=0, "X", "O"))</f>
        <v>O</v>
      </c>
      <c r="AM60" s="43" t="str">
        <f>IF($A60=AM$1, IF(ROW(AM60)=2, "+", IF(COUNTIF($B60:AL60, "X")=0, "+", "-")), IF(MOD($A60, AM$1)=0, "X", "O"))</f>
        <v>O</v>
      </c>
      <c r="AN60" s="43" t="str">
        <f>IF($A60=AN$1, IF(ROW(AN60)=2, "+", IF(COUNTIF($B60:AM60, "X")=0, "+", "-")), IF(MOD($A60, AN$1)=0, "X", "O"))</f>
        <v>O</v>
      </c>
      <c r="AO60" s="43" t="str">
        <f>IF($A60=AO$1, IF(ROW(AO60)=2, "+", IF(COUNTIF($B60:AN60, "X")=0, "+", "-")), IF(MOD($A60, AO$1)=0, "X", "O"))</f>
        <v>O</v>
      </c>
      <c r="AP60" s="43" t="str">
        <f>IF($A60=AP$1, IF(ROW(AP60)=2, "+", IF(COUNTIF($B60:AO60, "X")=0, "+", "-")), IF(MOD($A60, AP$1)=0, "X", "O"))</f>
        <v>O</v>
      </c>
      <c r="AQ60" s="43" t="str">
        <f>IF($A60=AQ$1, IF(ROW(AQ60)=2, "+", IF(COUNTIF($B60:AP60, "X")=0, "+", "-")), IF(MOD($A60, AQ$1)=0, "X", "O"))</f>
        <v>O</v>
      </c>
      <c r="AR60" s="43" t="str">
        <f>IF($A60=AR$1, IF(ROW(AR60)=2, "+", IF(COUNTIF($B60:AQ60, "X")=0, "+", "-")), IF(MOD($A60, AR$1)=0, "X", "O"))</f>
        <v>O</v>
      </c>
      <c r="AS60" s="43" t="str">
        <f>IF($A60=AS$1, IF(ROW(AS60)=2, "+", IF(COUNTIF($B60:AR60, "X")=0, "+", "-")), IF(MOD($A60, AS$1)=0, "X", "O"))</f>
        <v>O</v>
      </c>
      <c r="AT60" s="43" t="str">
        <f>IF($A60=AT$1, IF(ROW(AT60)=2, "+", IF(COUNTIF($B60:AS60, "X")=0, "+", "-")), IF(MOD($A60, AT$1)=0, "X", "O"))</f>
        <v>O</v>
      </c>
      <c r="AU60" s="43" t="str">
        <f>IF($A60=AU$1, IF(ROW(AU60)=2, "+", IF(COUNTIF($B60:AT60, "X")=0, "+", "-")), IF(MOD($A60, AU$1)=0, "X", "O"))</f>
        <v>O</v>
      </c>
      <c r="AV60" s="43" t="str">
        <f>IF($A60=AV$1, IF(ROW(AV60)=2, "+", IF(COUNTIF($B60:AU60, "X")=0, "+", "-")), IF(MOD($A60, AV$1)=0, "X", "O"))</f>
        <v>O</v>
      </c>
      <c r="AW60" s="43" t="str">
        <f>IF($A60=AW$1, IF(ROW(AW60)=2, "+", IF(COUNTIF($B60:AV60, "X")=0, "+", "-")), IF(MOD($A60, AW$1)=0, "X", "O"))</f>
        <v>O</v>
      </c>
      <c r="AX60" s="43" t="str">
        <f>IF($A60=AX$1, IF(ROW(AX60)=2, "+", IF(COUNTIF($B60:AW60, "X")=0, "+", "-")), IF(MOD($A60, AX$1)=0, "X", "O"))</f>
        <v>O</v>
      </c>
      <c r="AY60" s="43" t="str">
        <f>IF($A60=AY$1, IF(ROW(AY60)=2, "+", IF(COUNTIF($B60:AX60, "X")=0, "+", "-")), IF(MOD($A60, AY$1)=0, "X", "O"))</f>
        <v>O</v>
      </c>
      <c r="AZ60" s="43" t="str">
        <f>IF($A60=AZ$1, IF(ROW(AZ60)=2, "+", IF(COUNTIF($B60:AY60, "X")=0, "+", "-")), IF(MOD($A60, AZ$1)=0, "X", "O"))</f>
        <v>O</v>
      </c>
      <c r="BA60" s="43" t="str">
        <f>IF($A60=BA$1, IF(ROW(BA60)=2, "+", IF(COUNTIF($B60:AZ60, "X")=0, "+", "-")), IF(MOD($A60, BA$1)=0, "X", "O"))</f>
        <v>O</v>
      </c>
      <c r="BB60" s="43" t="str">
        <f>IF($A60=BB$1, IF(ROW(BB60)=2, "+", IF(COUNTIF($B60:BA60, "X")=0, "+", "-")), IF(MOD($A60, BB$1)=0, "X", "O"))</f>
        <v>O</v>
      </c>
      <c r="BC60" s="43" t="str">
        <f>IF($A60=BC$1, IF(ROW(BC60)=2, "+", IF(COUNTIF($B60:BB60, "X")=0, "+", "-")), IF(MOD($A60, BC$1)=0, "X", "O"))</f>
        <v>O</v>
      </c>
      <c r="BD60" s="43" t="str">
        <f>IF($A60=BD$1, IF(ROW(BD60)=2, "+", IF(COUNTIF($B60:BC60, "X")=0, "+", "-")), IF(MOD($A60, BD$1)=0, "X", "O"))</f>
        <v>O</v>
      </c>
      <c r="BE60" s="43" t="str">
        <f>IF($A60=BE$1, IF(ROW(BE60)=2, "+", IF(COUNTIF($B60:BD60, "X")=0, "+", "-")), IF(MOD($A60, BE$1)=0, "X", "O"))</f>
        <v>O</v>
      </c>
      <c r="BF60" s="43" t="str">
        <f>IF($A60=BF$1, IF(ROW(BF60)=2, "+", IF(COUNTIF($B60:BE60, "X")=0, "+", "-")), IF(MOD($A60, BF$1)=0, "X", "O"))</f>
        <v>O</v>
      </c>
      <c r="BG60" s="43" t="str">
        <f>IF($A60=BG$1, IF(ROW(BG60)=2, "+", IF(COUNTIF($B60:BF60, "X")=0, "+", "-")), IF(MOD($A60, BG$1)=0, "X", "O"))</f>
        <v>O</v>
      </c>
      <c r="BH60" s="43" t="str">
        <f>IF($A60=BH$1, IF(ROW(BH60)=2, "+", IF(COUNTIF($B60:BG60, "X")=0, "+", "-")), IF(MOD($A60, BH$1)=0, "X", "O"))</f>
        <v>-</v>
      </c>
    </row>
  </sheetData>
  <phoneticPr fontId="8" type="noConversion"/>
  <conditionalFormatting sqref="B2:BH60 BJ2">
    <cfRule type="expression" dxfId="11" priority="5">
      <formula>AND(COLUMN(B2)&lt;ROW(B2), B2="X")</formula>
    </cfRule>
    <cfRule type="expression" dxfId="10" priority="6">
      <formula>COLUMN(B2)&gt;ROW(B2)</formula>
    </cfRule>
    <cfRule type="expression" dxfId="9" priority="4">
      <formula>AND(COLUMN(B2)=ROW(B2), B2="+")</formula>
    </cfRule>
    <cfRule type="expression" dxfId="8" priority="3">
      <formula>AND(COLUMN(B2)=ROW(B2), B2="-")</formula>
    </cfRule>
    <cfRule type="expression" dxfId="6" priority="1">
      <formula>AND(COLUMN(B2)&lt;ROW(B2), OR($B2:$BH2 = "+"))</formula>
    </cfRule>
  </conditionalFormatting>
  <conditionalFormatting sqref="A2:A60">
    <cfRule type="expression" dxfId="7" priority="2">
      <formula>OFFSET(A2,0,ROW(A2)-1) = "+"</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26E87-C90A-4E59-88B5-C9415B433F42}">
  <dimension ref="A1:BJ60"/>
  <sheetViews>
    <sheetView tabSelected="1" workbookViewId="0">
      <selection activeCell="T13" sqref="T13"/>
    </sheetView>
  </sheetViews>
  <sheetFormatPr defaultColWidth="3.42578125" defaultRowHeight="15" x14ac:dyDescent="0.25"/>
  <cols>
    <col min="2" max="16384" width="3.42578125" style="46"/>
  </cols>
  <sheetData>
    <row r="1" spans="1:62" customFormat="1" x14ac:dyDescent="0.25">
      <c r="B1" s="42" cm="1">
        <f t="array" ref="B1:BH1">_xlfn.SEQUENCE(1,59, 2, 1)</f>
        <v>2</v>
      </c>
      <c r="C1" s="42">
        <v>3</v>
      </c>
      <c r="D1" s="42">
        <v>4</v>
      </c>
      <c r="E1" s="42">
        <v>5</v>
      </c>
      <c r="F1" s="42">
        <v>6</v>
      </c>
      <c r="G1" s="42">
        <v>7</v>
      </c>
      <c r="H1" s="42">
        <v>8</v>
      </c>
      <c r="I1" s="42">
        <v>9</v>
      </c>
      <c r="J1" s="42">
        <v>10</v>
      </c>
      <c r="K1" s="42">
        <v>11</v>
      </c>
      <c r="L1" s="42">
        <v>12</v>
      </c>
      <c r="M1" s="42">
        <v>13</v>
      </c>
      <c r="N1" s="42">
        <v>14</v>
      </c>
      <c r="O1" s="42">
        <v>15</v>
      </c>
      <c r="P1" s="42">
        <v>16</v>
      </c>
      <c r="Q1" s="42">
        <v>17</v>
      </c>
      <c r="R1" s="42">
        <v>18</v>
      </c>
      <c r="S1" s="42">
        <v>19</v>
      </c>
      <c r="T1" s="42">
        <v>20</v>
      </c>
      <c r="U1" s="42">
        <v>21</v>
      </c>
      <c r="V1" s="42">
        <v>22</v>
      </c>
      <c r="W1" s="42">
        <v>23</v>
      </c>
      <c r="X1" s="42">
        <v>24</v>
      </c>
      <c r="Y1" s="42">
        <v>25</v>
      </c>
      <c r="Z1" s="42">
        <v>26</v>
      </c>
      <c r="AA1" s="42">
        <v>27</v>
      </c>
      <c r="AB1" s="42">
        <v>28</v>
      </c>
      <c r="AC1" s="42">
        <v>29</v>
      </c>
      <c r="AD1" s="42">
        <v>30</v>
      </c>
      <c r="AE1" s="42">
        <v>31</v>
      </c>
      <c r="AF1" s="42">
        <v>32</v>
      </c>
      <c r="AG1" s="42">
        <v>33</v>
      </c>
      <c r="AH1" s="42">
        <v>34</v>
      </c>
      <c r="AI1" s="42">
        <v>35</v>
      </c>
      <c r="AJ1" s="42">
        <v>36</v>
      </c>
      <c r="AK1" s="42">
        <v>37</v>
      </c>
      <c r="AL1" s="42">
        <v>38</v>
      </c>
      <c r="AM1" s="42">
        <v>39</v>
      </c>
      <c r="AN1" s="42">
        <v>40</v>
      </c>
      <c r="AO1" s="42">
        <v>41</v>
      </c>
      <c r="AP1" s="42">
        <v>42</v>
      </c>
      <c r="AQ1" s="42">
        <v>43</v>
      </c>
      <c r="AR1" s="42">
        <v>44</v>
      </c>
      <c r="AS1" s="42">
        <v>45</v>
      </c>
      <c r="AT1" s="42">
        <v>46</v>
      </c>
      <c r="AU1" s="42">
        <v>47</v>
      </c>
      <c r="AV1" s="42">
        <v>48</v>
      </c>
      <c r="AW1" s="42">
        <v>49</v>
      </c>
      <c r="AX1" s="42">
        <v>50</v>
      </c>
      <c r="AY1" s="42">
        <v>51</v>
      </c>
      <c r="AZ1" s="42">
        <v>52</v>
      </c>
      <c r="BA1" s="42">
        <v>53</v>
      </c>
      <c r="BB1" s="42">
        <v>54</v>
      </c>
      <c r="BC1" s="42">
        <v>55</v>
      </c>
      <c r="BD1" s="42">
        <v>56</v>
      </c>
      <c r="BE1" s="42">
        <v>57</v>
      </c>
      <c r="BF1" s="42">
        <v>58</v>
      </c>
      <c r="BG1" s="42">
        <v>59</v>
      </c>
      <c r="BH1" s="42">
        <v>60</v>
      </c>
    </row>
    <row r="2" spans="1:62" s="46" customFormat="1" x14ac:dyDescent="0.25">
      <c r="A2">
        <v>2</v>
      </c>
      <c r="B2" s="44" t="str">
        <f ca="1">IF(
  $A2=B$1,
  IF( ROW(B2)=2, "+", IF(COUNTIF(A2:$B2,"X")=0, "+", "-") ),
  IF(
    $A2&lt;B$1,
    "O",
    IF( OFFSET(B$1, COLUMN(B2)-1, 0)="-", "O", IF(MOD($A2, B$1)=0, "X", "O") )
  )
)</f>
        <v>+</v>
      </c>
      <c r="C2" s="45" t="str">
        <f ca="1">IF(
  $A2=C$1,
  IF( ROW(C2)=2, "+", IF(COUNTIF(B2:$B2,"X")=0, "+", "-") ),
  IF(
    $A2&lt;C$1,
    "O",
    IF( OFFSET(C$1, COLUMN(C2)-1, 0)="-", "O", IF(MOD($A2, C$1)=0, "X", "O") )
  )
)</f>
        <v>O</v>
      </c>
      <c r="D2" s="45" t="str">
        <f ca="1">IF(
  $A2=D$1,
  IF( ROW(D2)=2, "+", IF(COUNTIF($B2:C2,"X")=0, "+", "-") ),
  IF(
    $A2&lt;D$1,
    "O",
    IF( OFFSET(D$1, COLUMN(D2)-1, 0)="-", "O", IF(MOD($A2, D$1)=0, "X", "O") )
  )
)</f>
        <v>O</v>
      </c>
      <c r="E2" s="45" t="str">
        <f ca="1">IF(
  $A2=E$1,
  IF( ROW(E2)=2, "+", IF(COUNTIF($B2:D2,"X")=0, "+", "-") ),
  IF(
    $A2&lt;E$1,
    "O",
    IF( OFFSET(E$1, COLUMN(E2)-1, 0)="-", "O", IF(MOD($A2, E$1)=0, "X", "O") )
  )
)</f>
        <v>O</v>
      </c>
      <c r="F2" s="45" t="str">
        <f ca="1">IF(
  $A2=F$1,
  IF( ROW(F2)=2, "+", IF(COUNTIF($B2:E2,"X")=0, "+", "-") ),
  IF(
    $A2&lt;F$1,
    "O",
    IF( OFFSET(F$1, COLUMN(F2)-1, 0)="-", "O", IF(MOD($A2, F$1)=0, "X", "O") )
  )
)</f>
        <v>O</v>
      </c>
      <c r="G2" s="45" t="str">
        <f ca="1">IF(
  $A2=G$1,
  IF( ROW(G2)=2, "+", IF(COUNTIF($B2:F2,"X")=0, "+", "-") ),
  IF(
    $A2&lt;G$1,
    "O",
    IF( OFFSET(G$1, COLUMN(G2)-1, 0)="-", "O", IF(MOD($A2, G$1)=0, "X", "O") )
  )
)</f>
        <v>O</v>
      </c>
      <c r="H2" s="45" t="str">
        <f ca="1">IF(
  $A2=H$1,
  IF( ROW(H2)=2, "+", IF(COUNTIF($B2:G2,"X")=0, "+", "-") ),
  IF(
    $A2&lt;H$1,
    "O",
    IF( OFFSET(H$1, COLUMN(H2)-1, 0)="-", "O", IF(MOD($A2, H$1)=0, "X", "O") )
  )
)</f>
        <v>O</v>
      </c>
      <c r="I2" s="45" t="str">
        <f ca="1">IF(
  $A2=I$1,
  IF( ROW(I2)=2, "+", IF(COUNTIF($B2:H2,"X")=0, "+", "-") ),
  IF(
    $A2&lt;I$1,
    "O",
    IF( OFFSET(I$1, COLUMN(I2)-1, 0)="-", "O", IF(MOD($A2, I$1)=0, "X", "O") )
  )
)</f>
        <v>O</v>
      </c>
      <c r="J2" s="45" t="str">
        <f ca="1">IF(
  $A2=J$1,
  IF( ROW(J2)=2, "+", IF(COUNTIF($B2:I2,"X")=0, "+", "-") ),
  IF(
    $A2&lt;J$1,
    "O",
    IF( OFFSET(J$1, COLUMN(J2)-1, 0)="-", "O", IF(MOD($A2, J$1)=0, "X", "O") )
  )
)</f>
        <v>O</v>
      </c>
      <c r="K2" s="45" t="str">
        <f ca="1">IF(
  $A2=K$1,
  IF( ROW(K2)=2, "+", IF(COUNTIF($B2:J2,"X")=0, "+", "-") ),
  IF(
    $A2&lt;K$1,
    "O",
    IF( OFFSET(K$1, COLUMN(K2)-1, 0)="-", "O", IF(MOD($A2, K$1)=0, "X", "O") )
  )
)</f>
        <v>O</v>
      </c>
      <c r="L2" s="45" t="str">
        <f ca="1">IF(
  $A2=L$1,
  IF( ROW(L2)=2, "+", IF(COUNTIF($B2:K2,"X")=0, "+", "-") ),
  IF(
    $A2&lt;L$1,
    "O",
    IF( OFFSET(L$1, COLUMN(L2)-1, 0)="-", "O", IF(MOD($A2, L$1)=0, "X", "O") )
  )
)</f>
        <v>O</v>
      </c>
      <c r="M2" s="45" t="str">
        <f ca="1">IF(
  $A2=M$1,
  IF( ROW(M2)=2, "+", IF(COUNTIF($B2:L2,"X")=0, "+", "-") ),
  IF(
    $A2&lt;M$1,
    "O",
    IF( OFFSET(M$1, COLUMN(M2)-1, 0)="-", "O", IF(MOD($A2, M$1)=0, "X", "O") )
  )
)</f>
        <v>O</v>
      </c>
      <c r="N2" s="45" t="str">
        <f ca="1">IF(
  $A2=N$1,
  IF( ROW(N2)=2, "+", IF(COUNTIF($B2:M2,"X")=0, "+", "-") ),
  IF(
    $A2&lt;N$1,
    "O",
    IF( OFFSET(N$1, COLUMN(N2)-1, 0)="-", "O", IF(MOD($A2, N$1)=0, "X", "O") )
  )
)</f>
        <v>O</v>
      </c>
      <c r="O2" s="45" t="str">
        <f ca="1">IF(
  $A2=O$1,
  IF( ROW(O2)=2, "+", IF(COUNTIF($B2:N2,"X")=0, "+", "-") ),
  IF(
    $A2&lt;O$1,
    "O",
    IF( OFFSET(O$1, COLUMN(O2)-1, 0)="-", "O", IF(MOD($A2, O$1)=0, "X", "O") )
  )
)</f>
        <v>O</v>
      </c>
      <c r="P2" s="45" t="str">
        <f ca="1">IF(
  $A2=P$1,
  IF( ROW(P2)=2, "+", IF(COUNTIF($B2:O2,"X")=0, "+", "-") ),
  IF(
    $A2&lt;P$1,
    "O",
    IF( OFFSET(P$1, COLUMN(P2)-1, 0)="-", "O", IF(MOD($A2, P$1)=0, "X", "O") )
  )
)</f>
        <v>O</v>
      </c>
      <c r="Q2" s="45" t="str">
        <f ca="1">IF(
  $A2=Q$1,
  IF( ROW(Q2)=2, "+", IF(COUNTIF($B2:P2,"X")=0, "+", "-") ),
  IF(
    $A2&lt;Q$1,
    "O",
    IF( OFFSET(Q$1, COLUMN(Q2)-1, 0)="-", "O", IF(MOD($A2, Q$1)=0, "X", "O") )
  )
)</f>
        <v>O</v>
      </c>
      <c r="R2" s="45" t="str">
        <f ca="1">IF(
  $A2=R$1,
  IF( ROW(R2)=2, "+", IF(COUNTIF($B2:Q2,"X")=0, "+", "-") ),
  IF(
    $A2&lt;R$1,
    "O",
    IF( OFFSET(R$1, COLUMN(R2)-1, 0)="-", "O", IF(MOD($A2, R$1)=0, "X", "O") )
  )
)</f>
        <v>O</v>
      </c>
      <c r="S2" s="45" t="str">
        <f ca="1">IF(
  $A2=S$1,
  IF( ROW(S2)=2, "+", IF(COUNTIF($B2:R2,"X")=0, "+", "-") ),
  IF(
    $A2&lt;S$1,
    "O",
    IF( OFFSET(S$1, COLUMN(S2)-1, 0)="-", "O", IF(MOD($A2, S$1)=0, "X", "O") )
  )
)</f>
        <v>O</v>
      </c>
      <c r="T2" s="45" t="str">
        <f ca="1">IF(
  $A2=T$1,
  IF( ROW(T2)=2, "+", IF(COUNTIF($B2:S2,"X")=0, "+", "-") ),
  IF(
    $A2&lt;T$1,
    "O",
    IF( OFFSET(T$1, COLUMN(T2)-1, 0)="-", "O", IF(MOD($A2, T$1)=0, "X", "O") )
  )
)</f>
        <v>O</v>
      </c>
      <c r="U2" s="45" t="str">
        <f ca="1">IF(
  $A2=U$1,
  IF( ROW(U2)=2, "+", IF(COUNTIF($B2:T2,"X")=0, "+", "-") ),
  IF(
    $A2&lt;U$1,
    "O",
    IF( OFFSET(U$1, COLUMN(U2)-1, 0)="-", "O", IF(MOD($A2, U$1)=0, "X", "O") )
  )
)</f>
        <v>O</v>
      </c>
      <c r="V2" s="45" t="str">
        <f ca="1">IF(
  $A2=V$1,
  IF( ROW(V2)=2, "+", IF(COUNTIF($B2:U2,"X")=0, "+", "-") ),
  IF(
    $A2&lt;V$1,
    "O",
    IF( OFFSET(V$1, COLUMN(V2)-1, 0)="-", "O", IF(MOD($A2, V$1)=0, "X", "O") )
  )
)</f>
        <v>O</v>
      </c>
      <c r="W2" s="45" t="str">
        <f ca="1">IF(
  $A2=W$1,
  IF( ROW(W2)=2, "+", IF(COUNTIF($B2:V2,"X")=0, "+", "-") ),
  IF(
    $A2&lt;W$1,
    "O",
    IF( OFFSET(W$1, COLUMN(W2)-1, 0)="-", "O", IF(MOD($A2, W$1)=0, "X", "O") )
  )
)</f>
        <v>O</v>
      </c>
      <c r="X2" s="45" t="str">
        <f ca="1">IF(
  $A2=X$1,
  IF( ROW(X2)=2, "+", IF(COUNTIF($B2:W2,"X")=0, "+", "-") ),
  IF(
    $A2&lt;X$1,
    "O",
    IF( OFFSET(X$1, COLUMN(X2)-1, 0)="-", "O", IF(MOD($A2, X$1)=0, "X", "O") )
  )
)</f>
        <v>O</v>
      </c>
      <c r="Y2" s="45" t="str">
        <f ca="1">IF(
  $A2=Y$1,
  IF( ROW(Y2)=2, "+", IF(COUNTIF($B2:X2,"X")=0, "+", "-") ),
  IF(
    $A2&lt;Y$1,
    "O",
    IF( OFFSET(Y$1, COLUMN(Y2)-1, 0)="-", "O", IF(MOD($A2, Y$1)=0, "X", "O") )
  )
)</f>
        <v>O</v>
      </c>
      <c r="Z2" s="45" t="str">
        <f ca="1">IF(
  $A2=Z$1,
  IF( ROW(Z2)=2, "+", IF(COUNTIF($B2:Y2,"X")=0, "+", "-") ),
  IF(
    $A2&lt;Z$1,
    "O",
    IF( OFFSET(Z$1, COLUMN(Z2)-1, 0)="-", "O", IF(MOD($A2, Z$1)=0, "X", "O") )
  )
)</f>
        <v>O</v>
      </c>
      <c r="AA2" s="45" t="str">
        <f ca="1">IF(
  $A2=AA$1,
  IF( ROW(AA2)=2, "+", IF(COUNTIF($B2:Z2,"X")=0, "+", "-") ),
  IF(
    $A2&lt;AA$1,
    "O",
    IF( OFFSET(AA$1, COLUMN(AA2)-1, 0)="-", "O", IF(MOD($A2, AA$1)=0, "X", "O") )
  )
)</f>
        <v>O</v>
      </c>
      <c r="AB2" s="45" t="str">
        <f ca="1">IF(
  $A2=AB$1,
  IF( ROW(AB2)=2, "+", IF(COUNTIF($B2:AA2,"X")=0, "+", "-") ),
  IF(
    $A2&lt;AB$1,
    "O",
    IF( OFFSET(AB$1, COLUMN(AB2)-1, 0)="-", "O", IF(MOD($A2, AB$1)=0, "X", "O") )
  )
)</f>
        <v>O</v>
      </c>
      <c r="AC2" s="45" t="str">
        <f ca="1">IF(
  $A2=AC$1,
  IF( ROW(AC2)=2, "+", IF(COUNTIF($B2:AB2,"X")=0, "+", "-") ),
  IF(
    $A2&lt;AC$1,
    "O",
    IF( OFFSET(AC$1, COLUMN(AC2)-1, 0)="-", "O", IF(MOD($A2, AC$1)=0, "X", "O") )
  )
)</f>
        <v>O</v>
      </c>
      <c r="AD2" s="45" t="str">
        <f ca="1">IF(
  $A2=AD$1,
  IF( ROW(AD2)=2, "+", IF(COUNTIF($B2:AC2,"X")=0, "+", "-") ),
  IF(
    $A2&lt;AD$1,
    "O",
    IF( OFFSET(AD$1, COLUMN(AD2)-1, 0)="-", "O", IF(MOD($A2, AD$1)=0, "X", "O") )
  )
)</f>
        <v>O</v>
      </c>
      <c r="AE2" s="45" t="str">
        <f ca="1">IF(
  $A2=AE$1,
  IF( ROW(AE2)=2, "+", IF(COUNTIF($B2:AD2,"X")=0, "+", "-") ),
  IF(
    $A2&lt;AE$1,
    "O",
    IF( OFFSET(AE$1, COLUMN(AE2)-1, 0)="-", "O", IF(MOD($A2, AE$1)=0, "X", "O") )
  )
)</f>
        <v>O</v>
      </c>
      <c r="AF2" s="45" t="str">
        <f ca="1">IF(
  $A2=AF$1,
  IF( ROW(AF2)=2, "+", IF(COUNTIF($B2:AE2,"X")=0, "+", "-") ),
  IF(
    $A2&lt;AF$1,
    "O",
    IF( OFFSET(AF$1, COLUMN(AF2)-1, 0)="-", "O", IF(MOD($A2, AF$1)=0, "X", "O") )
  )
)</f>
        <v>O</v>
      </c>
      <c r="AG2" s="45" t="str">
        <f ca="1">IF(
  $A2=AG$1,
  IF( ROW(AG2)=2, "+", IF(COUNTIF($B2:AF2,"X")=0, "+", "-") ),
  IF(
    $A2&lt;AG$1,
    "O",
    IF( OFFSET(AG$1, COLUMN(AG2)-1, 0)="-", "O", IF(MOD($A2, AG$1)=0, "X", "O") )
  )
)</f>
        <v>O</v>
      </c>
      <c r="AH2" s="45" t="str">
        <f ca="1">IF(
  $A2=AH$1,
  IF( ROW(AH2)=2, "+", IF(COUNTIF($B2:AG2,"X")=0, "+", "-") ),
  IF(
    $A2&lt;AH$1,
    "O",
    IF( OFFSET(AH$1, COLUMN(AH2)-1, 0)="-", "O", IF(MOD($A2, AH$1)=0, "X", "O") )
  )
)</f>
        <v>O</v>
      </c>
      <c r="AI2" s="45" t="str">
        <f ca="1">IF(
  $A2=AI$1,
  IF( ROW(AI2)=2, "+", IF(COUNTIF($B2:AH2,"X")=0, "+", "-") ),
  IF(
    $A2&lt;AI$1,
    "O",
    IF( OFFSET(AI$1, COLUMN(AI2)-1, 0)="-", "O", IF(MOD($A2, AI$1)=0, "X", "O") )
  )
)</f>
        <v>O</v>
      </c>
      <c r="AJ2" s="45" t="str">
        <f ca="1">IF(
  $A2=AJ$1,
  IF( ROW(AJ2)=2, "+", IF(COUNTIF($B2:AI2,"X")=0, "+", "-") ),
  IF(
    $A2&lt;AJ$1,
    "O",
    IF( OFFSET(AJ$1, COLUMN(AJ2)-1, 0)="-", "O", IF(MOD($A2, AJ$1)=0, "X", "O") )
  )
)</f>
        <v>O</v>
      </c>
      <c r="AK2" s="45" t="str">
        <f ca="1">IF(
  $A2=AK$1,
  IF( ROW(AK2)=2, "+", IF(COUNTIF($B2:AJ2,"X")=0, "+", "-") ),
  IF(
    $A2&lt;AK$1,
    "O",
    IF( OFFSET(AK$1, COLUMN(AK2)-1, 0)="-", "O", IF(MOD($A2, AK$1)=0, "X", "O") )
  )
)</f>
        <v>O</v>
      </c>
      <c r="AL2" s="45" t="str">
        <f ca="1">IF(
  $A2=AL$1,
  IF( ROW(AL2)=2, "+", IF(COUNTIF($B2:AK2,"X")=0, "+", "-") ),
  IF(
    $A2&lt;AL$1,
    "O",
    IF( OFFSET(AL$1, COLUMN(AL2)-1, 0)="-", "O", IF(MOD($A2, AL$1)=0, "X", "O") )
  )
)</f>
        <v>O</v>
      </c>
      <c r="AM2" s="45" t="str">
        <f ca="1">IF(
  $A2=AM$1,
  IF( ROW(AM2)=2, "+", IF(COUNTIF($B2:AL2,"X")=0, "+", "-") ),
  IF(
    $A2&lt;AM$1,
    "O",
    IF( OFFSET(AM$1, COLUMN(AM2)-1, 0)="-", "O", IF(MOD($A2, AM$1)=0, "X", "O") )
  )
)</f>
        <v>O</v>
      </c>
      <c r="AN2" s="45" t="str">
        <f ca="1">IF(
  $A2=AN$1,
  IF( ROW(AN2)=2, "+", IF(COUNTIF($B2:AM2,"X")=0, "+", "-") ),
  IF(
    $A2&lt;AN$1,
    "O",
    IF( OFFSET(AN$1, COLUMN(AN2)-1, 0)="-", "O", IF(MOD($A2, AN$1)=0, "X", "O") )
  )
)</f>
        <v>O</v>
      </c>
      <c r="AO2" s="45" t="str">
        <f ca="1">IF(
  $A2=AO$1,
  IF( ROW(AO2)=2, "+", IF(COUNTIF($B2:AN2,"X")=0, "+", "-") ),
  IF(
    $A2&lt;AO$1,
    "O",
    IF( OFFSET(AO$1, COLUMN(AO2)-1, 0)="-", "O", IF(MOD($A2, AO$1)=0, "X", "O") )
  )
)</f>
        <v>O</v>
      </c>
      <c r="AP2" s="45" t="str">
        <f ca="1">IF(
  $A2=AP$1,
  IF( ROW(AP2)=2, "+", IF(COUNTIF($B2:AO2,"X")=0, "+", "-") ),
  IF(
    $A2&lt;AP$1,
    "O",
    IF( OFFSET(AP$1, COLUMN(AP2)-1, 0)="-", "O", IF(MOD($A2, AP$1)=0, "X", "O") )
  )
)</f>
        <v>O</v>
      </c>
      <c r="AQ2" s="45" t="str">
        <f ca="1">IF(
  $A2=AQ$1,
  IF( ROW(AQ2)=2, "+", IF(COUNTIF($B2:AP2,"X")=0, "+", "-") ),
  IF(
    $A2&lt;AQ$1,
    "O",
    IF( OFFSET(AQ$1, COLUMN(AQ2)-1, 0)="-", "O", IF(MOD($A2, AQ$1)=0, "X", "O") )
  )
)</f>
        <v>O</v>
      </c>
      <c r="AR2" s="45" t="str">
        <f ca="1">IF(
  $A2=AR$1,
  IF( ROW(AR2)=2, "+", IF(COUNTIF($B2:AQ2,"X")=0, "+", "-") ),
  IF(
    $A2&lt;AR$1,
    "O",
    IF( OFFSET(AR$1, COLUMN(AR2)-1, 0)="-", "O", IF(MOD($A2, AR$1)=0, "X", "O") )
  )
)</f>
        <v>O</v>
      </c>
      <c r="AS2" s="45" t="str">
        <f ca="1">IF(
  $A2=AS$1,
  IF( ROW(AS2)=2, "+", IF(COUNTIF($B2:AR2,"X")=0, "+", "-") ),
  IF(
    $A2&lt;AS$1,
    "O",
    IF( OFFSET(AS$1, COLUMN(AS2)-1, 0)="-", "O", IF(MOD($A2, AS$1)=0, "X", "O") )
  )
)</f>
        <v>O</v>
      </c>
      <c r="AT2" s="45" t="str">
        <f ca="1">IF(
  $A2=AT$1,
  IF( ROW(AT2)=2, "+", IF(COUNTIF($B2:AS2,"X")=0, "+", "-") ),
  IF(
    $A2&lt;AT$1,
    "O",
    IF( OFFSET(AT$1, COLUMN(AT2)-1, 0)="-", "O", IF(MOD($A2, AT$1)=0, "X", "O") )
  )
)</f>
        <v>O</v>
      </c>
      <c r="AU2" s="45" t="str">
        <f ca="1">IF(
  $A2=AU$1,
  IF( ROW(AU2)=2, "+", IF(COUNTIF($B2:AT2,"X")=0, "+", "-") ),
  IF(
    $A2&lt;AU$1,
    "O",
    IF( OFFSET(AU$1, COLUMN(AU2)-1, 0)="-", "O", IF(MOD($A2, AU$1)=0, "X", "O") )
  )
)</f>
        <v>O</v>
      </c>
      <c r="AV2" s="45" t="str">
        <f ca="1">IF(
  $A2=AV$1,
  IF( ROW(AV2)=2, "+", IF(COUNTIF($B2:AU2,"X")=0, "+", "-") ),
  IF(
    $A2&lt;AV$1,
    "O",
    IF( OFFSET(AV$1, COLUMN(AV2)-1, 0)="-", "O", IF(MOD($A2, AV$1)=0, "X", "O") )
  )
)</f>
        <v>O</v>
      </c>
      <c r="AW2" s="45" t="str">
        <f ca="1">IF(
  $A2=AW$1,
  IF( ROW(AW2)=2, "+", IF(COUNTIF($B2:AV2,"X")=0, "+", "-") ),
  IF(
    $A2&lt;AW$1,
    "O",
    IF( OFFSET(AW$1, COLUMN(AW2)-1, 0)="-", "O", IF(MOD($A2, AW$1)=0, "X", "O") )
  )
)</f>
        <v>O</v>
      </c>
      <c r="AX2" s="45" t="str">
        <f ca="1">IF(
  $A2=AX$1,
  IF( ROW(AX2)=2, "+", IF(COUNTIF($B2:AW2,"X")=0, "+", "-") ),
  IF(
    $A2&lt;AX$1,
    "O",
    IF( OFFSET(AX$1, COLUMN(AX2)-1, 0)="-", "O", IF(MOD($A2, AX$1)=0, "X", "O") )
  )
)</f>
        <v>O</v>
      </c>
      <c r="AY2" s="45" t="str">
        <f ca="1">IF(
  $A2=AY$1,
  IF( ROW(AY2)=2, "+", IF(COUNTIF($B2:AX2,"X")=0, "+", "-") ),
  IF(
    $A2&lt;AY$1,
    "O",
    IF( OFFSET(AY$1, COLUMN(AY2)-1, 0)="-", "O", IF(MOD($A2, AY$1)=0, "X", "O") )
  )
)</f>
        <v>O</v>
      </c>
      <c r="AZ2" s="45" t="str">
        <f ca="1">IF(
  $A2=AZ$1,
  IF( ROW(AZ2)=2, "+", IF(COUNTIF($B2:AY2,"X")=0, "+", "-") ),
  IF(
    $A2&lt;AZ$1,
    "O",
    IF( OFFSET(AZ$1, COLUMN(AZ2)-1, 0)="-", "O", IF(MOD($A2, AZ$1)=0, "X", "O") )
  )
)</f>
        <v>O</v>
      </c>
      <c r="BA2" s="45" t="str">
        <f ca="1">IF(
  $A2=BA$1,
  IF( ROW(BA2)=2, "+", IF(COUNTIF($B2:AZ2,"X")=0, "+", "-") ),
  IF(
    $A2&lt;BA$1,
    "O",
    IF( OFFSET(BA$1, COLUMN(BA2)-1, 0)="-", "O", IF(MOD($A2, BA$1)=0, "X", "O") )
  )
)</f>
        <v>O</v>
      </c>
      <c r="BB2" s="45" t="str">
        <f ca="1">IF(
  $A2=BB$1,
  IF( ROW(BB2)=2, "+", IF(COUNTIF($B2:BA2,"X")=0, "+", "-") ),
  IF(
    $A2&lt;BB$1,
    "O",
    IF( OFFSET(BB$1, COLUMN(BB2)-1, 0)="-", "O", IF(MOD($A2, BB$1)=0, "X", "O") )
  )
)</f>
        <v>O</v>
      </c>
      <c r="BC2" s="45" t="str">
        <f ca="1">IF(
  $A2=BC$1,
  IF( ROW(BC2)=2, "+", IF(COUNTIF($B2:BB2,"X")=0, "+", "-") ),
  IF(
    $A2&lt;BC$1,
    "O",
    IF( OFFSET(BC$1, COLUMN(BC2)-1, 0)="-", "O", IF(MOD($A2, BC$1)=0, "X", "O") )
  )
)</f>
        <v>O</v>
      </c>
      <c r="BD2" s="45" t="str">
        <f ca="1">IF(
  $A2=BD$1,
  IF( ROW(BD2)=2, "+", IF(COUNTIF($B2:BC2,"X")=0, "+", "-") ),
  IF(
    $A2&lt;BD$1,
    "O",
    IF( OFFSET(BD$1, COLUMN(BD2)-1, 0)="-", "O", IF(MOD($A2, BD$1)=0, "X", "O") )
  )
)</f>
        <v>O</v>
      </c>
      <c r="BE2" s="45" t="str">
        <f ca="1">IF(
  $A2=BE$1,
  IF( ROW(BE2)=2, "+", IF(COUNTIF($B2:BD2,"X")=0, "+", "-") ),
  IF(
    $A2&lt;BE$1,
    "O",
    IF( OFFSET(BE$1, COLUMN(BE2)-1, 0)="-", "O", IF(MOD($A2, BE$1)=0, "X", "O") )
  )
)</f>
        <v>O</v>
      </c>
      <c r="BF2" s="45" t="str">
        <f ca="1">IF(
  $A2=BF$1,
  IF( ROW(BF2)=2, "+", IF(COUNTIF($B2:BE2,"X")=0, "+", "-") ),
  IF(
    $A2&lt;BF$1,
    "O",
    IF( OFFSET(BF$1, COLUMN(BF2)-1, 0)="-", "O", IF(MOD($A2, BF$1)=0, "X", "O") )
  )
)</f>
        <v>O</v>
      </c>
      <c r="BG2" s="45" t="str">
        <f ca="1">IF(
  $A2=BG$1,
  IF( ROW(BG2)=2, "+", IF(COUNTIF($B2:BF2,"X")=0, "+", "-") ),
  IF(
    $A2&lt;BG$1,
    "O",
    IF( OFFSET(BG$1, COLUMN(BG2)-1, 0)="-", "O", IF(MOD($A2, BG$1)=0, "X", "O") )
  )
)</f>
        <v>O</v>
      </c>
      <c r="BH2" s="45" t="str">
        <f ca="1">IF(
  $A2=BH$1,
  IF( ROW(BH2)=2, "+", IF(COUNTIF($B2:BG2,"X")=0, "+", "-") ),
  IF(
    $A2&lt;BH$1,
    "O",
    IF( OFFSET(BH$1, COLUMN(BH2)-1, 0)="-", "O", IF(MOD($A2, BH$1)=0, "X", "O") )
  )
)</f>
        <v>O</v>
      </c>
      <c r="BJ2" s="45"/>
    </row>
    <row r="3" spans="1:62" s="46" customFormat="1" x14ac:dyDescent="0.25">
      <c r="A3">
        <v>3</v>
      </c>
      <c r="B3" s="44" t="str">
        <f ca="1">IF(
  $A3=B$1,
  IF( ROW(B3)=2, "+", IF(COUNTIF(A3:$B3,"X")=0, "+", "-") ),
  IF(
    $A3&lt;B$1,
    "O",
    IF( OFFSET(B$1, COLUMN(B3)-1, 0)="-", "O", IF(MOD($A3, B$1)=0, "X", "O") )
  )
)</f>
        <v>O</v>
      </c>
      <c r="C3" s="44" t="str">
        <f ca="1">IF(
  $A3=C$1,
  IF( ROW(C3)=2, "+", IF(COUNTIF(B3:$B3,"X")=0, "+", "-") ),
  IF(
    $A3&lt;C$1,
    "O",
    IF( OFFSET(C$1, COLUMN(C3)-1, 0)="-", "O", IF(MOD($A3, C$1)=0, "X", "O") )
  )
)</f>
        <v>+</v>
      </c>
      <c r="D3" s="45" t="str">
        <f ca="1">IF(
  $A3=D$1,
  IF( ROW(D3)=2, "+", IF(COUNTIF($B3:C3,"X")=0, "+", "-") ),
  IF(
    $A3&lt;D$1,
    "O",
    IF( OFFSET(D$1, COLUMN(D3)-1, 0)="-", "O", IF(MOD($A3, D$1)=0, "X", "O") )
  )
)</f>
        <v>O</v>
      </c>
      <c r="E3" s="45" t="str">
        <f ca="1">IF(
  $A3=E$1,
  IF( ROW(E3)=2, "+", IF(COUNTIF($B3:D3,"X")=0, "+", "-") ),
  IF(
    $A3&lt;E$1,
    "O",
    IF( OFFSET(E$1, COLUMN(E3)-1, 0)="-", "O", IF(MOD($A3, E$1)=0, "X", "O") )
  )
)</f>
        <v>O</v>
      </c>
      <c r="F3" s="45" t="str">
        <f ca="1">IF(
  $A3=F$1,
  IF( ROW(F3)=2, "+", IF(COUNTIF($B3:E3,"X")=0, "+", "-") ),
  IF(
    $A3&lt;F$1,
    "O",
    IF( OFFSET(F$1, COLUMN(F3)-1, 0)="-", "O", IF(MOD($A3, F$1)=0, "X", "O") )
  )
)</f>
        <v>O</v>
      </c>
      <c r="G3" s="45" t="str">
        <f ca="1">IF(
  $A3=G$1,
  IF( ROW(G3)=2, "+", IF(COUNTIF($B3:F3,"X")=0, "+", "-") ),
  IF(
    $A3&lt;G$1,
    "O",
    IF( OFFSET(G$1, COLUMN(G3)-1, 0)="-", "O", IF(MOD($A3, G$1)=0, "X", "O") )
  )
)</f>
        <v>O</v>
      </c>
      <c r="H3" s="45" t="str">
        <f ca="1">IF(
  $A3=H$1,
  IF( ROW(H3)=2, "+", IF(COUNTIF($B3:G3,"X")=0, "+", "-") ),
  IF(
    $A3&lt;H$1,
    "O",
    IF( OFFSET(H$1, COLUMN(H3)-1, 0)="-", "O", IF(MOD($A3, H$1)=0, "X", "O") )
  )
)</f>
        <v>O</v>
      </c>
      <c r="I3" s="45" t="str">
        <f ca="1">IF(
  $A3=I$1,
  IF( ROW(I3)=2, "+", IF(COUNTIF($B3:H3,"X")=0, "+", "-") ),
  IF(
    $A3&lt;I$1,
    "O",
    IF( OFFSET(I$1, COLUMN(I3)-1, 0)="-", "O", IF(MOD($A3, I$1)=0, "X", "O") )
  )
)</f>
        <v>O</v>
      </c>
      <c r="J3" s="45" t="str">
        <f ca="1">IF(
  $A3=J$1,
  IF( ROW(J3)=2, "+", IF(COUNTIF($B3:I3,"X")=0, "+", "-") ),
  IF(
    $A3&lt;J$1,
    "O",
    IF( OFFSET(J$1, COLUMN(J3)-1, 0)="-", "O", IF(MOD($A3, J$1)=0, "X", "O") )
  )
)</f>
        <v>O</v>
      </c>
      <c r="K3" s="45" t="str">
        <f ca="1">IF(
  $A3=K$1,
  IF( ROW(K3)=2, "+", IF(COUNTIF($B3:J3,"X")=0, "+", "-") ),
  IF(
    $A3&lt;K$1,
    "O",
    IF( OFFSET(K$1, COLUMN(K3)-1, 0)="-", "O", IF(MOD($A3, K$1)=0, "X", "O") )
  )
)</f>
        <v>O</v>
      </c>
      <c r="L3" s="45" t="str">
        <f ca="1">IF(
  $A3=L$1,
  IF( ROW(L3)=2, "+", IF(COUNTIF($B3:K3,"X")=0, "+", "-") ),
  IF(
    $A3&lt;L$1,
    "O",
    IF( OFFSET(L$1, COLUMN(L3)-1, 0)="-", "O", IF(MOD($A3, L$1)=0, "X", "O") )
  )
)</f>
        <v>O</v>
      </c>
      <c r="M3" s="45" t="str">
        <f ca="1">IF(
  $A3=M$1,
  IF( ROW(M3)=2, "+", IF(COUNTIF($B3:L3,"X")=0, "+", "-") ),
  IF(
    $A3&lt;M$1,
    "O",
    IF( OFFSET(M$1, COLUMN(M3)-1, 0)="-", "O", IF(MOD($A3, M$1)=0, "X", "O") )
  )
)</f>
        <v>O</v>
      </c>
      <c r="N3" s="45" t="str">
        <f ca="1">IF(
  $A3=N$1,
  IF( ROW(N3)=2, "+", IF(COUNTIF($B3:M3,"X")=0, "+", "-") ),
  IF(
    $A3&lt;N$1,
    "O",
    IF( OFFSET(N$1, COLUMN(N3)-1, 0)="-", "O", IF(MOD($A3, N$1)=0, "X", "O") )
  )
)</f>
        <v>O</v>
      </c>
      <c r="O3" s="45" t="str">
        <f ca="1">IF(
  $A3=O$1,
  IF( ROW(O3)=2, "+", IF(COUNTIF($B3:N3,"X")=0, "+", "-") ),
  IF(
    $A3&lt;O$1,
    "O",
    IF( OFFSET(O$1, COLUMN(O3)-1, 0)="-", "O", IF(MOD($A3, O$1)=0, "X", "O") )
  )
)</f>
        <v>O</v>
      </c>
      <c r="P3" s="45" t="str">
        <f ca="1">IF(
  $A3=P$1,
  IF( ROW(P3)=2, "+", IF(COUNTIF($B3:O3,"X")=0, "+", "-") ),
  IF(
    $A3&lt;P$1,
    "O",
    IF( OFFSET(P$1, COLUMN(P3)-1, 0)="-", "O", IF(MOD($A3, P$1)=0, "X", "O") )
  )
)</f>
        <v>O</v>
      </c>
      <c r="Q3" s="45" t="str">
        <f ca="1">IF(
  $A3=Q$1,
  IF( ROW(Q3)=2, "+", IF(COUNTIF($B3:P3,"X")=0, "+", "-") ),
  IF(
    $A3&lt;Q$1,
    "O",
    IF( OFFSET(Q$1, COLUMN(Q3)-1, 0)="-", "O", IF(MOD($A3, Q$1)=0, "X", "O") )
  )
)</f>
        <v>O</v>
      </c>
      <c r="R3" s="45" t="str">
        <f ca="1">IF(
  $A3=R$1,
  IF( ROW(R3)=2, "+", IF(COUNTIF($B3:Q3,"X")=0, "+", "-") ),
  IF(
    $A3&lt;R$1,
    "O",
    IF( OFFSET(R$1, COLUMN(R3)-1, 0)="-", "O", IF(MOD($A3, R$1)=0, "X", "O") )
  )
)</f>
        <v>O</v>
      </c>
      <c r="S3" s="45" t="str">
        <f ca="1">IF(
  $A3=S$1,
  IF( ROW(S3)=2, "+", IF(COUNTIF($B3:R3,"X")=0, "+", "-") ),
  IF(
    $A3&lt;S$1,
    "O",
    IF( OFFSET(S$1, COLUMN(S3)-1, 0)="-", "O", IF(MOD($A3, S$1)=0, "X", "O") )
  )
)</f>
        <v>O</v>
      </c>
      <c r="T3" s="45" t="str">
        <f ca="1">IF(
  $A3=T$1,
  IF( ROW(T3)=2, "+", IF(COUNTIF($B3:S3,"X")=0, "+", "-") ),
  IF(
    $A3&lt;T$1,
    "O",
    IF( OFFSET(T$1, COLUMN(T3)-1, 0)="-", "O", IF(MOD($A3, T$1)=0, "X", "O") )
  )
)</f>
        <v>O</v>
      </c>
      <c r="U3" s="45" t="str">
        <f ca="1">IF(
  $A3=U$1,
  IF( ROW(U3)=2, "+", IF(COUNTIF($B3:T3,"X")=0, "+", "-") ),
  IF(
    $A3&lt;U$1,
    "O",
    IF( OFFSET(U$1, COLUMN(U3)-1, 0)="-", "O", IF(MOD($A3, U$1)=0, "X", "O") )
  )
)</f>
        <v>O</v>
      </c>
      <c r="V3" s="45" t="str">
        <f ca="1">IF(
  $A3=V$1,
  IF( ROW(V3)=2, "+", IF(COUNTIF($B3:U3,"X")=0, "+", "-") ),
  IF(
    $A3&lt;V$1,
    "O",
    IF( OFFSET(V$1, COLUMN(V3)-1, 0)="-", "O", IF(MOD($A3, V$1)=0, "X", "O") )
  )
)</f>
        <v>O</v>
      </c>
      <c r="W3" s="45" t="str">
        <f ca="1">IF(
  $A3=W$1,
  IF( ROW(W3)=2, "+", IF(COUNTIF($B3:V3,"X")=0, "+", "-") ),
  IF(
    $A3&lt;W$1,
    "O",
    IF( OFFSET(W$1, COLUMN(W3)-1, 0)="-", "O", IF(MOD($A3, W$1)=0, "X", "O") )
  )
)</f>
        <v>O</v>
      </c>
      <c r="X3" s="45" t="str">
        <f ca="1">IF(
  $A3=X$1,
  IF( ROW(X3)=2, "+", IF(COUNTIF($B3:W3,"X")=0, "+", "-") ),
  IF(
    $A3&lt;X$1,
    "O",
    IF( OFFSET(X$1, COLUMN(X3)-1, 0)="-", "O", IF(MOD($A3, X$1)=0, "X", "O") )
  )
)</f>
        <v>O</v>
      </c>
      <c r="Y3" s="45" t="str">
        <f ca="1">IF(
  $A3=Y$1,
  IF( ROW(Y3)=2, "+", IF(COUNTIF($B3:X3,"X")=0, "+", "-") ),
  IF(
    $A3&lt;Y$1,
    "O",
    IF( OFFSET(Y$1, COLUMN(Y3)-1, 0)="-", "O", IF(MOD($A3, Y$1)=0, "X", "O") )
  )
)</f>
        <v>O</v>
      </c>
      <c r="Z3" s="45" t="str">
        <f ca="1">IF(
  $A3=Z$1,
  IF( ROW(Z3)=2, "+", IF(COUNTIF($B3:Y3,"X")=0, "+", "-") ),
  IF(
    $A3&lt;Z$1,
    "O",
    IF( OFFSET(Z$1, COLUMN(Z3)-1, 0)="-", "O", IF(MOD($A3, Z$1)=0, "X", "O") )
  )
)</f>
        <v>O</v>
      </c>
      <c r="AA3" s="45" t="str">
        <f ca="1">IF(
  $A3=AA$1,
  IF( ROW(AA3)=2, "+", IF(COUNTIF($B3:Z3,"X")=0, "+", "-") ),
  IF(
    $A3&lt;AA$1,
    "O",
    IF( OFFSET(AA$1, COLUMN(AA3)-1, 0)="-", "O", IF(MOD($A3, AA$1)=0, "X", "O") )
  )
)</f>
        <v>O</v>
      </c>
      <c r="AB3" s="45" t="str">
        <f ca="1">IF(
  $A3=AB$1,
  IF( ROW(AB3)=2, "+", IF(COUNTIF($B3:AA3,"X")=0, "+", "-") ),
  IF(
    $A3&lt;AB$1,
    "O",
    IF( OFFSET(AB$1, COLUMN(AB3)-1, 0)="-", "O", IF(MOD($A3, AB$1)=0, "X", "O") )
  )
)</f>
        <v>O</v>
      </c>
      <c r="AC3" s="45" t="str">
        <f ca="1">IF(
  $A3=AC$1,
  IF( ROW(AC3)=2, "+", IF(COUNTIF($B3:AB3,"X")=0, "+", "-") ),
  IF(
    $A3&lt;AC$1,
    "O",
    IF( OFFSET(AC$1, COLUMN(AC3)-1, 0)="-", "O", IF(MOD($A3, AC$1)=0, "X", "O") )
  )
)</f>
        <v>O</v>
      </c>
      <c r="AD3" s="45" t="str">
        <f ca="1">IF(
  $A3=AD$1,
  IF( ROW(AD3)=2, "+", IF(COUNTIF($B3:AC3,"X")=0, "+", "-") ),
  IF(
    $A3&lt;AD$1,
    "O",
    IF( OFFSET(AD$1, COLUMN(AD3)-1, 0)="-", "O", IF(MOD($A3, AD$1)=0, "X", "O") )
  )
)</f>
        <v>O</v>
      </c>
      <c r="AE3" s="45" t="str">
        <f ca="1">IF(
  $A3=AE$1,
  IF( ROW(AE3)=2, "+", IF(COUNTIF($B3:AD3,"X")=0, "+", "-") ),
  IF(
    $A3&lt;AE$1,
    "O",
    IF( OFFSET(AE$1, COLUMN(AE3)-1, 0)="-", "O", IF(MOD($A3, AE$1)=0, "X", "O") )
  )
)</f>
        <v>O</v>
      </c>
      <c r="AF3" s="45" t="str">
        <f ca="1">IF(
  $A3=AF$1,
  IF( ROW(AF3)=2, "+", IF(COUNTIF($B3:AE3,"X")=0, "+", "-") ),
  IF(
    $A3&lt;AF$1,
    "O",
    IF( OFFSET(AF$1, COLUMN(AF3)-1, 0)="-", "O", IF(MOD($A3, AF$1)=0, "X", "O") )
  )
)</f>
        <v>O</v>
      </c>
      <c r="AG3" s="45" t="str">
        <f ca="1">IF(
  $A3=AG$1,
  IF( ROW(AG3)=2, "+", IF(COUNTIF($B3:AF3,"X")=0, "+", "-") ),
  IF(
    $A3&lt;AG$1,
    "O",
    IF( OFFSET(AG$1, COLUMN(AG3)-1, 0)="-", "O", IF(MOD($A3, AG$1)=0, "X", "O") )
  )
)</f>
        <v>O</v>
      </c>
      <c r="AH3" s="45" t="str">
        <f ca="1">IF(
  $A3=AH$1,
  IF( ROW(AH3)=2, "+", IF(COUNTIF($B3:AG3,"X")=0, "+", "-") ),
  IF(
    $A3&lt;AH$1,
    "O",
    IF( OFFSET(AH$1, COLUMN(AH3)-1, 0)="-", "O", IF(MOD($A3, AH$1)=0, "X", "O") )
  )
)</f>
        <v>O</v>
      </c>
      <c r="AI3" s="45" t="str">
        <f ca="1">IF(
  $A3=AI$1,
  IF( ROW(AI3)=2, "+", IF(COUNTIF($B3:AH3,"X")=0, "+", "-") ),
  IF(
    $A3&lt;AI$1,
    "O",
    IF( OFFSET(AI$1, COLUMN(AI3)-1, 0)="-", "O", IF(MOD($A3, AI$1)=0, "X", "O") )
  )
)</f>
        <v>O</v>
      </c>
      <c r="AJ3" s="45" t="str">
        <f ca="1">IF(
  $A3=AJ$1,
  IF( ROW(AJ3)=2, "+", IF(COUNTIF($B3:AI3,"X")=0, "+", "-") ),
  IF(
    $A3&lt;AJ$1,
    "O",
    IF( OFFSET(AJ$1, COLUMN(AJ3)-1, 0)="-", "O", IF(MOD($A3, AJ$1)=0, "X", "O") )
  )
)</f>
        <v>O</v>
      </c>
      <c r="AK3" s="45" t="str">
        <f ca="1">IF(
  $A3=AK$1,
  IF( ROW(AK3)=2, "+", IF(COUNTIF($B3:AJ3,"X")=0, "+", "-") ),
  IF(
    $A3&lt;AK$1,
    "O",
    IF( OFFSET(AK$1, COLUMN(AK3)-1, 0)="-", "O", IF(MOD($A3, AK$1)=0, "X", "O") )
  )
)</f>
        <v>O</v>
      </c>
      <c r="AL3" s="45" t="str">
        <f ca="1">IF(
  $A3=AL$1,
  IF( ROW(AL3)=2, "+", IF(COUNTIF($B3:AK3,"X")=0, "+", "-") ),
  IF(
    $A3&lt;AL$1,
    "O",
    IF( OFFSET(AL$1, COLUMN(AL3)-1, 0)="-", "O", IF(MOD($A3, AL$1)=0, "X", "O") )
  )
)</f>
        <v>O</v>
      </c>
      <c r="AM3" s="45" t="str">
        <f ca="1">IF(
  $A3=AM$1,
  IF( ROW(AM3)=2, "+", IF(COUNTIF($B3:AL3,"X")=0, "+", "-") ),
  IF(
    $A3&lt;AM$1,
    "O",
    IF( OFFSET(AM$1, COLUMN(AM3)-1, 0)="-", "O", IF(MOD($A3, AM$1)=0, "X", "O") )
  )
)</f>
        <v>O</v>
      </c>
      <c r="AN3" s="45" t="str">
        <f ca="1">IF(
  $A3=AN$1,
  IF( ROW(AN3)=2, "+", IF(COUNTIF($B3:AM3,"X")=0, "+", "-") ),
  IF(
    $A3&lt;AN$1,
    "O",
    IF( OFFSET(AN$1, COLUMN(AN3)-1, 0)="-", "O", IF(MOD($A3, AN$1)=0, "X", "O") )
  )
)</f>
        <v>O</v>
      </c>
      <c r="AO3" s="45" t="str">
        <f ca="1">IF(
  $A3=AO$1,
  IF( ROW(AO3)=2, "+", IF(COUNTIF($B3:AN3,"X")=0, "+", "-") ),
  IF(
    $A3&lt;AO$1,
    "O",
    IF( OFFSET(AO$1, COLUMN(AO3)-1, 0)="-", "O", IF(MOD($A3, AO$1)=0, "X", "O") )
  )
)</f>
        <v>O</v>
      </c>
      <c r="AP3" s="45" t="str">
        <f ca="1">IF(
  $A3=AP$1,
  IF( ROW(AP3)=2, "+", IF(COUNTIF($B3:AO3,"X")=0, "+", "-") ),
  IF(
    $A3&lt;AP$1,
    "O",
    IF( OFFSET(AP$1, COLUMN(AP3)-1, 0)="-", "O", IF(MOD($A3, AP$1)=0, "X", "O") )
  )
)</f>
        <v>O</v>
      </c>
      <c r="AQ3" s="45" t="str">
        <f ca="1">IF(
  $A3=AQ$1,
  IF( ROW(AQ3)=2, "+", IF(COUNTIF($B3:AP3,"X")=0, "+", "-") ),
  IF(
    $A3&lt;AQ$1,
    "O",
    IF( OFFSET(AQ$1, COLUMN(AQ3)-1, 0)="-", "O", IF(MOD($A3, AQ$1)=0, "X", "O") )
  )
)</f>
        <v>O</v>
      </c>
      <c r="AR3" s="45" t="str">
        <f ca="1">IF(
  $A3=AR$1,
  IF( ROW(AR3)=2, "+", IF(COUNTIF($B3:AQ3,"X")=0, "+", "-") ),
  IF(
    $A3&lt;AR$1,
    "O",
    IF( OFFSET(AR$1, COLUMN(AR3)-1, 0)="-", "O", IF(MOD($A3, AR$1)=0, "X", "O") )
  )
)</f>
        <v>O</v>
      </c>
      <c r="AS3" s="45" t="str">
        <f ca="1">IF(
  $A3=AS$1,
  IF( ROW(AS3)=2, "+", IF(COUNTIF($B3:AR3,"X")=0, "+", "-") ),
  IF(
    $A3&lt;AS$1,
    "O",
    IF( OFFSET(AS$1, COLUMN(AS3)-1, 0)="-", "O", IF(MOD($A3, AS$1)=0, "X", "O") )
  )
)</f>
        <v>O</v>
      </c>
      <c r="AT3" s="45" t="str">
        <f ca="1">IF(
  $A3=AT$1,
  IF( ROW(AT3)=2, "+", IF(COUNTIF($B3:AS3,"X")=0, "+", "-") ),
  IF(
    $A3&lt;AT$1,
    "O",
    IF( OFFSET(AT$1, COLUMN(AT3)-1, 0)="-", "O", IF(MOD($A3, AT$1)=0, "X", "O") )
  )
)</f>
        <v>O</v>
      </c>
      <c r="AU3" s="45" t="str">
        <f ca="1">IF(
  $A3=AU$1,
  IF( ROW(AU3)=2, "+", IF(COUNTIF($B3:AT3,"X")=0, "+", "-") ),
  IF(
    $A3&lt;AU$1,
    "O",
    IF( OFFSET(AU$1, COLUMN(AU3)-1, 0)="-", "O", IF(MOD($A3, AU$1)=0, "X", "O") )
  )
)</f>
        <v>O</v>
      </c>
      <c r="AV3" s="45" t="str">
        <f ca="1">IF(
  $A3=AV$1,
  IF( ROW(AV3)=2, "+", IF(COUNTIF($B3:AU3,"X")=0, "+", "-") ),
  IF(
    $A3&lt;AV$1,
    "O",
    IF( OFFSET(AV$1, COLUMN(AV3)-1, 0)="-", "O", IF(MOD($A3, AV$1)=0, "X", "O") )
  )
)</f>
        <v>O</v>
      </c>
      <c r="AW3" s="45" t="str">
        <f ca="1">IF(
  $A3=AW$1,
  IF( ROW(AW3)=2, "+", IF(COUNTIF($B3:AV3,"X")=0, "+", "-") ),
  IF(
    $A3&lt;AW$1,
    "O",
    IF( OFFSET(AW$1, COLUMN(AW3)-1, 0)="-", "O", IF(MOD($A3, AW$1)=0, "X", "O") )
  )
)</f>
        <v>O</v>
      </c>
      <c r="AX3" s="45" t="str">
        <f ca="1">IF(
  $A3=AX$1,
  IF( ROW(AX3)=2, "+", IF(COUNTIF($B3:AW3,"X")=0, "+", "-") ),
  IF(
    $A3&lt;AX$1,
    "O",
    IF( OFFSET(AX$1, COLUMN(AX3)-1, 0)="-", "O", IF(MOD($A3, AX$1)=0, "X", "O") )
  )
)</f>
        <v>O</v>
      </c>
      <c r="AY3" s="45" t="str">
        <f ca="1">IF(
  $A3=AY$1,
  IF( ROW(AY3)=2, "+", IF(COUNTIF($B3:AX3,"X")=0, "+", "-") ),
  IF(
    $A3&lt;AY$1,
    "O",
    IF( OFFSET(AY$1, COLUMN(AY3)-1, 0)="-", "O", IF(MOD($A3, AY$1)=0, "X", "O") )
  )
)</f>
        <v>O</v>
      </c>
      <c r="AZ3" s="45" t="str">
        <f ca="1">IF(
  $A3=AZ$1,
  IF( ROW(AZ3)=2, "+", IF(COUNTIF($B3:AY3,"X")=0, "+", "-") ),
  IF(
    $A3&lt;AZ$1,
    "O",
    IF( OFFSET(AZ$1, COLUMN(AZ3)-1, 0)="-", "O", IF(MOD($A3, AZ$1)=0, "X", "O") )
  )
)</f>
        <v>O</v>
      </c>
      <c r="BA3" s="45" t="str">
        <f ca="1">IF(
  $A3=BA$1,
  IF( ROW(BA3)=2, "+", IF(COUNTIF($B3:AZ3,"X")=0, "+", "-") ),
  IF(
    $A3&lt;BA$1,
    "O",
    IF( OFFSET(BA$1, COLUMN(BA3)-1, 0)="-", "O", IF(MOD($A3, BA$1)=0, "X", "O") )
  )
)</f>
        <v>O</v>
      </c>
      <c r="BB3" s="45" t="str">
        <f ca="1">IF(
  $A3=BB$1,
  IF( ROW(BB3)=2, "+", IF(COUNTIF($B3:BA3,"X")=0, "+", "-") ),
  IF(
    $A3&lt;BB$1,
    "O",
    IF( OFFSET(BB$1, COLUMN(BB3)-1, 0)="-", "O", IF(MOD($A3, BB$1)=0, "X", "O") )
  )
)</f>
        <v>O</v>
      </c>
      <c r="BC3" s="45" t="str">
        <f ca="1">IF(
  $A3=BC$1,
  IF( ROW(BC3)=2, "+", IF(COUNTIF($B3:BB3,"X")=0, "+", "-") ),
  IF(
    $A3&lt;BC$1,
    "O",
    IF( OFFSET(BC$1, COLUMN(BC3)-1, 0)="-", "O", IF(MOD($A3, BC$1)=0, "X", "O") )
  )
)</f>
        <v>O</v>
      </c>
      <c r="BD3" s="45" t="str">
        <f ca="1">IF(
  $A3=BD$1,
  IF( ROW(BD3)=2, "+", IF(COUNTIF($B3:BC3,"X")=0, "+", "-") ),
  IF(
    $A3&lt;BD$1,
    "O",
    IF( OFFSET(BD$1, COLUMN(BD3)-1, 0)="-", "O", IF(MOD($A3, BD$1)=0, "X", "O") )
  )
)</f>
        <v>O</v>
      </c>
      <c r="BE3" s="45" t="str">
        <f ca="1">IF(
  $A3=BE$1,
  IF( ROW(BE3)=2, "+", IF(COUNTIF($B3:BD3,"X")=0, "+", "-") ),
  IF(
    $A3&lt;BE$1,
    "O",
    IF( OFFSET(BE$1, COLUMN(BE3)-1, 0)="-", "O", IF(MOD($A3, BE$1)=0, "X", "O") )
  )
)</f>
        <v>O</v>
      </c>
      <c r="BF3" s="45" t="str">
        <f ca="1">IF(
  $A3=BF$1,
  IF( ROW(BF3)=2, "+", IF(COUNTIF($B3:BE3,"X")=0, "+", "-") ),
  IF(
    $A3&lt;BF$1,
    "O",
    IF( OFFSET(BF$1, COLUMN(BF3)-1, 0)="-", "O", IF(MOD($A3, BF$1)=0, "X", "O") )
  )
)</f>
        <v>O</v>
      </c>
      <c r="BG3" s="45" t="str">
        <f ca="1">IF(
  $A3=BG$1,
  IF( ROW(BG3)=2, "+", IF(COUNTIF($B3:BF3,"X")=0, "+", "-") ),
  IF(
    $A3&lt;BG$1,
    "O",
    IF( OFFSET(BG$1, COLUMN(BG3)-1, 0)="-", "O", IF(MOD($A3, BG$1)=0, "X", "O") )
  )
)</f>
        <v>O</v>
      </c>
      <c r="BH3" s="45" t="str">
        <f ca="1">IF(
  $A3=BH$1,
  IF( ROW(BH3)=2, "+", IF(COUNTIF($B3:BG3,"X")=0, "+", "-") ),
  IF(
    $A3&lt;BH$1,
    "O",
    IF( OFFSET(BH$1, COLUMN(BH3)-1, 0)="-", "O", IF(MOD($A3, BH$1)=0, "X", "O") )
  )
)</f>
        <v>O</v>
      </c>
    </row>
    <row r="4" spans="1:62" s="46" customFormat="1" x14ac:dyDescent="0.25">
      <c r="A4">
        <v>4</v>
      </c>
      <c r="B4" s="44" t="str">
        <f ca="1">IF(
  $A4=B$1,
  IF( ROW(B4)=2, "+", IF(COUNTIF(A4:$B4,"X")=0, "+", "-") ),
  IF(
    $A4&lt;B$1,
    "O",
    IF( OFFSET(B$1, COLUMN(B4)-1, 0)="-", "O", IF(MOD($A4, B$1)=0, "X", "O") )
  )
)</f>
        <v>X</v>
      </c>
      <c r="C4" s="44" t="str">
        <f ca="1">IF(
  $A4=C$1,
  IF( ROW(C4)=2, "+", IF(COUNTIF(B4:$B4,"X")=0, "+", "-") ),
  IF(
    $A4&lt;C$1,
    "O",
    IF( OFFSET(C$1, COLUMN(C4)-1, 0)="-", "O", IF(MOD($A4, C$1)=0, "X", "O") )
  )
)</f>
        <v>O</v>
      </c>
      <c r="D4" s="45" t="str">
        <f ca="1">IF(
  $A4=D$1,
  IF( ROW(D4)=2, "+", IF(COUNTIF($B4:C4,"X")=0, "+", "-") ),
  IF(
    $A4&lt;D$1,
    "O",
    IF( OFFSET(D$1, COLUMN(D4)-1, 0)="-", "O", IF(MOD($A4, D$1)=0, "X", "O") )
  )
)</f>
        <v>-</v>
      </c>
      <c r="E4" s="45" t="str">
        <f ca="1">IF(
  $A4=E$1,
  IF( ROW(E4)=2, "+", IF(COUNTIF($B4:D4,"X")=0, "+", "-") ),
  IF(
    $A4&lt;E$1,
    "O",
    IF( OFFSET(E$1, COLUMN(E4)-1, 0)="-", "O", IF(MOD($A4, E$1)=0, "X", "O") )
  )
)</f>
        <v>O</v>
      </c>
      <c r="F4" s="45" t="str">
        <f ca="1">IF(
  $A4=F$1,
  IF( ROW(F4)=2, "+", IF(COUNTIF($B4:E4,"X")=0, "+", "-") ),
  IF(
    $A4&lt;F$1,
    "O",
    IF( OFFSET(F$1, COLUMN(F4)-1, 0)="-", "O", IF(MOD($A4, F$1)=0, "X", "O") )
  )
)</f>
        <v>O</v>
      </c>
      <c r="G4" s="45" t="str">
        <f ca="1">IF(
  $A4=G$1,
  IF( ROW(G4)=2, "+", IF(COUNTIF($B4:F4,"X")=0, "+", "-") ),
  IF(
    $A4&lt;G$1,
    "O",
    IF( OFFSET(G$1, COLUMN(G4)-1, 0)="-", "O", IF(MOD($A4, G$1)=0, "X", "O") )
  )
)</f>
        <v>O</v>
      </c>
      <c r="H4" s="45" t="str">
        <f ca="1">IF(
  $A4=H$1,
  IF( ROW(H4)=2, "+", IF(COUNTIF($B4:G4,"X")=0, "+", "-") ),
  IF(
    $A4&lt;H$1,
    "O",
    IF( OFFSET(H$1, COLUMN(H4)-1, 0)="-", "O", IF(MOD($A4, H$1)=0, "X", "O") )
  )
)</f>
        <v>O</v>
      </c>
      <c r="I4" s="45" t="str">
        <f ca="1">IF(
  $A4=I$1,
  IF( ROW(I4)=2, "+", IF(COUNTIF($B4:H4,"X")=0, "+", "-") ),
  IF(
    $A4&lt;I$1,
    "O",
    IF( OFFSET(I$1, COLUMN(I4)-1, 0)="-", "O", IF(MOD($A4, I$1)=0, "X", "O") )
  )
)</f>
        <v>O</v>
      </c>
      <c r="J4" s="45" t="str">
        <f ca="1">IF(
  $A4=J$1,
  IF( ROW(J4)=2, "+", IF(COUNTIF($B4:I4,"X")=0, "+", "-") ),
  IF(
    $A4&lt;J$1,
    "O",
    IF( OFFSET(J$1, COLUMN(J4)-1, 0)="-", "O", IF(MOD($A4, J$1)=0, "X", "O") )
  )
)</f>
        <v>O</v>
      </c>
      <c r="K4" s="45" t="str">
        <f ca="1">IF(
  $A4=K$1,
  IF( ROW(K4)=2, "+", IF(COUNTIF($B4:J4,"X")=0, "+", "-") ),
  IF(
    $A4&lt;K$1,
    "O",
    IF( OFFSET(K$1, COLUMN(K4)-1, 0)="-", "O", IF(MOD($A4, K$1)=0, "X", "O") )
  )
)</f>
        <v>O</v>
      </c>
      <c r="L4" s="45" t="str">
        <f ca="1">IF(
  $A4=L$1,
  IF( ROW(L4)=2, "+", IF(COUNTIF($B4:K4,"X")=0, "+", "-") ),
  IF(
    $A4&lt;L$1,
    "O",
    IF( OFFSET(L$1, COLUMN(L4)-1, 0)="-", "O", IF(MOD($A4, L$1)=0, "X", "O") )
  )
)</f>
        <v>O</v>
      </c>
      <c r="M4" s="45" t="str">
        <f ca="1">IF(
  $A4=M$1,
  IF( ROW(M4)=2, "+", IF(COUNTIF($B4:L4,"X")=0, "+", "-") ),
  IF(
    $A4&lt;M$1,
    "O",
    IF( OFFSET(M$1, COLUMN(M4)-1, 0)="-", "O", IF(MOD($A4, M$1)=0, "X", "O") )
  )
)</f>
        <v>O</v>
      </c>
      <c r="N4" s="45" t="str">
        <f ca="1">IF(
  $A4=N$1,
  IF( ROW(N4)=2, "+", IF(COUNTIF($B4:M4,"X")=0, "+", "-") ),
  IF(
    $A4&lt;N$1,
    "O",
    IF( OFFSET(N$1, COLUMN(N4)-1, 0)="-", "O", IF(MOD($A4, N$1)=0, "X", "O") )
  )
)</f>
        <v>O</v>
      </c>
      <c r="O4" s="45" t="str">
        <f ca="1">IF(
  $A4=O$1,
  IF( ROW(O4)=2, "+", IF(COUNTIF($B4:N4,"X")=0, "+", "-") ),
  IF(
    $A4&lt;O$1,
    "O",
    IF( OFFSET(O$1, COLUMN(O4)-1, 0)="-", "O", IF(MOD($A4, O$1)=0, "X", "O") )
  )
)</f>
        <v>O</v>
      </c>
      <c r="P4" s="45" t="str">
        <f ca="1">IF(
  $A4=P$1,
  IF( ROW(P4)=2, "+", IF(COUNTIF($B4:O4,"X")=0, "+", "-") ),
  IF(
    $A4&lt;P$1,
    "O",
    IF( OFFSET(P$1, COLUMN(P4)-1, 0)="-", "O", IF(MOD($A4, P$1)=0, "X", "O") )
  )
)</f>
        <v>O</v>
      </c>
      <c r="Q4" s="45" t="str">
        <f ca="1">IF(
  $A4=Q$1,
  IF( ROW(Q4)=2, "+", IF(COUNTIF($B4:P4,"X")=0, "+", "-") ),
  IF(
    $A4&lt;Q$1,
    "O",
    IF( OFFSET(Q$1, COLUMN(Q4)-1, 0)="-", "O", IF(MOD($A4, Q$1)=0, "X", "O") )
  )
)</f>
        <v>O</v>
      </c>
      <c r="R4" s="45" t="str">
        <f ca="1">IF(
  $A4=R$1,
  IF( ROW(R4)=2, "+", IF(COUNTIF($B4:Q4,"X")=0, "+", "-") ),
  IF(
    $A4&lt;R$1,
    "O",
    IF( OFFSET(R$1, COLUMN(R4)-1, 0)="-", "O", IF(MOD($A4, R$1)=0, "X", "O") )
  )
)</f>
        <v>O</v>
      </c>
      <c r="S4" s="45" t="str">
        <f ca="1">IF(
  $A4=S$1,
  IF( ROW(S4)=2, "+", IF(COUNTIF($B4:R4,"X")=0, "+", "-") ),
  IF(
    $A4&lt;S$1,
    "O",
    IF( OFFSET(S$1, COLUMN(S4)-1, 0)="-", "O", IF(MOD($A4, S$1)=0, "X", "O") )
  )
)</f>
        <v>O</v>
      </c>
      <c r="T4" s="45" t="str">
        <f ca="1">IF(
  $A4=T$1,
  IF( ROW(T4)=2, "+", IF(COUNTIF($B4:S4,"X")=0, "+", "-") ),
  IF(
    $A4&lt;T$1,
    "O",
    IF( OFFSET(T$1, COLUMN(T4)-1, 0)="-", "O", IF(MOD($A4, T$1)=0, "X", "O") )
  )
)</f>
        <v>O</v>
      </c>
      <c r="U4" s="45" t="str">
        <f ca="1">IF(
  $A4=U$1,
  IF( ROW(U4)=2, "+", IF(COUNTIF($B4:T4,"X")=0, "+", "-") ),
  IF(
    $A4&lt;U$1,
    "O",
    IF( OFFSET(U$1, COLUMN(U4)-1, 0)="-", "O", IF(MOD($A4, U$1)=0, "X", "O") )
  )
)</f>
        <v>O</v>
      </c>
      <c r="V4" s="45" t="str">
        <f ca="1">IF(
  $A4=V$1,
  IF( ROW(V4)=2, "+", IF(COUNTIF($B4:U4,"X")=0, "+", "-") ),
  IF(
    $A4&lt;V$1,
    "O",
    IF( OFFSET(V$1, COLUMN(V4)-1, 0)="-", "O", IF(MOD($A4, V$1)=0, "X", "O") )
  )
)</f>
        <v>O</v>
      </c>
      <c r="W4" s="45" t="str">
        <f ca="1">IF(
  $A4=W$1,
  IF( ROW(W4)=2, "+", IF(COUNTIF($B4:V4,"X")=0, "+", "-") ),
  IF(
    $A4&lt;W$1,
    "O",
    IF( OFFSET(W$1, COLUMN(W4)-1, 0)="-", "O", IF(MOD($A4, W$1)=0, "X", "O") )
  )
)</f>
        <v>O</v>
      </c>
      <c r="X4" s="45" t="str">
        <f ca="1">IF(
  $A4=X$1,
  IF( ROW(X4)=2, "+", IF(COUNTIF($B4:W4,"X")=0, "+", "-") ),
  IF(
    $A4&lt;X$1,
    "O",
    IF( OFFSET(X$1, COLUMN(X4)-1, 0)="-", "O", IF(MOD($A4, X$1)=0, "X", "O") )
  )
)</f>
        <v>O</v>
      </c>
      <c r="Y4" s="45" t="str">
        <f ca="1">IF(
  $A4=Y$1,
  IF( ROW(Y4)=2, "+", IF(COUNTIF($B4:X4,"X")=0, "+", "-") ),
  IF(
    $A4&lt;Y$1,
    "O",
    IF( OFFSET(Y$1, COLUMN(Y4)-1, 0)="-", "O", IF(MOD($A4, Y$1)=0, "X", "O") )
  )
)</f>
        <v>O</v>
      </c>
      <c r="Z4" s="45" t="str">
        <f ca="1">IF(
  $A4=Z$1,
  IF( ROW(Z4)=2, "+", IF(COUNTIF($B4:Y4,"X")=0, "+", "-") ),
  IF(
    $A4&lt;Z$1,
    "O",
    IF( OFFSET(Z$1, COLUMN(Z4)-1, 0)="-", "O", IF(MOD($A4, Z$1)=0, "X", "O") )
  )
)</f>
        <v>O</v>
      </c>
      <c r="AA4" s="45" t="str">
        <f ca="1">IF(
  $A4=AA$1,
  IF( ROW(AA4)=2, "+", IF(COUNTIF($B4:Z4,"X")=0, "+", "-") ),
  IF(
    $A4&lt;AA$1,
    "O",
    IF( OFFSET(AA$1, COLUMN(AA4)-1, 0)="-", "O", IF(MOD($A4, AA$1)=0, "X", "O") )
  )
)</f>
        <v>O</v>
      </c>
      <c r="AB4" s="45" t="str">
        <f ca="1">IF(
  $A4=AB$1,
  IF( ROW(AB4)=2, "+", IF(COUNTIF($B4:AA4,"X")=0, "+", "-") ),
  IF(
    $A4&lt;AB$1,
    "O",
    IF( OFFSET(AB$1, COLUMN(AB4)-1, 0)="-", "O", IF(MOD($A4, AB$1)=0, "X", "O") )
  )
)</f>
        <v>O</v>
      </c>
      <c r="AC4" s="45" t="str">
        <f ca="1">IF(
  $A4=AC$1,
  IF( ROW(AC4)=2, "+", IF(COUNTIF($B4:AB4,"X")=0, "+", "-") ),
  IF(
    $A4&lt;AC$1,
    "O",
    IF( OFFSET(AC$1, COLUMN(AC4)-1, 0)="-", "O", IF(MOD($A4, AC$1)=0, "X", "O") )
  )
)</f>
        <v>O</v>
      </c>
      <c r="AD4" s="45" t="str">
        <f ca="1">IF(
  $A4=AD$1,
  IF( ROW(AD4)=2, "+", IF(COUNTIF($B4:AC4,"X")=0, "+", "-") ),
  IF(
    $A4&lt;AD$1,
    "O",
    IF( OFFSET(AD$1, COLUMN(AD4)-1, 0)="-", "O", IF(MOD($A4, AD$1)=0, "X", "O") )
  )
)</f>
        <v>O</v>
      </c>
      <c r="AE4" s="45" t="str">
        <f ca="1">IF(
  $A4=AE$1,
  IF( ROW(AE4)=2, "+", IF(COUNTIF($B4:AD4,"X")=0, "+", "-") ),
  IF(
    $A4&lt;AE$1,
    "O",
    IF( OFFSET(AE$1, COLUMN(AE4)-1, 0)="-", "O", IF(MOD($A4, AE$1)=0, "X", "O") )
  )
)</f>
        <v>O</v>
      </c>
      <c r="AF4" s="45" t="str">
        <f ca="1">IF(
  $A4=AF$1,
  IF( ROW(AF4)=2, "+", IF(COUNTIF($B4:AE4,"X")=0, "+", "-") ),
  IF(
    $A4&lt;AF$1,
    "O",
    IF( OFFSET(AF$1, COLUMN(AF4)-1, 0)="-", "O", IF(MOD($A4, AF$1)=0, "X", "O") )
  )
)</f>
        <v>O</v>
      </c>
      <c r="AG4" s="45" t="str">
        <f ca="1">IF(
  $A4=AG$1,
  IF( ROW(AG4)=2, "+", IF(COUNTIF($B4:AF4,"X")=0, "+", "-") ),
  IF(
    $A4&lt;AG$1,
    "O",
    IF( OFFSET(AG$1, COLUMN(AG4)-1, 0)="-", "O", IF(MOD($A4, AG$1)=0, "X", "O") )
  )
)</f>
        <v>O</v>
      </c>
      <c r="AH4" s="45" t="str">
        <f ca="1">IF(
  $A4=AH$1,
  IF( ROW(AH4)=2, "+", IF(COUNTIF($B4:AG4,"X")=0, "+", "-") ),
  IF(
    $A4&lt;AH$1,
    "O",
    IF( OFFSET(AH$1, COLUMN(AH4)-1, 0)="-", "O", IF(MOD($A4, AH$1)=0, "X", "O") )
  )
)</f>
        <v>O</v>
      </c>
      <c r="AI4" s="45" t="str">
        <f ca="1">IF(
  $A4=AI$1,
  IF( ROW(AI4)=2, "+", IF(COUNTIF($B4:AH4,"X")=0, "+", "-") ),
  IF(
    $A4&lt;AI$1,
    "O",
    IF( OFFSET(AI$1, COLUMN(AI4)-1, 0)="-", "O", IF(MOD($A4, AI$1)=0, "X", "O") )
  )
)</f>
        <v>O</v>
      </c>
      <c r="AJ4" s="45" t="str">
        <f ca="1">IF(
  $A4=AJ$1,
  IF( ROW(AJ4)=2, "+", IF(COUNTIF($B4:AI4,"X")=0, "+", "-") ),
  IF(
    $A4&lt;AJ$1,
    "O",
    IF( OFFSET(AJ$1, COLUMN(AJ4)-1, 0)="-", "O", IF(MOD($A4, AJ$1)=0, "X", "O") )
  )
)</f>
        <v>O</v>
      </c>
      <c r="AK4" s="45" t="str">
        <f ca="1">IF(
  $A4=AK$1,
  IF( ROW(AK4)=2, "+", IF(COUNTIF($B4:AJ4,"X")=0, "+", "-") ),
  IF(
    $A4&lt;AK$1,
    "O",
    IF( OFFSET(AK$1, COLUMN(AK4)-1, 0)="-", "O", IF(MOD($A4, AK$1)=0, "X", "O") )
  )
)</f>
        <v>O</v>
      </c>
      <c r="AL4" s="45" t="str">
        <f ca="1">IF(
  $A4=AL$1,
  IF( ROW(AL4)=2, "+", IF(COUNTIF($B4:AK4,"X")=0, "+", "-") ),
  IF(
    $A4&lt;AL$1,
    "O",
    IF( OFFSET(AL$1, COLUMN(AL4)-1, 0)="-", "O", IF(MOD($A4, AL$1)=0, "X", "O") )
  )
)</f>
        <v>O</v>
      </c>
      <c r="AM4" s="45" t="str">
        <f ca="1">IF(
  $A4=AM$1,
  IF( ROW(AM4)=2, "+", IF(COUNTIF($B4:AL4,"X")=0, "+", "-") ),
  IF(
    $A4&lt;AM$1,
    "O",
    IF( OFFSET(AM$1, COLUMN(AM4)-1, 0)="-", "O", IF(MOD($A4, AM$1)=0, "X", "O") )
  )
)</f>
        <v>O</v>
      </c>
      <c r="AN4" s="45" t="str">
        <f ca="1">IF(
  $A4=AN$1,
  IF( ROW(AN4)=2, "+", IF(COUNTIF($B4:AM4,"X")=0, "+", "-") ),
  IF(
    $A4&lt;AN$1,
    "O",
    IF( OFFSET(AN$1, COLUMN(AN4)-1, 0)="-", "O", IF(MOD($A4, AN$1)=0, "X", "O") )
  )
)</f>
        <v>O</v>
      </c>
      <c r="AO4" s="45" t="str">
        <f ca="1">IF(
  $A4=AO$1,
  IF( ROW(AO4)=2, "+", IF(COUNTIF($B4:AN4,"X")=0, "+", "-") ),
  IF(
    $A4&lt;AO$1,
    "O",
    IF( OFFSET(AO$1, COLUMN(AO4)-1, 0)="-", "O", IF(MOD($A4, AO$1)=0, "X", "O") )
  )
)</f>
        <v>O</v>
      </c>
      <c r="AP4" s="45" t="str">
        <f ca="1">IF(
  $A4=AP$1,
  IF( ROW(AP4)=2, "+", IF(COUNTIF($B4:AO4,"X")=0, "+", "-") ),
  IF(
    $A4&lt;AP$1,
    "O",
    IF( OFFSET(AP$1, COLUMN(AP4)-1, 0)="-", "O", IF(MOD($A4, AP$1)=0, "X", "O") )
  )
)</f>
        <v>O</v>
      </c>
      <c r="AQ4" s="45" t="str">
        <f ca="1">IF(
  $A4=AQ$1,
  IF( ROW(AQ4)=2, "+", IF(COUNTIF($B4:AP4,"X")=0, "+", "-") ),
  IF(
    $A4&lt;AQ$1,
    "O",
    IF( OFFSET(AQ$1, COLUMN(AQ4)-1, 0)="-", "O", IF(MOD($A4, AQ$1)=0, "X", "O") )
  )
)</f>
        <v>O</v>
      </c>
      <c r="AR4" s="45" t="str">
        <f ca="1">IF(
  $A4=AR$1,
  IF( ROW(AR4)=2, "+", IF(COUNTIF($B4:AQ4,"X")=0, "+", "-") ),
  IF(
    $A4&lt;AR$1,
    "O",
    IF( OFFSET(AR$1, COLUMN(AR4)-1, 0)="-", "O", IF(MOD($A4, AR$1)=0, "X", "O") )
  )
)</f>
        <v>O</v>
      </c>
      <c r="AS4" s="45" t="str">
        <f ca="1">IF(
  $A4=AS$1,
  IF( ROW(AS4)=2, "+", IF(COUNTIF($B4:AR4,"X")=0, "+", "-") ),
  IF(
    $A4&lt;AS$1,
    "O",
    IF( OFFSET(AS$1, COLUMN(AS4)-1, 0)="-", "O", IF(MOD($A4, AS$1)=0, "X", "O") )
  )
)</f>
        <v>O</v>
      </c>
      <c r="AT4" s="45" t="str">
        <f ca="1">IF(
  $A4=AT$1,
  IF( ROW(AT4)=2, "+", IF(COUNTIF($B4:AS4,"X")=0, "+", "-") ),
  IF(
    $A4&lt;AT$1,
    "O",
    IF( OFFSET(AT$1, COLUMN(AT4)-1, 0)="-", "O", IF(MOD($A4, AT$1)=0, "X", "O") )
  )
)</f>
        <v>O</v>
      </c>
      <c r="AU4" s="45" t="str">
        <f ca="1">IF(
  $A4=AU$1,
  IF( ROW(AU4)=2, "+", IF(COUNTIF($B4:AT4,"X")=0, "+", "-") ),
  IF(
    $A4&lt;AU$1,
    "O",
    IF( OFFSET(AU$1, COLUMN(AU4)-1, 0)="-", "O", IF(MOD($A4, AU$1)=0, "X", "O") )
  )
)</f>
        <v>O</v>
      </c>
      <c r="AV4" s="45" t="str">
        <f ca="1">IF(
  $A4=AV$1,
  IF( ROW(AV4)=2, "+", IF(COUNTIF($B4:AU4,"X")=0, "+", "-") ),
  IF(
    $A4&lt;AV$1,
    "O",
    IF( OFFSET(AV$1, COLUMN(AV4)-1, 0)="-", "O", IF(MOD($A4, AV$1)=0, "X", "O") )
  )
)</f>
        <v>O</v>
      </c>
      <c r="AW4" s="45" t="str">
        <f ca="1">IF(
  $A4=AW$1,
  IF( ROW(AW4)=2, "+", IF(COUNTIF($B4:AV4,"X")=0, "+", "-") ),
  IF(
    $A4&lt;AW$1,
    "O",
    IF( OFFSET(AW$1, COLUMN(AW4)-1, 0)="-", "O", IF(MOD($A4, AW$1)=0, "X", "O") )
  )
)</f>
        <v>O</v>
      </c>
      <c r="AX4" s="45" t="str">
        <f ca="1">IF(
  $A4=AX$1,
  IF( ROW(AX4)=2, "+", IF(COUNTIF($B4:AW4,"X")=0, "+", "-") ),
  IF(
    $A4&lt;AX$1,
    "O",
    IF( OFFSET(AX$1, COLUMN(AX4)-1, 0)="-", "O", IF(MOD($A4, AX$1)=0, "X", "O") )
  )
)</f>
        <v>O</v>
      </c>
      <c r="AY4" s="45" t="str">
        <f ca="1">IF(
  $A4=AY$1,
  IF( ROW(AY4)=2, "+", IF(COUNTIF($B4:AX4,"X")=0, "+", "-") ),
  IF(
    $A4&lt;AY$1,
    "O",
    IF( OFFSET(AY$1, COLUMN(AY4)-1, 0)="-", "O", IF(MOD($A4, AY$1)=0, "X", "O") )
  )
)</f>
        <v>O</v>
      </c>
      <c r="AZ4" s="45" t="str">
        <f ca="1">IF(
  $A4=AZ$1,
  IF( ROW(AZ4)=2, "+", IF(COUNTIF($B4:AY4,"X")=0, "+", "-") ),
  IF(
    $A4&lt;AZ$1,
    "O",
    IF( OFFSET(AZ$1, COLUMN(AZ4)-1, 0)="-", "O", IF(MOD($A4, AZ$1)=0, "X", "O") )
  )
)</f>
        <v>O</v>
      </c>
      <c r="BA4" s="45" t="str">
        <f ca="1">IF(
  $A4=BA$1,
  IF( ROW(BA4)=2, "+", IF(COUNTIF($B4:AZ4,"X")=0, "+", "-") ),
  IF(
    $A4&lt;BA$1,
    "O",
    IF( OFFSET(BA$1, COLUMN(BA4)-1, 0)="-", "O", IF(MOD($A4, BA$1)=0, "X", "O") )
  )
)</f>
        <v>O</v>
      </c>
      <c r="BB4" s="45" t="str">
        <f ca="1">IF(
  $A4=BB$1,
  IF( ROW(BB4)=2, "+", IF(COUNTIF($B4:BA4,"X")=0, "+", "-") ),
  IF(
    $A4&lt;BB$1,
    "O",
    IF( OFFSET(BB$1, COLUMN(BB4)-1, 0)="-", "O", IF(MOD($A4, BB$1)=0, "X", "O") )
  )
)</f>
        <v>O</v>
      </c>
      <c r="BC4" s="45" t="str">
        <f ca="1">IF(
  $A4=BC$1,
  IF( ROW(BC4)=2, "+", IF(COUNTIF($B4:BB4,"X")=0, "+", "-") ),
  IF(
    $A4&lt;BC$1,
    "O",
    IF( OFFSET(BC$1, COLUMN(BC4)-1, 0)="-", "O", IF(MOD($A4, BC$1)=0, "X", "O") )
  )
)</f>
        <v>O</v>
      </c>
      <c r="BD4" s="45" t="str">
        <f ca="1">IF(
  $A4=BD$1,
  IF( ROW(BD4)=2, "+", IF(COUNTIF($B4:BC4,"X")=0, "+", "-") ),
  IF(
    $A4&lt;BD$1,
    "O",
    IF( OFFSET(BD$1, COLUMN(BD4)-1, 0)="-", "O", IF(MOD($A4, BD$1)=0, "X", "O") )
  )
)</f>
        <v>O</v>
      </c>
      <c r="BE4" s="45" t="str">
        <f ca="1">IF(
  $A4=BE$1,
  IF( ROW(BE4)=2, "+", IF(COUNTIF($B4:BD4,"X")=0, "+", "-") ),
  IF(
    $A4&lt;BE$1,
    "O",
    IF( OFFSET(BE$1, COLUMN(BE4)-1, 0)="-", "O", IF(MOD($A4, BE$1)=0, "X", "O") )
  )
)</f>
        <v>O</v>
      </c>
      <c r="BF4" s="45" t="str">
        <f ca="1">IF(
  $A4=BF$1,
  IF( ROW(BF4)=2, "+", IF(COUNTIF($B4:BE4,"X")=0, "+", "-") ),
  IF(
    $A4&lt;BF$1,
    "O",
    IF( OFFSET(BF$1, COLUMN(BF4)-1, 0)="-", "O", IF(MOD($A4, BF$1)=0, "X", "O") )
  )
)</f>
        <v>O</v>
      </c>
      <c r="BG4" s="45" t="str">
        <f ca="1">IF(
  $A4=BG$1,
  IF( ROW(BG4)=2, "+", IF(COUNTIF($B4:BF4,"X")=0, "+", "-") ),
  IF(
    $A4&lt;BG$1,
    "O",
    IF( OFFSET(BG$1, COLUMN(BG4)-1, 0)="-", "O", IF(MOD($A4, BG$1)=0, "X", "O") )
  )
)</f>
        <v>O</v>
      </c>
      <c r="BH4" s="45" t="str">
        <f ca="1">IF(
  $A4=BH$1,
  IF( ROW(BH4)=2, "+", IF(COUNTIF($B4:BG4,"X")=0, "+", "-") ),
  IF(
    $A4&lt;BH$1,
    "O",
    IF( OFFSET(BH$1, COLUMN(BH4)-1, 0)="-", "O", IF(MOD($A4, BH$1)=0, "X", "O") )
  )
)</f>
        <v>O</v>
      </c>
    </row>
    <row r="5" spans="1:62" s="46" customFormat="1" x14ac:dyDescent="0.25">
      <c r="A5">
        <v>5</v>
      </c>
      <c r="B5" s="44" t="str">
        <f ca="1">IF(
  $A5=B$1,
  IF( ROW(B5)=2, "+", IF(COUNTIF(A5:$B5,"X")=0, "+", "-") ),
  IF(
    $A5&lt;B$1,
    "O",
    IF( OFFSET(B$1, COLUMN(B5)-1, 0)="-", "O", IF(MOD($A5, B$1)=0, "X", "O") )
  )
)</f>
        <v>O</v>
      </c>
      <c r="C5" s="44" t="str">
        <f ca="1">IF(
  $A5=C$1,
  IF( ROW(C5)=2, "+", IF(COUNTIF(B5:$B5,"X")=0, "+", "-") ),
  IF(
    $A5&lt;C$1,
    "O",
    IF( OFFSET(C$1, COLUMN(C5)-1, 0)="-", "O", IF(MOD($A5, C$1)=0, "X", "O") )
  )
)</f>
        <v>O</v>
      </c>
      <c r="D5" s="45" t="str">
        <f ca="1">IF(
  $A5=D$1,
  IF( ROW(D5)=2, "+", IF(COUNTIF($B5:C5,"X")=0, "+", "-") ),
  IF(
    $A5&lt;D$1,
    "O",
    IF( OFFSET(D$1, COLUMN(D5)-1, 0)="-", "O", IF(MOD($A5, D$1)=0, "X", "O") )
  )
)</f>
        <v>O</v>
      </c>
      <c r="E5" s="44" t="str">
        <f ca="1">IF(
  $A5=E$1,
  IF( ROW(E5)=2, "+", IF(COUNTIF($B5:D5,"X")=0, "+", "-") ),
  IF(
    $A5&lt;E$1,
    "O",
    IF( OFFSET(E$1, COLUMN(E5)-1, 0)="-", "O", IF(MOD($A5, E$1)=0, "X", "O") )
  )
)</f>
        <v>+</v>
      </c>
      <c r="F5" s="45" t="str">
        <f ca="1">IF(
  $A5=F$1,
  IF( ROW(F5)=2, "+", IF(COUNTIF($B5:E5,"X")=0, "+", "-") ),
  IF(
    $A5&lt;F$1,
    "O",
    IF( OFFSET(F$1, COLUMN(F5)-1, 0)="-", "O", IF(MOD($A5, F$1)=0, "X", "O") )
  )
)</f>
        <v>O</v>
      </c>
      <c r="G5" s="45" t="str">
        <f ca="1">IF(
  $A5=G$1,
  IF( ROW(G5)=2, "+", IF(COUNTIF($B5:F5,"X")=0, "+", "-") ),
  IF(
    $A5&lt;G$1,
    "O",
    IF( OFFSET(G$1, COLUMN(G5)-1, 0)="-", "O", IF(MOD($A5, G$1)=0, "X", "O") )
  )
)</f>
        <v>O</v>
      </c>
      <c r="H5" s="45" t="str">
        <f ca="1">IF(
  $A5=H$1,
  IF( ROW(H5)=2, "+", IF(COUNTIF($B5:G5,"X")=0, "+", "-") ),
  IF(
    $A5&lt;H$1,
    "O",
    IF( OFFSET(H$1, COLUMN(H5)-1, 0)="-", "O", IF(MOD($A5, H$1)=0, "X", "O") )
  )
)</f>
        <v>O</v>
      </c>
      <c r="I5" s="45" t="str">
        <f ca="1">IF(
  $A5=I$1,
  IF( ROW(I5)=2, "+", IF(COUNTIF($B5:H5,"X")=0, "+", "-") ),
  IF(
    $A5&lt;I$1,
    "O",
    IF( OFFSET(I$1, COLUMN(I5)-1, 0)="-", "O", IF(MOD($A5, I$1)=0, "X", "O") )
  )
)</f>
        <v>O</v>
      </c>
      <c r="J5" s="45" t="str">
        <f ca="1">IF(
  $A5=J$1,
  IF( ROW(J5)=2, "+", IF(COUNTIF($B5:I5,"X")=0, "+", "-") ),
  IF(
    $A5&lt;J$1,
    "O",
    IF( OFFSET(J$1, COLUMN(J5)-1, 0)="-", "O", IF(MOD($A5, J$1)=0, "X", "O") )
  )
)</f>
        <v>O</v>
      </c>
      <c r="K5" s="45" t="str">
        <f ca="1">IF(
  $A5=K$1,
  IF( ROW(K5)=2, "+", IF(COUNTIF($B5:J5,"X")=0, "+", "-") ),
  IF(
    $A5&lt;K$1,
    "O",
    IF( OFFSET(K$1, COLUMN(K5)-1, 0)="-", "O", IF(MOD($A5, K$1)=0, "X", "O") )
  )
)</f>
        <v>O</v>
      </c>
      <c r="L5" s="45" t="str">
        <f ca="1">IF(
  $A5=L$1,
  IF( ROW(L5)=2, "+", IF(COUNTIF($B5:K5,"X")=0, "+", "-") ),
  IF(
    $A5&lt;L$1,
    "O",
    IF( OFFSET(L$1, COLUMN(L5)-1, 0)="-", "O", IF(MOD($A5, L$1)=0, "X", "O") )
  )
)</f>
        <v>O</v>
      </c>
      <c r="M5" s="45" t="str">
        <f ca="1">IF(
  $A5=M$1,
  IF( ROW(M5)=2, "+", IF(COUNTIF($B5:L5,"X")=0, "+", "-") ),
  IF(
    $A5&lt;M$1,
    "O",
    IF( OFFSET(M$1, COLUMN(M5)-1, 0)="-", "O", IF(MOD($A5, M$1)=0, "X", "O") )
  )
)</f>
        <v>O</v>
      </c>
      <c r="N5" s="45" t="str">
        <f ca="1">IF(
  $A5=N$1,
  IF( ROW(N5)=2, "+", IF(COUNTIF($B5:M5,"X")=0, "+", "-") ),
  IF(
    $A5&lt;N$1,
    "O",
    IF( OFFSET(N$1, COLUMN(N5)-1, 0)="-", "O", IF(MOD($A5, N$1)=0, "X", "O") )
  )
)</f>
        <v>O</v>
      </c>
      <c r="O5" s="45" t="str">
        <f ca="1">IF(
  $A5=O$1,
  IF( ROW(O5)=2, "+", IF(COUNTIF($B5:N5,"X")=0, "+", "-") ),
  IF(
    $A5&lt;O$1,
    "O",
    IF( OFFSET(O$1, COLUMN(O5)-1, 0)="-", "O", IF(MOD($A5, O$1)=0, "X", "O") )
  )
)</f>
        <v>O</v>
      </c>
      <c r="P5" s="45" t="str">
        <f ca="1">IF(
  $A5=P$1,
  IF( ROW(P5)=2, "+", IF(COUNTIF($B5:O5,"X")=0, "+", "-") ),
  IF(
    $A5&lt;P$1,
    "O",
    IF( OFFSET(P$1, COLUMN(P5)-1, 0)="-", "O", IF(MOD($A5, P$1)=0, "X", "O") )
  )
)</f>
        <v>O</v>
      </c>
      <c r="Q5" s="45" t="str">
        <f ca="1">IF(
  $A5=Q$1,
  IF( ROW(Q5)=2, "+", IF(COUNTIF($B5:P5,"X")=0, "+", "-") ),
  IF(
    $A5&lt;Q$1,
    "O",
    IF( OFFSET(Q$1, COLUMN(Q5)-1, 0)="-", "O", IF(MOD($A5, Q$1)=0, "X", "O") )
  )
)</f>
        <v>O</v>
      </c>
      <c r="R5" s="45" t="str">
        <f ca="1">IF(
  $A5=R$1,
  IF( ROW(R5)=2, "+", IF(COUNTIF($B5:Q5,"X")=0, "+", "-") ),
  IF(
    $A5&lt;R$1,
    "O",
    IF( OFFSET(R$1, COLUMN(R5)-1, 0)="-", "O", IF(MOD($A5, R$1)=0, "X", "O") )
  )
)</f>
        <v>O</v>
      </c>
      <c r="S5" s="45" t="str">
        <f ca="1">IF(
  $A5=S$1,
  IF( ROW(S5)=2, "+", IF(COUNTIF($B5:R5,"X")=0, "+", "-") ),
  IF(
    $A5&lt;S$1,
    "O",
    IF( OFFSET(S$1, COLUMN(S5)-1, 0)="-", "O", IF(MOD($A5, S$1)=0, "X", "O") )
  )
)</f>
        <v>O</v>
      </c>
      <c r="T5" s="45" t="str">
        <f ca="1">IF(
  $A5=T$1,
  IF( ROW(T5)=2, "+", IF(COUNTIF($B5:S5,"X")=0, "+", "-") ),
  IF(
    $A5&lt;T$1,
    "O",
    IF( OFFSET(T$1, COLUMN(T5)-1, 0)="-", "O", IF(MOD($A5, T$1)=0, "X", "O") )
  )
)</f>
        <v>O</v>
      </c>
      <c r="U5" s="45" t="str">
        <f ca="1">IF(
  $A5=U$1,
  IF( ROW(U5)=2, "+", IF(COUNTIF($B5:T5,"X")=0, "+", "-") ),
  IF(
    $A5&lt;U$1,
    "O",
    IF( OFFSET(U$1, COLUMN(U5)-1, 0)="-", "O", IF(MOD($A5, U$1)=0, "X", "O") )
  )
)</f>
        <v>O</v>
      </c>
      <c r="V5" s="45" t="str">
        <f ca="1">IF(
  $A5=V$1,
  IF( ROW(V5)=2, "+", IF(COUNTIF($B5:U5,"X")=0, "+", "-") ),
  IF(
    $A5&lt;V$1,
    "O",
    IF( OFFSET(V$1, COLUMN(V5)-1, 0)="-", "O", IF(MOD($A5, V$1)=0, "X", "O") )
  )
)</f>
        <v>O</v>
      </c>
      <c r="W5" s="45" t="str">
        <f ca="1">IF(
  $A5=W$1,
  IF( ROW(W5)=2, "+", IF(COUNTIF($B5:V5,"X")=0, "+", "-") ),
  IF(
    $A5&lt;W$1,
    "O",
    IF( OFFSET(W$1, COLUMN(W5)-1, 0)="-", "O", IF(MOD($A5, W$1)=0, "X", "O") )
  )
)</f>
        <v>O</v>
      </c>
      <c r="X5" s="45" t="str">
        <f ca="1">IF(
  $A5=X$1,
  IF( ROW(X5)=2, "+", IF(COUNTIF($B5:W5,"X")=0, "+", "-") ),
  IF(
    $A5&lt;X$1,
    "O",
    IF( OFFSET(X$1, COLUMN(X5)-1, 0)="-", "O", IF(MOD($A5, X$1)=0, "X", "O") )
  )
)</f>
        <v>O</v>
      </c>
      <c r="Y5" s="45" t="str">
        <f ca="1">IF(
  $A5=Y$1,
  IF( ROW(Y5)=2, "+", IF(COUNTIF($B5:X5,"X")=0, "+", "-") ),
  IF(
    $A5&lt;Y$1,
    "O",
    IF( OFFSET(Y$1, COLUMN(Y5)-1, 0)="-", "O", IF(MOD($A5, Y$1)=0, "X", "O") )
  )
)</f>
        <v>O</v>
      </c>
      <c r="Z5" s="45" t="str">
        <f ca="1">IF(
  $A5=Z$1,
  IF( ROW(Z5)=2, "+", IF(COUNTIF($B5:Y5,"X")=0, "+", "-") ),
  IF(
    $A5&lt;Z$1,
    "O",
    IF( OFFSET(Z$1, COLUMN(Z5)-1, 0)="-", "O", IF(MOD($A5, Z$1)=0, "X", "O") )
  )
)</f>
        <v>O</v>
      </c>
      <c r="AA5" s="45" t="str">
        <f ca="1">IF(
  $A5=AA$1,
  IF( ROW(AA5)=2, "+", IF(COUNTIF($B5:Z5,"X")=0, "+", "-") ),
  IF(
    $A5&lt;AA$1,
    "O",
    IF( OFFSET(AA$1, COLUMN(AA5)-1, 0)="-", "O", IF(MOD($A5, AA$1)=0, "X", "O") )
  )
)</f>
        <v>O</v>
      </c>
      <c r="AB5" s="45" t="str">
        <f ca="1">IF(
  $A5=AB$1,
  IF( ROW(AB5)=2, "+", IF(COUNTIF($B5:AA5,"X")=0, "+", "-") ),
  IF(
    $A5&lt;AB$1,
    "O",
    IF( OFFSET(AB$1, COLUMN(AB5)-1, 0)="-", "O", IF(MOD($A5, AB$1)=0, "X", "O") )
  )
)</f>
        <v>O</v>
      </c>
      <c r="AC5" s="45" t="str">
        <f ca="1">IF(
  $A5=AC$1,
  IF( ROW(AC5)=2, "+", IF(COUNTIF($B5:AB5,"X")=0, "+", "-") ),
  IF(
    $A5&lt;AC$1,
    "O",
    IF( OFFSET(AC$1, COLUMN(AC5)-1, 0)="-", "O", IF(MOD($A5, AC$1)=0, "X", "O") )
  )
)</f>
        <v>O</v>
      </c>
      <c r="AD5" s="45" t="str">
        <f ca="1">IF(
  $A5=AD$1,
  IF( ROW(AD5)=2, "+", IF(COUNTIF($B5:AC5,"X")=0, "+", "-") ),
  IF(
    $A5&lt;AD$1,
    "O",
    IF( OFFSET(AD$1, COLUMN(AD5)-1, 0)="-", "O", IF(MOD($A5, AD$1)=0, "X", "O") )
  )
)</f>
        <v>O</v>
      </c>
      <c r="AE5" s="45" t="str">
        <f ca="1">IF(
  $A5=AE$1,
  IF( ROW(AE5)=2, "+", IF(COUNTIF($B5:AD5,"X")=0, "+", "-") ),
  IF(
    $A5&lt;AE$1,
    "O",
    IF( OFFSET(AE$1, COLUMN(AE5)-1, 0)="-", "O", IF(MOD($A5, AE$1)=0, "X", "O") )
  )
)</f>
        <v>O</v>
      </c>
      <c r="AF5" s="45" t="str">
        <f ca="1">IF(
  $A5=AF$1,
  IF( ROW(AF5)=2, "+", IF(COUNTIF($B5:AE5,"X")=0, "+", "-") ),
  IF(
    $A5&lt;AF$1,
    "O",
    IF( OFFSET(AF$1, COLUMN(AF5)-1, 0)="-", "O", IF(MOD($A5, AF$1)=0, "X", "O") )
  )
)</f>
        <v>O</v>
      </c>
      <c r="AG5" s="45" t="str">
        <f ca="1">IF(
  $A5=AG$1,
  IF( ROW(AG5)=2, "+", IF(COUNTIF($B5:AF5,"X")=0, "+", "-") ),
  IF(
    $A5&lt;AG$1,
    "O",
    IF( OFFSET(AG$1, COLUMN(AG5)-1, 0)="-", "O", IF(MOD($A5, AG$1)=0, "X", "O") )
  )
)</f>
        <v>O</v>
      </c>
      <c r="AH5" s="45" t="str">
        <f ca="1">IF(
  $A5=AH$1,
  IF( ROW(AH5)=2, "+", IF(COUNTIF($B5:AG5,"X")=0, "+", "-") ),
  IF(
    $A5&lt;AH$1,
    "O",
    IF( OFFSET(AH$1, COLUMN(AH5)-1, 0)="-", "O", IF(MOD($A5, AH$1)=0, "X", "O") )
  )
)</f>
        <v>O</v>
      </c>
      <c r="AI5" s="45" t="str">
        <f ca="1">IF(
  $A5=AI$1,
  IF( ROW(AI5)=2, "+", IF(COUNTIF($B5:AH5,"X")=0, "+", "-") ),
  IF(
    $A5&lt;AI$1,
    "O",
    IF( OFFSET(AI$1, COLUMN(AI5)-1, 0)="-", "O", IF(MOD($A5, AI$1)=0, "X", "O") )
  )
)</f>
        <v>O</v>
      </c>
      <c r="AJ5" s="45" t="str">
        <f ca="1">IF(
  $A5=AJ$1,
  IF( ROW(AJ5)=2, "+", IF(COUNTIF($B5:AI5,"X")=0, "+", "-") ),
  IF(
    $A5&lt;AJ$1,
    "O",
    IF( OFFSET(AJ$1, COLUMN(AJ5)-1, 0)="-", "O", IF(MOD($A5, AJ$1)=0, "X", "O") )
  )
)</f>
        <v>O</v>
      </c>
      <c r="AK5" s="45" t="str">
        <f ca="1">IF(
  $A5=AK$1,
  IF( ROW(AK5)=2, "+", IF(COUNTIF($B5:AJ5,"X")=0, "+", "-") ),
  IF(
    $A5&lt;AK$1,
    "O",
    IF( OFFSET(AK$1, COLUMN(AK5)-1, 0)="-", "O", IF(MOD($A5, AK$1)=0, "X", "O") )
  )
)</f>
        <v>O</v>
      </c>
      <c r="AL5" s="45" t="str">
        <f ca="1">IF(
  $A5=AL$1,
  IF( ROW(AL5)=2, "+", IF(COUNTIF($B5:AK5,"X")=0, "+", "-") ),
  IF(
    $A5&lt;AL$1,
    "O",
    IF( OFFSET(AL$1, COLUMN(AL5)-1, 0)="-", "O", IF(MOD($A5, AL$1)=0, "X", "O") )
  )
)</f>
        <v>O</v>
      </c>
      <c r="AM5" s="45" t="str">
        <f ca="1">IF(
  $A5=AM$1,
  IF( ROW(AM5)=2, "+", IF(COUNTIF($B5:AL5,"X")=0, "+", "-") ),
  IF(
    $A5&lt;AM$1,
    "O",
    IF( OFFSET(AM$1, COLUMN(AM5)-1, 0)="-", "O", IF(MOD($A5, AM$1)=0, "X", "O") )
  )
)</f>
        <v>O</v>
      </c>
      <c r="AN5" s="45" t="str">
        <f ca="1">IF(
  $A5=AN$1,
  IF( ROW(AN5)=2, "+", IF(COUNTIF($B5:AM5,"X")=0, "+", "-") ),
  IF(
    $A5&lt;AN$1,
    "O",
    IF( OFFSET(AN$1, COLUMN(AN5)-1, 0)="-", "O", IF(MOD($A5, AN$1)=0, "X", "O") )
  )
)</f>
        <v>O</v>
      </c>
      <c r="AO5" s="45" t="str">
        <f ca="1">IF(
  $A5=AO$1,
  IF( ROW(AO5)=2, "+", IF(COUNTIF($B5:AN5,"X")=0, "+", "-") ),
  IF(
    $A5&lt;AO$1,
    "O",
    IF( OFFSET(AO$1, COLUMN(AO5)-1, 0)="-", "O", IF(MOD($A5, AO$1)=0, "X", "O") )
  )
)</f>
        <v>O</v>
      </c>
      <c r="AP5" s="45" t="str">
        <f ca="1">IF(
  $A5=AP$1,
  IF( ROW(AP5)=2, "+", IF(COUNTIF($B5:AO5,"X")=0, "+", "-") ),
  IF(
    $A5&lt;AP$1,
    "O",
    IF( OFFSET(AP$1, COLUMN(AP5)-1, 0)="-", "O", IF(MOD($A5, AP$1)=0, "X", "O") )
  )
)</f>
        <v>O</v>
      </c>
      <c r="AQ5" s="45" t="str">
        <f ca="1">IF(
  $A5=AQ$1,
  IF( ROW(AQ5)=2, "+", IF(COUNTIF($B5:AP5,"X")=0, "+", "-") ),
  IF(
    $A5&lt;AQ$1,
    "O",
    IF( OFFSET(AQ$1, COLUMN(AQ5)-1, 0)="-", "O", IF(MOD($A5, AQ$1)=0, "X", "O") )
  )
)</f>
        <v>O</v>
      </c>
      <c r="AR5" s="45" t="str">
        <f ca="1">IF(
  $A5=AR$1,
  IF( ROW(AR5)=2, "+", IF(COUNTIF($B5:AQ5,"X")=0, "+", "-") ),
  IF(
    $A5&lt;AR$1,
    "O",
    IF( OFFSET(AR$1, COLUMN(AR5)-1, 0)="-", "O", IF(MOD($A5, AR$1)=0, "X", "O") )
  )
)</f>
        <v>O</v>
      </c>
      <c r="AS5" s="45" t="str">
        <f ca="1">IF(
  $A5=AS$1,
  IF( ROW(AS5)=2, "+", IF(COUNTIF($B5:AR5,"X")=0, "+", "-") ),
  IF(
    $A5&lt;AS$1,
    "O",
    IF( OFFSET(AS$1, COLUMN(AS5)-1, 0)="-", "O", IF(MOD($A5, AS$1)=0, "X", "O") )
  )
)</f>
        <v>O</v>
      </c>
      <c r="AT5" s="45" t="str">
        <f ca="1">IF(
  $A5=AT$1,
  IF( ROW(AT5)=2, "+", IF(COUNTIF($B5:AS5,"X")=0, "+", "-") ),
  IF(
    $A5&lt;AT$1,
    "O",
    IF( OFFSET(AT$1, COLUMN(AT5)-1, 0)="-", "O", IF(MOD($A5, AT$1)=0, "X", "O") )
  )
)</f>
        <v>O</v>
      </c>
      <c r="AU5" s="45" t="str">
        <f ca="1">IF(
  $A5=AU$1,
  IF( ROW(AU5)=2, "+", IF(COUNTIF($B5:AT5,"X")=0, "+", "-") ),
  IF(
    $A5&lt;AU$1,
    "O",
    IF( OFFSET(AU$1, COLUMN(AU5)-1, 0)="-", "O", IF(MOD($A5, AU$1)=0, "X", "O") )
  )
)</f>
        <v>O</v>
      </c>
      <c r="AV5" s="45" t="str">
        <f ca="1">IF(
  $A5=AV$1,
  IF( ROW(AV5)=2, "+", IF(COUNTIF($B5:AU5,"X")=0, "+", "-") ),
  IF(
    $A5&lt;AV$1,
    "O",
    IF( OFFSET(AV$1, COLUMN(AV5)-1, 0)="-", "O", IF(MOD($A5, AV$1)=0, "X", "O") )
  )
)</f>
        <v>O</v>
      </c>
      <c r="AW5" s="45" t="str">
        <f ca="1">IF(
  $A5=AW$1,
  IF( ROW(AW5)=2, "+", IF(COUNTIF($B5:AV5,"X")=0, "+", "-") ),
  IF(
    $A5&lt;AW$1,
    "O",
    IF( OFFSET(AW$1, COLUMN(AW5)-1, 0)="-", "O", IF(MOD($A5, AW$1)=0, "X", "O") )
  )
)</f>
        <v>O</v>
      </c>
      <c r="AX5" s="45" t="str">
        <f ca="1">IF(
  $A5=AX$1,
  IF( ROW(AX5)=2, "+", IF(COUNTIF($B5:AW5,"X")=0, "+", "-") ),
  IF(
    $A5&lt;AX$1,
    "O",
    IF( OFFSET(AX$1, COLUMN(AX5)-1, 0)="-", "O", IF(MOD($A5, AX$1)=0, "X", "O") )
  )
)</f>
        <v>O</v>
      </c>
      <c r="AY5" s="45" t="str">
        <f ca="1">IF(
  $A5=AY$1,
  IF( ROW(AY5)=2, "+", IF(COUNTIF($B5:AX5,"X")=0, "+", "-") ),
  IF(
    $A5&lt;AY$1,
    "O",
    IF( OFFSET(AY$1, COLUMN(AY5)-1, 0)="-", "O", IF(MOD($A5, AY$1)=0, "X", "O") )
  )
)</f>
        <v>O</v>
      </c>
      <c r="AZ5" s="45" t="str">
        <f ca="1">IF(
  $A5=AZ$1,
  IF( ROW(AZ5)=2, "+", IF(COUNTIF($B5:AY5,"X")=0, "+", "-") ),
  IF(
    $A5&lt;AZ$1,
    "O",
    IF( OFFSET(AZ$1, COLUMN(AZ5)-1, 0)="-", "O", IF(MOD($A5, AZ$1)=0, "X", "O") )
  )
)</f>
        <v>O</v>
      </c>
      <c r="BA5" s="45" t="str">
        <f ca="1">IF(
  $A5=BA$1,
  IF( ROW(BA5)=2, "+", IF(COUNTIF($B5:AZ5,"X")=0, "+", "-") ),
  IF(
    $A5&lt;BA$1,
    "O",
    IF( OFFSET(BA$1, COLUMN(BA5)-1, 0)="-", "O", IF(MOD($A5, BA$1)=0, "X", "O") )
  )
)</f>
        <v>O</v>
      </c>
      <c r="BB5" s="45" t="str">
        <f ca="1">IF(
  $A5=BB$1,
  IF( ROW(BB5)=2, "+", IF(COUNTIF($B5:BA5,"X")=0, "+", "-") ),
  IF(
    $A5&lt;BB$1,
    "O",
    IF( OFFSET(BB$1, COLUMN(BB5)-1, 0)="-", "O", IF(MOD($A5, BB$1)=0, "X", "O") )
  )
)</f>
        <v>O</v>
      </c>
      <c r="BC5" s="45" t="str">
        <f ca="1">IF(
  $A5=BC$1,
  IF( ROW(BC5)=2, "+", IF(COUNTIF($B5:BB5,"X")=0, "+", "-") ),
  IF(
    $A5&lt;BC$1,
    "O",
    IF( OFFSET(BC$1, COLUMN(BC5)-1, 0)="-", "O", IF(MOD($A5, BC$1)=0, "X", "O") )
  )
)</f>
        <v>O</v>
      </c>
      <c r="BD5" s="45" t="str">
        <f ca="1">IF(
  $A5=BD$1,
  IF( ROW(BD5)=2, "+", IF(COUNTIF($B5:BC5,"X")=0, "+", "-") ),
  IF(
    $A5&lt;BD$1,
    "O",
    IF( OFFSET(BD$1, COLUMN(BD5)-1, 0)="-", "O", IF(MOD($A5, BD$1)=0, "X", "O") )
  )
)</f>
        <v>O</v>
      </c>
      <c r="BE5" s="45" t="str">
        <f ca="1">IF(
  $A5=BE$1,
  IF( ROW(BE5)=2, "+", IF(COUNTIF($B5:BD5,"X")=0, "+", "-") ),
  IF(
    $A5&lt;BE$1,
    "O",
    IF( OFFSET(BE$1, COLUMN(BE5)-1, 0)="-", "O", IF(MOD($A5, BE$1)=0, "X", "O") )
  )
)</f>
        <v>O</v>
      </c>
      <c r="BF5" s="45" t="str">
        <f ca="1">IF(
  $A5=BF$1,
  IF( ROW(BF5)=2, "+", IF(COUNTIF($B5:BE5,"X")=0, "+", "-") ),
  IF(
    $A5&lt;BF$1,
    "O",
    IF( OFFSET(BF$1, COLUMN(BF5)-1, 0)="-", "O", IF(MOD($A5, BF$1)=0, "X", "O") )
  )
)</f>
        <v>O</v>
      </c>
      <c r="BG5" s="45" t="str">
        <f ca="1">IF(
  $A5=BG$1,
  IF( ROW(BG5)=2, "+", IF(COUNTIF($B5:BF5,"X")=0, "+", "-") ),
  IF(
    $A5&lt;BG$1,
    "O",
    IF( OFFSET(BG$1, COLUMN(BG5)-1, 0)="-", "O", IF(MOD($A5, BG$1)=0, "X", "O") )
  )
)</f>
        <v>O</v>
      </c>
      <c r="BH5" s="45" t="str">
        <f ca="1">IF(
  $A5=BH$1,
  IF( ROW(BH5)=2, "+", IF(COUNTIF($B5:BG5,"X")=0, "+", "-") ),
  IF(
    $A5&lt;BH$1,
    "O",
    IF( OFFSET(BH$1, COLUMN(BH5)-1, 0)="-", "O", IF(MOD($A5, BH$1)=0, "X", "O") )
  )
)</f>
        <v>O</v>
      </c>
    </row>
    <row r="6" spans="1:62" s="46" customFormat="1" x14ac:dyDescent="0.25">
      <c r="A6">
        <v>6</v>
      </c>
      <c r="B6" s="44" t="str">
        <f ca="1">IF(
  $A6=B$1,
  IF( ROW(B6)=2, "+", IF(COUNTIF(A6:$B6,"X")=0, "+", "-") ),
  IF(
    $A6&lt;B$1,
    "O",
    IF( OFFSET(B$1, COLUMN(B6)-1, 0)="-", "O", IF(MOD($A6, B$1)=0, "X", "O") )
  )
)</f>
        <v>X</v>
      </c>
      <c r="C6" s="44" t="str">
        <f ca="1">IF(
  $A6=C$1,
  IF( ROW(C6)=2, "+", IF(COUNTIF(B6:$B6,"X")=0, "+", "-") ),
  IF(
    $A6&lt;C$1,
    "O",
    IF( OFFSET(C$1, COLUMN(C6)-1, 0)="-", "O", IF(MOD($A6, C$1)=0, "X", "O") )
  )
)</f>
        <v>X</v>
      </c>
      <c r="D6" s="45" t="str">
        <f ca="1">IF(
  $A6=D$1,
  IF( ROW(D6)=2, "+", IF(COUNTIF($B6:C6,"X")=0, "+", "-") ),
  IF(
    $A6&lt;D$1,
    "O",
    IF( OFFSET(D$1, COLUMN(D6)-1, 0)="-", "O", IF(MOD($A6, D$1)=0, "X", "O") )
  )
)</f>
        <v>O</v>
      </c>
      <c r="E6" s="44" t="str">
        <f ca="1">IF(
  $A6=E$1,
  IF( ROW(E6)=2, "+", IF(COUNTIF($B6:D6,"X")=0, "+", "-") ),
  IF(
    $A6&lt;E$1,
    "O",
    IF( OFFSET(E$1, COLUMN(E6)-1, 0)="-", "O", IF(MOD($A6, E$1)=0, "X", "O") )
  )
)</f>
        <v>O</v>
      </c>
      <c r="F6" s="45" t="str">
        <f ca="1">IF(
  $A6=F$1,
  IF( ROW(F6)=2, "+", IF(COUNTIF($B6:E6,"X")=0, "+", "-") ),
  IF(
    $A6&lt;F$1,
    "O",
    IF( OFFSET(F$1, COLUMN(F6)-1, 0)="-", "O", IF(MOD($A6, F$1)=0, "X", "O") )
  )
)</f>
        <v>-</v>
      </c>
      <c r="G6" s="45" t="str">
        <f ca="1">IF(
  $A6=G$1,
  IF( ROW(G6)=2, "+", IF(COUNTIF($B6:F6,"X")=0, "+", "-") ),
  IF(
    $A6&lt;G$1,
    "O",
    IF( OFFSET(G$1, COLUMN(G6)-1, 0)="-", "O", IF(MOD($A6, G$1)=0, "X", "O") )
  )
)</f>
        <v>O</v>
      </c>
      <c r="H6" s="45" t="str">
        <f ca="1">IF(
  $A6=H$1,
  IF( ROW(H6)=2, "+", IF(COUNTIF($B6:G6,"X")=0, "+", "-") ),
  IF(
    $A6&lt;H$1,
    "O",
    IF( OFFSET(H$1, COLUMN(H6)-1, 0)="-", "O", IF(MOD($A6, H$1)=0, "X", "O") )
  )
)</f>
        <v>O</v>
      </c>
      <c r="I6" s="45" t="str">
        <f ca="1">IF(
  $A6=I$1,
  IF( ROW(I6)=2, "+", IF(COUNTIF($B6:H6,"X")=0, "+", "-") ),
  IF(
    $A6&lt;I$1,
    "O",
    IF( OFFSET(I$1, COLUMN(I6)-1, 0)="-", "O", IF(MOD($A6, I$1)=0, "X", "O") )
  )
)</f>
        <v>O</v>
      </c>
      <c r="J6" s="45" t="str">
        <f ca="1">IF(
  $A6=J$1,
  IF( ROW(J6)=2, "+", IF(COUNTIF($B6:I6,"X")=0, "+", "-") ),
  IF(
    $A6&lt;J$1,
    "O",
    IF( OFFSET(J$1, COLUMN(J6)-1, 0)="-", "O", IF(MOD($A6, J$1)=0, "X", "O") )
  )
)</f>
        <v>O</v>
      </c>
      <c r="K6" s="45" t="str">
        <f ca="1">IF(
  $A6=K$1,
  IF( ROW(K6)=2, "+", IF(COUNTIF($B6:J6,"X")=0, "+", "-") ),
  IF(
    $A6&lt;K$1,
    "O",
    IF( OFFSET(K$1, COLUMN(K6)-1, 0)="-", "O", IF(MOD($A6, K$1)=0, "X", "O") )
  )
)</f>
        <v>O</v>
      </c>
      <c r="L6" s="45" t="str">
        <f ca="1">IF(
  $A6=L$1,
  IF( ROW(L6)=2, "+", IF(COUNTIF($B6:K6,"X")=0, "+", "-") ),
  IF(
    $A6&lt;L$1,
    "O",
    IF( OFFSET(L$1, COLUMN(L6)-1, 0)="-", "O", IF(MOD($A6, L$1)=0, "X", "O") )
  )
)</f>
        <v>O</v>
      </c>
      <c r="M6" s="45" t="str">
        <f ca="1">IF(
  $A6=M$1,
  IF( ROW(M6)=2, "+", IF(COUNTIF($B6:L6,"X")=0, "+", "-") ),
  IF(
    $A6&lt;M$1,
    "O",
    IF( OFFSET(M$1, COLUMN(M6)-1, 0)="-", "O", IF(MOD($A6, M$1)=0, "X", "O") )
  )
)</f>
        <v>O</v>
      </c>
      <c r="N6" s="45" t="str">
        <f ca="1">IF(
  $A6=N$1,
  IF( ROW(N6)=2, "+", IF(COUNTIF($B6:M6,"X")=0, "+", "-") ),
  IF(
    $A6&lt;N$1,
    "O",
    IF( OFFSET(N$1, COLUMN(N6)-1, 0)="-", "O", IF(MOD($A6, N$1)=0, "X", "O") )
  )
)</f>
        <v>O</v>
      </c>
      <c r="O6" s="45" t="str">
        <f ca="1">IF(
  $A6=O$1,
  IF( ROW(O6)=2, "+", IF(COUNTIF($B6:N6,"X")=0, "+", "-") ),
  IF(
    $A6&lt;O$1,
    "O",
    IF( OFFSET(O$1, COLUMN(O6)-1, 0)="-", "O", IF(MOD($A6, O$1)=0, "X", "O") )
  )
)</f>
        <v>O</v>
      </c>
      <c r="P6" s="45" t="str">
        <f ca="1">IF(
  $A6=P$1,
  IF( ROW(P6)=2, "+", IF(COUNTIF($B6:O6,"X")=0, "+", "-") ),
  IF(
    $A6&lt;P$1,
    "O",
    IF( OFFSET(P$1, COLUMN(P6)-1, 0)="-", "O", IF(MOD($A6, P$1)=0, "X", "O") )
  )
)</f>
        <v>O</v>
      </c>
      <c r="Q6" s="45" t="str">
        <f ca="1">IF(
  $A6=Q$1,
  IF( ROW(Q6)=2, "+", IF(COUNTIF($B6:P6,"X")=0, "+", "-") ),
  IF(
    $A6&lt;Q$1,
    "O",
    IF( OFFSET(Q$1, COLUMN(Q6)-1, 0)="-", "O", IF(MOD($A6, Q$1)=0, "X", "O") )
  )
)</f>
        <v>O</v>
      </c>
      <c r="R6" s="45" t="str">
        <f ca="1">IF(
  $A6=R$1,
  IF( ROW(R6)=2, "+", IF(COUNTIF($B6:Q6,"X")=0, "+", "-") ),
  IF(
    $A6&lt;R$1,
    "O",
    IF( OFFSET(R$1, COLUMN(R6)-1, 0)="-", "O", IF(MOD($A6, R$1)=0, "X", "O") )
  )
)</f>
        <v>O</v>
      </c>
      <c r="S6" s="45" t="str">
        <f ca="1">IF(
  $A6=S$1,
  IF( ROW(S6)=2, "+", IF(COUNTIF($B6:R6,"X")=0, "+", "-") ),
  IF(
    $A6&lt;S$1,
    "O",
    IF( OFFSET(S$1, COLUMN(S6)-1, 0)="-", "O", IF(MOD($A6, S$1)=0, "X", "O") )
  )
)</f>
        <v>O</v>
      </c>
      <c r="T6" s="45" t="str">
        <f ca="1">IF(
  $A6=T$1,
  IF( ROW(T6)=2, "+", IF(COUNTIF($B6:S6,"X")=0, "+", "-") ),
  IF(
    $A6&lt;T$1,
    "O",
    IF( OFFSET(T$1, COLUMN(T6)-1, 0)="-", "O", IF(MOD($A6, T$1)=0, "X", "O") )
  )
)</f>
        <v>O</v>
      </c>
      <c r="U6" s="45" t="str">
        <f ca="1">IF(
  $A6=U$1,
  IF( ROW(U6)=2, "+", IF(COUNTIF($B6:T6,"X")=0, "+", "-") ),
  IF(
    $A6&lt;U$1,
    "O",
    IF( OFFSET(U$1, COLUMN(U6)-1, 0)="-", "O", IF(MOD($A6, U$1)=0, "X", "O") )
  )
)</f>
        <v>O</v>
      </c>
      <c r="V6" s="45" t="str">
        <f ca="1">IF(
  $A6=V$1,
  IF( ROW(V6)=2, "+", IF(COUNTIF($B6:U6,"X")=0, "+", "-") ),
  IF(
    $A6&lt;V$1,
    "O",
    IF( OFFSET(V$1, COLUMN(V6)-1, 0)="-", "O", IF(MOD($A6, V$1)=0, "X", "O") )
  )
)</f>
        <v>O</v>
      </c>
      <c r="W6" s="45" t="str">
        <f ca="1">IF(
  $A6=W$1,
  IF( ROW(W6)=2, "+", IF(COUNTIF($B6:V6,"X")=0, "+", "-") ),
  IF(
    $A6&lt;W$1,
    "O",
    IF( OFFSET(W$1, COLUMN(W6)-1, 0)="-", "O", IF(MOD($A6, W$1)=0, "X", "O") )
  )
)</f>
        <v>O</v>
      </c>
      <c r="X6" s="45" t="str">
        <f ca="1">IF(
  $A6=X$1,
  IF( ROW(X6)=2, "+", IF(COUNTIF($B6:W6,"X")=0, "+", "-") ),
  IF(
    $A6&lt;X$1,
    "O",
    IF( OFFSET(X$1, COLUMN(X6)-1, 0)="-", "O", IF(MOD($A6, X$1)=0, "X", "O") )
  )
)</f>
        <v>O</v>
      </c>
      <c r="Y6" s="45" t="str">
        <f ca="1">IF(
  $A6=Y$1,
  IF( ROW(Y6)=2, "+", IF(COUNTIF($B6:X6,"X")=0, "+", "-") ),
  IF(
    $A6&lt;Y$1,
    "O",
    IF( OFFSET(Y$1, COLUMN(Y6)-1, 0)="-", "O", IF(MOD($A6, Y$1)=0, "X", "O") )
  )
)</f>
        <v>O</v>
      </c>
      <c r="Z6" s="45" t="str">
        <f ca="1">IF(
  $A6=Z$1,
  IF( ROW(Z6)=2, "+", IF(COUNTIF($B6:Y6,"X")=0, "+", "-") ),
  IF(
    $A6&lt;Z$1,
    "O",
    IF( OFFSET(Z$1, COLUMN(Z6)-1, 0)="-", "O", IF(MOD($A6, Z$1)=0, "X", "O") )
  )
)</f>
        <v>O</v>
      </c>
      <c r="AA6" s="45" t="str">
        <f ca="1">IF(
  $A6=AA$1,
  IF( ROW(AA6)=2, "+", IF(COUNTIF($B6:Z6,"X")=0, "+", "-") ),
  IF(
    $A6&lt;AA$1,
    "O",
    IF( OFFSET(AA$1, COLUMN(AA6)-1, 0)="-", "O", IF(MOD($A6, AA$1)=0, "X", "O") )
  )
)</f>
        <v>O</v>
      </c>
      <c r="AB6" s="45" t="str">
        <f ca="1">IF(
  $A6=AB$1,
  IF( ROW(AB6)=2, "+", IF(COUNTIF($B6:AA6,"X")=0, "+", "-") ),
  IF(
    $A6&lt;AB$1,
    "O",
    IF( OFFSET(AB$1, COLUMN(AB6)-1, 0)="-", "O", IF(MOD($A6, AB$1)=0, "X", "O") )
  )
)</f>
        <v>O</v>
      </c>
      <c r="AC6" s="45" t="str">
        <f ca="1">IF(
  $A6=AC$1,
  IF( ROW(AC6)=2, "+", IF(COUNTIF($B6:AB6,"X")=0, "+", "-") ),
  IF(
    $A6&lt;AC$1,
    "O",
    IF( OFFSET(AC$1, COLUMN(AC6)-1, 0)="-", "O", IF(MOD($A6, AC$1)=0, "X", "O") )
  )
)</f>
        <v>O</v>
      </c>
      <c r="AD6" s="45" t="str">
        <f ca="1">IF(
  $A6=AD$1,
  IF( ROW(AD6)=2, "+", IF(COUNTIF($B6:AC6,"X")=0, "+", "-") ),
  IF(
    $A6&lt;AD$1,
    "O",
    IF( OFFSET(AD$1, COLUMN(AD6)-1, 0)="-", "O", IF(MOD($A6, AD$1)=0, "X", "O") )
  )
)</f>
        <v>O</v>
      </c>
      <c r="AE6" s="45" t="str">
        <f ca="1">IF(
  $A6=AE$1,
  IF( ROW(AE6)=2, "+", IF(COUNTIF($B6:AD6,"X")=0, "+", "-") ),
  IF(
    $A6&lt;AE$1,
    "O",
    IF( OFFSET(AE$1, COLUMN(AE6)-1, 0)="-", "O", IF(MOD($A6, AE$1)=0, "X", "O") )
  )
)</f>
        <v>O</v>
      </c>
      <c r="AF6" s="45" t="str">
        <f ca="1">IF(
  $A6=AF$1,
  IF( ROW(AF6)=2, "+", IF(COUNTIF($B6:AE6,"X")=0, "+", "-") ),
  IF(
    $A6&lt;AF$1,
    "O",
    IF( OFFSET(AF$1, COLUMN(AF6)-1, 0)="-", "O", IF(MOD($A6, AF$1)=0, "X", "O") )
  )
)</f>
        <v>O</v>
      </c>
      <c r="AG6" s="45" t="str">
        <f ca="1">IF(
  $A6=AG$1,
  IF( ROW(AG6)=2, "+", IF(COUNTIF($B6:AF6,"X")=0, "+", "-") ),
  IF(
    $A6&lt;AG$1,
    "O",
    IF( OFFSET(AG$1, COLUMN(AG6)-1, 0)="-", "O", IF(MOD($A6, AG$1)=0, "X", "O") )
  )
)</f>
        <v>O</v>
      </c>
      <c r="AH6" s="45" t="str">
        <f ca="1">IF(
  $A6=AH$1,
  IF( ROW(AH6)=2, "+", IF(COUNTIF($B6:AG6,"X")=0, "+", "-") ),
  IF(
    $A6&lt;AH$1,
    "O",
    IF( OFFSET(AH$1, COLUMN(AH6)-1, 0)="-", "O", IF(MOD($A6, AH$1)=0, "X", "O") )
  )
)</f>
        <v>O</v>
      </c>
      <c r="AI6" s="45" t="str">
        <f ca="1">IF(
  $A6=AI$1,
  IF( ROW(AI6)=2, "+", IF(COUNTIF($B6:AH6,"X")=0, "+", "-") ),
  IF(
    $A6&lt;AI$1,
    "O",
    IF( OFFSET(AI$1, COLUMN(AI6)-1, 0)="-", "O", IF(MOD($A6, AI$1)=0, "X", "O") )
  )
)</f>
        <v>O</v>
      </c>
      <c r="AJ6" s="45" t="str">
        <f ca="1">IF(
  $A6=AJ$1,
  IF( ROW(AJ6)=2, "+", IF(COUNTIF($B6:AI6,"X")=0, "+", "-") ),
  IF(
    $A6&lt;AJ$1,
    "O",
    IF( OFFSET(AJ$1, COLUMN(AJ6)-1, 0)="-", "O", IF(MOD($A6, AJ$1)=0, "X", "O") )
  )
)</f>
        <v>O</v>
      </c>
      <c r="AK6" s="45" t="str">
        <f ca="1">IF(
  $A6=AK$1,
  IF( ROW(AK6)=2, "+", IF(COUNTIF($B6:AJ6,"X")=0, "+", "-") ),
  IF(
    $A6&lt;AK$1,
    "O",
    IF( OFFSET(AK$1, COLUMN(AK6)-1, 0)="-", "O", IF(MOD($A6, AK$1)=0, "X", "O") )
  )
)</f>
        <v>O</v>
      </c>
      <c r="AL6" s="45" t="str">
        <f ca="1">IF(
  $A6=AL$1,
  IF( ROW(AL6)=2, "+", IF(COUNTIF($B6:AK6,"X")=0, "+", "-") ),
  IF(
    $A6&lt;AL$1,
    "O",
    IF( OFFSET(AL$1, COLUMN(AL6)-1, 0)="-", "O", IF(MOD($A6, AL$1)=0, "X", "O") )
  )
)</f>
        <v>O</v>
      </c>
      <c r="AM6" s="45" t="str">
        <f ca="1">IF(
  $A6=AM$1,
  IF( ROW(AM6)=2, "+", IF(COUNTIF($B6:AL6,"X")=0, "+", "-") ),
  IF(
    $A6&lt;AM$1,
    "O",
    IF( OFFSET(AM$1, COLUMN(AM6)-1, 0)="-", "O", IF(MOD($A6, AM$1)=0, "X", "O") )
  )
)</f>
        <v>O</v>
      </c>
      <c r="AN6" s="45" t="str">
        <f ca="1">IF(
  $A6=AN$1,
  IF( ROW(AN6)=2, "+", IF(COUNTIF($B6:AM6,"X")=0, "+", "-") ),
  IF(
    $A6&lt;AN$1,
    "O",
    IF( OFFSET(AN$1, COLUMN(AN6)-1, 0)="-", "O", IF(MOD($A6, AN$1)=0, "X", "O") )
  )
)</f>
        <v>O</v>
      </c>
      <c r="AO6" s="45" t="str">
        <f ca="1">IF(
  $A6=AO$1,
  IF( ROW(AO6)=2, "+", IF(COUNTIF($B6:AN6,"X")=0, "+", "-") ),
  IF(
    $A6&lt;AO$1,
    "O",
    IF( OFFSET(AO$1, COLUMN(AO6)-1, 0)="-", "O", IF(MOD($A6, AO$1)=0, "X", "O") )
  )
)</f>
        <v>O</v>
      </c>
      <c r="AP6" s="45" t="str">
        <f ca="1">IF(
  $A6=AP$1,
  IF( ROW(AP6)=2, "+", IF(COUNTIF($B6:AO6,"X")=0, "+", "-") ),
  IF(
    $A6&lt;AP$1,
    "O",
    IF( OFFSET(AP$1, COLUMN(AP6)-1, 0)="-", "O", IF(MOD($A6, AP$1)=0, "X", "O") )
  )
)</f>
        <v>O</v>
      </c>
      <c r="AQ6" s="45" t="str">
        <f ca="1">IF(
  $A6=AQ$1,
  IF( ROW(AQ6)=2, "+", IF(COUNTIF($B6:AP6,"X")=0, "+", "-") ),
  IF(
    $A6&lt;AQ$1,
    "O",
    IF( OFFSET(AQ$1, COLUMN(AQ6)-1, 0)="-", "O", IF(MOD($A6, AQ$1)=0, "X", "O") )
  )
)</f>
        <v>O</v>
      </c>
      <c r="AR6" s="45" t="str">
        <f ca="1">IF(
  $A6=AR$1,
  IF( ROW(AR6)=2, "+", IF(COUNTIF($B6:AQ6,"X")=0, "+", "-") ),
  IF(
    $A6&lt;AR$1,
    "O",
    IF( OFFSET(AR$1, COLUMN(AR6)-1, 0)="-", "O", IF(MOD($A6, AR$1)=0, "X", "O") )
  )
)</f>
        <v>O</v>
      </c>
      <c r="AS6" s="45" t="str">
        <f ca="1">IF(
  $A6=AS$1,
  IF( ROW(AS6)=2, "+", IF(COUNTIF($B6:AR6,"X")=0, "+", "-") ),
  IF(
    $A6&lt;AS$1,
    "O",
    IF( OFFSET(AS$1, COLUMN(AS6)-1, 0)="-", "O", IF(MOD($A6, AS$1)=0, "X", "O") )
  )
)</f>
        <v>O</v>
      </c>
      <c r="AT6" s="45" t="str">
        <f ca="1">IF(
  $A6=AT$1,
  IF( ROW(AT6)=2, "+", IF(COUNTIF($B6:AS6,"X")=0, "+", "-") ),
  IF(
    $A6&lt;AT$1,
    "O",
    IF( OFFSET(AT$1, COLUMN(AT6)-1, 0)="-", "O", IF(MOD($A6, AT$1)=0, "X", "O") )
  )
)</f>
        <v>O</v>
      </c>
      <c r="AU6" s="45" t="str">
        <f ca="1">IF(
  $A6=AU$1,
  IF( ROW(AU6)=2, "+", IF(COUNTIF($B6:AT6,"X")=0, "+", "-") ),
  IF(
    $A6&lt;AU$1,
    "O",
    IF( OFFSET(AU$1, COLUMN(AU6)-1, 0)="-", "O", IF(MOD($A6, AU$1)=0, "X", "O") )
  )
)</f>
        <v>O</v>
      </c>
      <c r="AV6" s="45" t="str">
        <f ca="1">IF(
  $A6=AV$1,
  IF( ROW(AV6)=2, "+", IF(COUNTIF($B6:AU6,"X")=0, "+", "-") ),
  IF(
    $A6&lt;AV$1,
    "O",
    IF( OFFSET(AV$1, COLUMN(AV6)-1, 0)="-", "O", IF(MOD($A6, AV$1)=0, "X", "O") )
  )
)</f>
        <v>O</v>
      </c>
      <c r="AW6" s="45" t="str">
        <f ca="1">IF(
  $A6=AW$1,
  IF( ROW(AW6)=2, "+", IF(COUNTIF($B6:AV6,"X")=0, "+", "-") ),
  IF(
    $A6&lt;AW$1,
    "O",
    IF( OFFSET(AW$1, COLUMN(AW6)-1, 0)="-", "O", IF(MOD($A6, AW$1)=0, "X", "O") )
  )
)</f>
        <v>O</v>
      </c>
      <c r="AX6" s="45" t="str">
        <f ca="1">IF(
  $A6=AX$1,
  IF( ROW(AX6)=2, "+", IF(COUNTIF($B6:AW6,"X")=0, "+", "-") ),
  IF(
    $A6&lt;AX$1,
    "O",
    IF( OFFSET(AX$1, COLUMN(AX6)-1, 0)="-", "O", IF(MOD($A6, AX$1)=0, "X", "O") )
  )
)</f>
        <v>O</v>
      </c>
      <c r="AY6" s="45" t="str">
        <f ca="1">IF(
  $A6=AY$1,
  IF( ROW(AY6)=2, "+", IF(COUNTIF($B6:AX6,"X")=0, "+", "-") ),
  IF(
    $A6&lt;AY$1,
    "O",
    IF( OFFSET(AY$1, COLUMN(AY6)-1, 0)="-", "O", IF(MOD($A6, AY$1)=0, "X", "O") )
  )
)</f>
        <v>O</v>
      </c>
      <c r="AZ6" s="45" t="str">
        <f ca="1">IF(
  $A6=AZ$1,
  IF( ROW(AZ6)=2, "+", IF(COUNTIF($B6:AY6,"X")=0, "+", "-") ),
  IF(
    $A6&lt;AZ$1,
    "O",
    IF( OFFSET(AZ$1, COLUMN(AZ6)-1, 0)="-", "O", IF(MOD($A6, AZ$1)=0, "X", "O") )
  )
)</f>
        <v>O</v>
      </c>
      <c r="BA6" s="45" t="str">
        <f ca="1">IF(
  $A6=BA$1,
  IF( ROW(BA6)=2, "+", IF(COUNTIF($B6:AZ6,"X")=0, "+", "-") ),
  IF(
    $A6&lt;BA$1,
    "O",
    IF( OFFSET(BA$1, COLUMN(BA6)-1, 0)="-", "O", IF(MOD($A6, BA$1)=0, "X", "O") )
  )
)</f>
        <v>O</v>
      </c>
      <c r="BB6" s="45" t="str">
        <f ca="1">IF(
  $A6=BB$1,
  IF( ROW(BB6)=2, "+", IF(COUNTIF($B6:BA6,"X")=0, "+", "-") ),
  IF(
    $A6&lt;BB$1,
    "O",
    IF( OFFSET(BB$1, COLUMN(BB6)-1, 0)="-", "O", IF(MOD($A6, BB$1)=0, "X", "O") )
  )
)</f>
        <v>O</v>
      </c>
      <c r="BC6" s="45" t="str">
        <f ca="1">IF(
  $A6=BC$1,
  IF( ROW(BC6)=2, "+", IF(COUNTIF($B6:BB6,"X")=0, "+", "-") ),
  IF(
    $A6&lt;BC$1,
    "O",
    IF( OFFSET(BC$1, COLUMN(BC6)-1, 0)="-", "O", IF(MOD($A6, BC$1)=0, "X", "O") )
  )
)</f>
        <v>O</v>
      </c>
      <c r="BD6" s="45" t="str">
        <f ca="1">IF(
  $A6=BD$1,
  IF( ROW(BD6)=2, "+", IF(COUNTIF($B6:BC6,"X")=0, "+", "-") ),
  IF(
    $A6&lt;BD$1,
    "O",
    IF( OFFSET(BD$1, COLUMN(BD6)-1, 0)="-", "O", IF(MOD($A6, BD$1)=0, "X", "O") )
  )
)</f>
        <v>O</v>
      </c>
      <c r="BE6" s="45" t="str">
        <f ca="1">IF(
  $A6=BE$1,
  IF( ROW(BE6)=2, "+", IF(COUNTIF($B6:BD6,"X")=0, "+", "-") ),
  IF(
    $A6&lt;BE$1,
    "O",
    IF( OFFSET(BE$1, COLUMN(BE6)-1, 0)="-", "O", IF(MOD($A6, BE$1)=0, "X", "O") )
  )
)</f>
        <v>O</v>
      </c>
      <c r="BF6" s="45" t="str">
        <f ca="1">IF(
  $A6=BF$1,
  IF( ROW(BF6)=2, "+", IF(COUNTIF($B6:BE6,"X")=0, "+", "-") ),
  IF(
    $A6&lt;BF$1,
    "O",
    IF( OFFSET(BF$1, COLUMN(BF6)-1, 0)="-", "O", IF(MOD($A6, BF$1)=0, "X", "O") )
  )
)</f>
        <v>O</v>
      </c>
      <c r="BG6" s="45" t="str">
        <f ca="1">IF(
  $A6=BG$1,
  IF( ROW(BG6)=2, "+", IF(COUNTIF($B6:BF6,"X")=0, "+", "-") ),
  IF(
    $A6&lt;BG$1,
    "O",
    IF( OFFSET(BG$1, COLUMN(BG6)-1, 0)="-", "O", IF(MOD($A6, BG$1)=0, "X", "O") )
  )
)</f>
        <v>O</v>
      </c>
      <c r="BH6" s="45" t="str">
        <f ca="1">IF(
  $A6=BH$1,
  IF( ROW(BH6)=2, "+", IF(COUNTIF($B6:BG6,"X")=0, "+", "-") ),
  IF(
    $A6&lt;BH$1,
    "O",
    IF( OFFSET(BH$1, COLUMN(BH6)-1, 0)="-", "O", IF(MOD($A6, BH$1)=0, "X", "O") )
  )
)</f>
        <v>O</v>
      </c>
    </row>
    <row r="7" spans="1:62" s="46" customFormat="1" x14ac:dyDescent="0.25">
      <c r="A7">
        <v>7</v>
      </c>
      <c r="B7" s="44" t="str">
        <f ca="1">IF(
  $A7=B$1,
  IF( ROW(B7)=2, "+", IF(COUNTIF(A7:$B7,"X")=0, "+", "-") ),
  IF(
    $A7&lt;B$1,
    "O",
    IF( OFFSET(B$1, COLUMN(B7)-1, 0)="-", "O", IF(MOD($A7, B$1)=0, "X", "O") )
  )
)</f>
        <v>O</v>
      </c>
      <c r="C7" s="44" t="str">
        <f ca="1">IF(
  $A7=C$1,
  IF( ROW(C7)=2, "+", IF(COUNTIF(B7:$B7,"X")=0, "+", "-") ),
  IF(
    $A7&lt;C$1,
    "O",
    IF( OFFSET(C$1, COLUMN(C7)-1, 0)="-", "O", IF(MOD($A7, C$1)=0, "X", "O") )
  )
)</f>
        <v>O</v>
      </c>
      <c r="D7" s="45" t="str">
        <f ca="1">IF(
  $A7=D$1,
  IF( ROW(D7)=2, "+", IF(COUNTIF($B7:C7,"X")=0, "+", "-") ),
  IF(
    $A7&lt;D$1,
    "O",
    IF( OFFSET(D$1, COLUMN(D7)-1, 0)="-", "O", IF(MOD($A7, D$1)=0, "X", "O") )
  )
)</f>
        <v>O</v>
      </c>
      <c r="E7" s="44" t="str">
        <f ca="1">IF(
  $A7=E$1,
  IF( ROW(E7)=2, "+", IF(COUNTIF($B7:D7,"X")=0, "+", "-") ),
  IF(
    $A7&lt;E$1,
    "O",
    IF( OFFSET(E$1, COLUMN(E7)-1, 0)="-", "O", IF(MOD($A7, E$1)=0, "X", "O") )
  )
)</f>
        <v>O</v>
      </c>
      <c r="F7" s="45" t="str">
        <f ca="1">IF(
  $A7=F$1,
  IF( ROW(F7)=2, "+", IF(COUNTIF($B7:E7,"X")=0, "+", "-") ),
  IF(
    $A7&lt;F$1,
    "O",
    IF( OFFSET(F$1, COLUMN(F7)-1, 0)="-", "O", IF(MOD($A7, F$1)=0, "X", "O") )
  )
)</f>
        <v>O</v>
      </c>
      <c r="G7" s="44" t="str">
        <f ca="1">IF(
  $A7=G$1,
  IF( ROW(G7)=2, "+", IF(COUNTIF($B7:F7,"X")=0, "+", "-") ),
  IF(
    $A7&lt;G$1,
    "O",
    IF( OFFSET(G$1, COLUMN(G7)-1, 0)="-", "O", IF(MOD($A7, G$1)=0, "X", "O") )
  )
)</f>
        <v>+</v>
      </c>
      <c r="H7" s="45" t="str">
        <f ca="1">IF(
  $A7=H$1,
  IF( ROW(H7)=2, "+", IF(COUNTIF($B7:G7,"X")=0, "+", "-") ),
  IF(
    $A7&lt;H$1,
    "O",
    IF( OFFSET(H$1, COLUMN(H7)-1, 0)="-", "O", IF(MOD($A7, H$1)=0, "X", "O") )
  )
)</f>
        <v>O</v>
      </c>
      <c r="I7" s="45" t="str">
        <f ca="1">IF(
  $A7=I$1,
  IF( ROW(I7)=2, "+", IF(COUNTIF($B7:H7,"X")=0, "+", "-") ),
  IF(
    $A7&lt;I$1,
    "O",
    IF( OFFSET(I$1, COLUMN(I7)-1, 0)="-", "O", IF(MOD($A7, I$1)=0, "X", "O") )
  )
)</f>
        <v>O</v>
      </c>
      <c r="J7" s="45" t="str">
        <f ca="1">IF(
  $A7=J$1,
  IF( ROW(J7)=2, "+", IF(COUNTIF($B7:I7,"X")=0, "+", "-") ),
  IF(
    $A7&lt;J$1,
    "O",
    IF( OFFSET(J$1, COLUMN(J7)-1, 0)="-", "O", IF(MOD($A7, J$1)=0, "X", "O") )
  )
)</f>
        <v>O</v>
      </c>
      <c r="K7" s="45" t="str">
        <f ca="1">IF(
  $A7=K$1,
  IF( ROW(K7)=2, "+", IF(COUNTIF($B7:J7,"X")=0, "+", "-") ),
  IF(
    $A7&lt;K$1,
    "O",
    IF( OFFSET(K$1, COLUMN(K7)-1, 0)="-", "O", IF(MOD($A7, K$1)=0, "X", "O") )
  )
)</f>
        <v>O</v>
      </c>
      <c r="L7" s="45" t="str">
        <f ca="1">IF(
  $A7=L$1,
  IF( ROW(L7)=2, "+", IF(COUNTIF($B7:K7,"X")=0, "+", "-") ),
  IF(
    $A7&lt;L$1,
    "O",
    IF( OFFSET(L$1, COLUMN(L7)-1, 0)="-", "O", IF(MOD($A7, L$1)=0, "X", "O") )
  )
)</f>
        <v>O</v>
      </c>
      <c r="M7" s="45" t="str">
        <f ca="1">IF(
  $A7=M$1,
  IF( ROW(M7)=2, "+", IF(COUNTIF($B7:L7,"X")=0, "+", "-") ),
  IF(
    $A7&lt;M$1,
    "O",
    IF( OFFSET(M$1, COLUMN(M7)-1, 0)="-", "O", IF(MOD($A7, M$1)=0, "X", "O") )
  )
)</f>
        <v>O</v>
      </c>
      <c r="N7" s="45" t="str">
        <f ca="1">IF(
  $A7=N$1,
  IF( ROW(N7)=2, "+", IF(COUNTIF($B7:M7,"X")=0, "+", "-") ),
  IF(
    $A7&lt;N$1,
    "O",
    IF( OFFSET(N$1, COLUMN(N7)-1, 0)="-", "O", IF(MOD($A7, N$1)=0, "X", "O") )
  )
)</f>
        <v>O</v>
      </c>
      <c r="O7" s="45" t="str">
        <f ca="1">IF(
  $A7=O$1,
  IF( ROW(O7)=2, "+", IF(COUNTIF($B7:N7,"X")=0, "+", "-") ),
  IF(
    $A7&lt;O$1,
    "O",
    IF( OFFSET(O$1, COLUMN(O7)-1, 0)="-", "O", IF(MOD($A7, O$1)=0, "X", "O") )
  )
)</f>
        <v>O</v>
      </c>
      <c r="P7" s="45" t="str">
        <f ca="1">IF(
  $A7=P$1,
  IF( ROW(P7)=2, "+", IF(COUNTIF($B7:O7,"X")=0, "+", "-") ),
  IF(
    $A7&lt;P$1,
    "O",
    IF( OFFSET(P$1, COLUMN(P7)-1, 0)="-", "O", IF(MOD($A7, P$1)=0, "X", "O") )
  )
)</f>
        <v>O</v>
      </c>
      <c r="Q7" s="45" t="str">
        <f ca="1">IF(
  $A7=Q$1,
  IF( ROW(Q7)=2, "+", IF(COUNTIF($B7:P7,"X")=0, "+", "-") ),
  IF(
    $A7&lt;Q$1,
    "O",
    IF( OFFSET(Q$1, COLUMN(Q7)-1, 0)="-", "O", IF(MOD($A7, Q$1)=0, "X", "O") )
  )
)</f>
        <v>O</v>
      </c>
      <c r="R7" s="45" t="str">
        <f ca="1">IF(
  $A7=R$1,
  IF( ROW(R7)=2, "+", IF(COUNTIF($B7:Q7,"X")=0, "+", "-") ),
  IF(
    $A7&lt;R$1,
    "O",
    IF( OFFSET(R$1, COLUMN(R7)-1, 0)="-", "O", IF(MOD($A7, R$1)=0, "X", "O") )
  )
)</f>
        <v>O</v>
      </c>
      <c r="S7" s="45" t="str">
        <f ca="1">IF(
  $A7=S$1,
  IF( ROW(S7)=2, "+", IF(COUNTIF($B7:R7,"X")=0, "+", "-") ),
  IF(
    $A7&lt;S$1,
    "O",
    IF( OFFSET(S$1, COLUMN(S7)-1, 0)="-", "O", IF(MOD($A7, S$1)=0, "X", "O") )
  )
)</f>
        <v>O</v>
      </c>
      <c r="T7" s="45" t="str">
        <f ca="1">IF(
  $A7=T$1,
  IF( ROW(T7)=2, "+", IF(COUNTIF($B7:S7,"X")=0, "+", "-") ),
  IF(
    $A7&lt;T$1,
    "O",
    IF( OFFSET(T$1, COLUMN(T7)-1, 0)="-", "O", IF(MOD($A7, T$1)=0, "X", "O") )
  )
)</f>
        <v>O</v>
      </c>
      <c r="U7" s="45" t="str">
        <f ca="1">IF(
  $A7=U$1,
  IF( ROW(U7)=2, "+", IF(COUNTIF($B7:T7,"X")=0, "+", "-") ),
  IF(
    $A7&lt;U$1,
    "O",
    IF( OFFSET(U$1, COLUMN(U7)-1, 0)="-", "O", IF(MOD($A7, U$1)=0, "X", "O") )
  )
)</f>
        <v>O</v>
      </c>
      <c r="V7" s="45" t="str">
        <f ca="1">IF(
  $A7=V$1,
  IF( ROW(V7)=2, "+", IF(COUNTIF($B7:U7,"X")=0, "+", "-") ),
  IF(
    $A7&lt;V$1,
    "O",
    IF( OFFSET(V$1, COLUMN(V7)-1, 0)="-", "O", IF(MOD($A7, V$1)=0, "X", "O") )
  )
)</f>
        <v>O</v>
      </c>
      <c r="W7" s="45" t="str">
        <f ca="1">IF(
  $A7=W$1,
  IF( ROW(W7)=2, "+", IF(COUNTIF($B7:V7,"X")=0, "+", "-") ),
  IF(
    $A7&lt;W$1,
    "O",
    IF( OFFSET(W$1, COLUMN(W7)-1, 0)="-", "O", IF(MOD($A7, W$1)=0, "X", "O") )
  )
)</f>
        <v>O</v>
      </c>
      <c r="X7" s="45" t="str">
        <f ca="1">IF(
  $A7=X$1,
  IF( ROW(X7)=2, "+", IF(COUNTIF($B7:W7,"X")=0, "+", "-") ),
  IF(
    $A7&lt;X$1,
    "O",
    IF( OFFSET(X$1, COLUMN(X7)-1, 0)="-", "O", IF(MOD($A7, X$1)=0, "X", "O") )
  )
)</f>
        <v>O</v>
      </c>
      <c r="Y7" s="45" t="str">
        <f ca="1">IF(
  $A7=Y$1,
  IF( ROW(Y7)=2, "+", IF(COUNTIF($B7:X7,"X")=0, "+", "-") ),
  IF(
    $A7&lt;Y$1,
    "O",
    IF( OFFSET(Y$1, COLUMN(Y7)-1, 0)="-", "O", IF(MOD($A7, Y$1)=0, "X", "O") )
  )
)</f>
        <v>O</v>
      </c>
      <c r="Z7" s="45" t="str">
        <f ca="1">IF(
  $A7=Z$1,
  IF( ROW(Z7)=2, "+", IF(COUNTIF($B7:Y7,"X")=0, "+", "-") ),
  IF(
    $A7&lt;Z$1,
    "O",
    IF( OFFSET(Z$1, COLUMN(Z7)-1, 0)="-", "O", IF(MOD($A7, Z$1)=0, "X", "O") )
  )
)</f>
        <v>O</v>
      </c>
      <c r="AA7" s="45" t="str">
        <f ca="1">IF(
  $A7=AA$1,
  IF( ROW(AA7)=2, "+", IF(COUNTIF($B7:Z7,"X")=0, "+", "-") ),
  IF(
    $A7&lt;AA$1,
    "O",
    IF( OFFSET(AA$1, COLUMN(AA7)-1, 0)="-", "O", IF(MOD($A7, AA$1)=0, "X", "O") )
  )
)</f>
        <v>O</v>
      </c>
      <c r="AB7" s="45" t="str">
        <f ca="1">IF(
  $A7=AB$1,
  IF( ROW(AB7)=2, "+", IF(COUNTIF($B7:AA7,"X")=0, "+", "-") ),
  IF(
    $A7&lt;AB$1,
    "O",
    IF( OFFSET(AB$1, COLUMN(AB7)-1, 0)="-", "O", IF(MOD($A7, AB$1)=0, "X", "O") )
  )
)</f>
        <v>O</v>
      </c>
      <c r="AC7" s="45" t="str">
        <f ca="1">IF(
  $A7=AC$1,
  IF( ROW(AC7)=2, "+", IF(COUNTIF($B7:AB7,"X")=0, "+", "-") ),
  IF(
    $A7&lt;AC$1,
    "O",
    IF( OFFSET(AC$1, COLUMN(AC7)-1, 0)="-", "O", IF(MOD($A7, AC$1)=0, "X", "O") )
  )
)</f>
        <v>O</v>
      </c>
      <c r="AD7" s="45" t="str">
        <f ca="1">IF(
  $A7=AD$1,
  IF( ROW(AD7)=2, "+", IF(COUNTIF($B7:AC7,"X")=0, "+", "-") ),
  IF(
    $A7&lt;AD$1,
    "O",
    IF( OFFSET(AD$1, COLUMN(AD7)-1, 0)="-", "O", IF(MOD($A7, AD$1)=0, "X", "O") )
  )
)</f>
        <v>O</v>
      </c>
      <c r="AE7" s="45" t="str">
        <f ca="1">IF(
  $A7=AE$1,
  IF( ROW(AE7)=2, "+", IF(COUNTIF($B7:AD7,"X")=0, "+", "-") ),
  IF(
    $A7&lt;AE$1,
    "O",
    IF( OFFSET(AE$1, COLUMN(AE7)-1, 0)="-", "O", IF(MOD($A7, AE$1)=0, "X", "O") )
  )
)</f>
        <v>O</v>
      </c>
      <c r="AF7" s="45" t="str">
        <f ca="1">IF(
  $A7=AF$1,
  IF( ROW(AF7)=2, "+", IF(COUNTIF($B7:AE7,"X")=0, "+", "-") ),
  IF(
    $A7&lt;AF$1,
    "O",
    IF( OFFSET(AF$1, COLUMN(AF7)-1, 0)="-", "O", IF(MOD($A7, AF$1)=0, "X", "O") )
  )
)</f>
        <v>O</v>
      </c>
      <c r="AG7" s="45" t="str">
        <f ca="1">IF(
  $A7=AG$1,
  IF( ROW(AG7)=2, "+", IF(COUNTIF($B7:AF7,"X")=0, "+", "-") ),
  IF(
    $A7&lt;AG$1,
    "O",
    IF( OFFSET(AG$1, COLUMN(AG7)-1, 0)="-", "O", IF(MOD($A7, AG$1)=0, "X", "O") )
  )
)</f>
        <v>O</v>
      </c>
      <c r="AH7" s="45" t="str">
        <f ca="1">IF(
  $A7=AH$1,
  IF( ROW(AH7)=2, "+", IF(COUNTIF($B7:AG7,"X")=0, "+", "-") ),
  IF(
    $A7&lt;AH$1,
    "O",
    IF( OFFSET(AH$1, COLUMN(AH7)-1, 0)="-", "O", IF(MOD($A7, AH$1)=0, "X", "O") )
  )
)</f>
        <v>O</v>
      </c>
      <c r="AI7" s="45" t="str">
        <f ca="1">IF(
  $A7=AI$1,
  IF( ROW(AI7)=2, "+", IF(COUNTIF($B7:AH7,"X")=0, "+", "-") ),
  IF(
    $A7&lt;AI$1,
    "O",
    IF( OFFSET(AI$1, COLUMN(AI7)-1, 0)="-", "O", IF(MOD($A7, AI$1)=0, "X", "O") )
  )
)</f>
        <v>O</v>
      </c>
      <c r="AJ7" s="45" t="str">
        <f ca="1">IF(
  $A7=AJ$1,
  IF( ROW(AJ7)=2, "+", IF(COUNTIF($B7:AI7,"X")=0, "+", "-") ),
  IF(
    $A7&lt;AJ$1,
    "O",
    IF( OFFSET(AJ$1, COLUMN(AJ7)-1, 0)="-", "O", IF(MOD($A7, AJ$1)=0, "X", "O") )
  )
)</f>
        <v>O</v>
      </c>
      <c r="AK7" s="45" t="str">
        <f ca="1">IF(
  $A7=AK$1,
  IF( ROW(AK7)=2, "+", IF(COUNTIF($B7:AJ7,"X")=0, "+", "-") ),
  IF(
    $A7&lt;AK$1,
    "O",
    IF( OFFSET(AK$1, COLUMN(AK7)-1, 0)="-", "O", IF(MOD($A7, AK$1)=0, "X", "O") )
  )
)</f>
        <v>O</v>
      </c>
      <c r="AL7" s="45" t="str">
        <f ca="1">IF(
  $A7=AL$1,
  IF( ROW(AL7)=2, "+", IF(COUNTIF($B7:AK7,"X")=0, "+", "-") ),
  IF(
    $A7&lt;AL$1,
    "O",
    IF( OFFSET(AL$1, COLUMN(AL7)-1, 0)="-", "O", IF(MOD($A7, AL$1)=0, "X", "O") )
  )
)</f>
        <v>O</v>
      </c>
      <c r="AM7" s="45" t="str">
        <f ca="1">IF(
  $A7=AM$1,
  IF( ROW(AM7)=2, "+", IF(COUNTIF($B7:AL7,"X")=0, "+", "-") ),
  IF(
    $A7&lt;AM$1,
    "O",
    IF( OFFSET(AM$1, COLUMN(AM7)-1, 0)="-", "O", IF(MOD($A7, AM$1)=0, "X", "O") )
  )
)</f>
        <v>O</v>
      </c>
      <c r="AN7" s="45" t="str">
        <f ca="1">IF(
  $A7=AN$1,
  IF( ROW(AN7)=2, "+", IF(COUNTIF($B7:AM7,"X")=0, "+", "-") ),
  IF(
    $A7&lt;AN$1,
    "O",
    IF( OFFSET(AN$1, COLUMN(AN7)-1, 0)="-", "O", IF(MOD($A7, AN$1)=0, "X", "O") )
  )
)</f>
        <v>O</v>
      </c>
      <c r="AO7" s="45" t="str">
        <f ca="1">IF(
  $A7=AO$1,
  IF( ROW(AO7)=2, "+", IF(COUNTIF($B7:AN7,"X")=0, "+", "-") ),
  IF(
    $A7&lt;AO$1,
    "O",
    IF( OFFSET(AO$1, COLUMN(AO7)-1, 0)="-", "O", IF(MOD($A7, AO$1)=0, "X", "O") )
  )
)</f>
        <v>O</v>
      </c>
      <c r="AP7" s="45" t="str">
        <f ca="1">IF(
  $A7=AP$1,
  IF( ROW(AP7)=2, "+", IF(COUNTIF($B7:AO7,"X")=0, "+", "-") ),
  IF(
    $A7&lt;AP$1,
    "O",
    IF( OFFSET(AP$1, COLUMN(AP7)-1, 0)="-", "O", IF(MOD($A7, AP$1)=0, "X", "O") )
  )
)</f>
        <v>O</v>
      </c>
      <c r="AQ7" s="45" t="str">
        <f ca="1">IF(
  $A7=AQ$1,
  IF( ROW(AQ7)=2, "+", IF(COUNTIF($B7:AP7,"X")=0, "+", "-") ),
  IF(
    $A7&lt;AQ$1,
    "O",
    IF( OFFSET(AQ$1, COLUMN(AQ7)-1, 0)="-", "O", IF(MOD($A7, AQ$1)=0, "X", "O") )
  )
)</f>
        <v>O</v>
      </c>
      <c r="AR7" s="45" t="str">
        <f ca="1">IF(
  $A7=AR$1,
  IF( ROW(AR7)=2, "+", IF(COUNTIF($B7:AQ7,"X")=0, "+", "-") ),
  IF(
    $A7&lt;AR$1,
    "O",
    IF( OFFSET(AR$1, COLUMN(AR7)-1, 0)="-", "O", IF(MOD($A7, AR$1)=0, "X", "O") )
  )
)</f>
        <v>O</v>
      </c>
      <c r="AS7" s="45" t="str">
        <f ca="1">IF(
  $A7=AS$1,
  IF( ROW(AS7)=2, "+", IF(COUNTIF($B7:AR7,"X")=0, "+", "-") ),
  IF(
    $A7&lt;AS$1,
    "O",
    IF( OFFSET(AS$1, COLUMN(AS7)-1, 0)="-", "O", IF(MOD($A7, AS$1)=0, "X", "O") )
  )
)</f>
        <v>O</v>
      </c>
      <c r="AT7" s="45" t="str">
        <f ca="1">IF(
  $A7=AT$1,
  IF( ROW(AT7)=2, "+", IF(COUNTIF($B7:AS7,"X")=0, "+", "-") ),
  IF(
    $A7&lt;AT$1,
    "O",
    IF( OFFSET(AT$1, COLUMN(AT7)-1, 0)="-", "O", IF(MOD($A7, AT$1)=0, "X", "O") )
  )
)</f>
        <v>O</v>
      </c>
      <c r="AU7" s="45" t="str">
        <f ca="1">IF(
  $A7=AU$1,
  IF( ROW(AU7)=2, "+", IF(COUNTIF($B7:AT7,"X")=0, "+", "-") ),
  IF(
    $A7&lt;AU$1,
    "O",
    IF( OFFSET(AU$1, COLUMN(AU7)-1, 0)="-", "O", IF(MOD($A7, AU$1)=0, "X", "O") )
  )
)</f>
        <v>O</v>
      </c>
      <c r="AV7" s="45" t="str">
        <f ca="1">IF(
  $A7=AV$1,
  IF( ROW(AV7)=2, "+", IF(COUNTIF($B7:AU7,"X")=0, "+", "-") ),
  IF(
    $A7&lt;AV$1,
    "O",
    IF( OFFSET(AV$1, COLUMN(AV7)-1, 0)="-", "O", IF(MOD($A7, AV$1)=0, "X", "O") )
  )
)</f>
        <v>O</v>
      </c>
      <c r="AW7" s="45" t="str">
        <f ca="1">IF(
  $A7=AW$1,
  IF( ROW(AW7)=2, "+", IF(COUNTIF($B7:AV7,"X")=0, "+", "-") ),
  IF(
    $A7&lt;AW$1,
    "O",
    IF( OFFSET(AW$1, COLUMN(AW7)-1, 0)="-", "O", IF(MOD($A7, AW$1)=0, "X", "O") )
  )
)</f>
        <v>O</v>
      </c>
      <c r="AX7" s="45" t="str">
        <f ca="1">IF(
  $A7=AX$1,
  IF( ROW(AX7)=2, "+", IF(COUNTIF($B7:AW7,"X")=0, "+", "-") ),
  IF(
    $A7&lt;AX$1,
    "O",
    IF( OFFSET(AX$1, COLUMN(AX7)-1, 0)="-", "O", IF(MOD($A7, AX$1)=0, "X", "O") )
  )
)</f>
        <v>O</v>
      </c>
      <c r="AY7" s="45" t="str">
        <f ca="1">IF(
  $A7=AY$1,
  IF( ROW(AY7)=2, "+", IF(COUNTIF($B7:AX7,"X")=0, "+", "-") ),
  IF(
    $A7&lt;AY$1,
    "O",
    IF( OFFSET(AY$1, COLUMN(AY7)-1, 0)="-", "O", IF(MOD($A7, AY$1)=0, "X", "O") )
  )
)</f>
        <v>O</v>
      </c>
      <c r="AZ7" s="45" t="str">
        <f ca="1">IF(
  $A7=AZ$1,
  IF( ROW(AZ7)=2, "+", IF(COUNTIF($B7:AY7,"X")=0, "+", "-") ),
  IF(
    $A7&lt;AZ$1,
    "O",
    IF( OFFSET(AZ$1, COLUMN(AZ7)-1, 0)="-", "O", IF(MOD($A7, AZ$1)=0, "X", "O") )
  )
)</f>
        <v>O</v>
      </c>
      <c r="BA7" s="45" t="str">
        <f ca="1">IF(
  $A7=BA$1,
  IF( ROW(BA7)=2, "+", IF(COUNTIF($B7:AZ7,"X")=0, "+", "-") ),
  IF(
    $A7&lt;BA$1,
    "O",
    IF( OFFSET(BA$1, COLUMN(BA7)-1, 0)="-", "O", IF(MOD($A7, BA$1)=0, "X", "O") )
  )
)</f>
        <v>O</v>
      </c>
      <c r="BB7" s="45" t="str">
        <f ca="1">IF(
  $A7=BB$1,
  IF( ROW(BB7)=2, "+", IF(COUNTIF($B7:BA7,"X")=0, "+", "-") ),
  IF(
    $A7&lt;BB$1,
    "O",
    IF( OFFSET(BB$1, COLUMN(BB7)-1, 0)="-", "O", IF(MOD($A7, BB$1)=0, "X", "O") )
  )
)</f>
        <v>O</v>
      </c>
      <c r="BC7" s="45" t="str">
        <f ca="1">IF(
  $A7=BC$1,
  IF( ROW(BC7)=2, "+", IF(COUNTIF($B7:BB7,"X")=0, "+", "-") ),
  IF(
    $A7&lt;BC$1,
    "O",
    IF( OFFSET(BC$1, COLUMN(BC7)-1, 0)="-", "O", IF(MOD($A7, BC$1)=0, "X", "O") )
  )
)</f>
        <v>O</v>
      </c>
      <c r="BD7" s="45" t="str">
        <f ca="1">IF(
  $A7=BD$1,
  IF( ROW(BD7)=2, "+", IF(COUNTIF($B7:BC7,"X")=0, "+", "-") ),
  IF(
    $A7&lt;BD$1,
    "O",
    IF( OFFSET(BD$1, COLUMN(BD7)-1, 0)="-", "O", IF(MOD($A7, BD$1)=0, "X", "O") )
  )
)</f>
        <v>O</v>
      </c>
      <c r="BE7" s="45" t="str">
        <f ca="1">IF(
  $A7=BE$1,
  IF( ROW(BE7)=2, "+", IF(COUNTIF($B7:BD7,"X")=0, "+", "-") ),
  IF(
    $A7&lt;BE$1,
    "O",
    IF( OFFSET(BE$1, COLUMN(BE7)-1, 0)="-", "O", IF(MOD($A7, BE$1)=0, "X", "O") )
  )
)</f>
        <v>O</v>
      </c>
      <c r="BF7" s="45" t="str">
        <f ca="1">IF(
  $A7=BF$1,
  IF( ROW(BF7)=2, "+", IF(COUNTIF($B7:BE7,"X")=0, "+", "-") ),
  IF(
    $A7&lt;BF$1,
    "O",
    IF( OFFSET(BF$1, COLUMN(BF7)-1, 0)="-", "O", IF(MOD($A7, BF$1)=0, "X", "O") )
  )
)</f>
        <v>O</v>
      </c>
      <c r="BG7" s="45" t="str">
        <f ca="1">IF(
  $A7=BG$1,
  IF( ROW(BG7)=2, "+", IF(COUNTIF($B7:BF7,"X")=0, "+", "-") ),
  IF(
    $A7&lt;BG$1,
    "O",
    IF( OFFSET(BG$1, COLUMN(BG7)-1, 0)="-", "O", IF(MOD($A7, BG$1)=0, "X", "O") )
  )
)</f>
        <v>O</v>
      </c>
      <c r="BH7" s="45" t="str">
        <f ca="1">IF(
  $A7=BH$1,
  IF( ROW(BH7)=2, "+", IF(COUNTIF($B7:BG7,"X")=0, "+", "-") ),
  IF(
    $A7&lt;BH$1,
    "O",
    IF( OFFSET(BH$1, COLUMN(BH7)-1, 0)="-", "O", IF(MOD($A7, BH$1)=0, "X", "O") )
  )
)</f>
        <v>O</v>
      </c>
    </row>
    <row r="8" spans="1:62" s="46" customFormat="1" x14ac:dyDescent="0.25">
      <c r="A8">
        <v>8</v>
      </c>
      <c r="B8" s="44" t="str">
        <f ca="1">IF(
  $A8=B$1,
  IF( ROW(B8)=2, "+", IF(COUNTIF(A8:$B8,"X")=0, "+", "-") ),
  IF(
    $A8&lt;B$1,
    "O",
    IF( OFFSET(B$1, COLUMN(B8)-1, 0)="-", "O", IF(MOD($A8, B$1)=0, "X", "O") )
  )
)</f>
        <v>X</v>
      </c>
      <c r="C8" s="44" t="str">
        <f ca="1">IF(
  $A8=C$1,
  IF( ROW(C8)=2, "+", IF(COUNTIF(B8:$B8,"X")=0, "+", "-") ),
  IF(
    $A8&lt;C$1,
    "O",
    IF( OFFSET(C$1, COLUMN(C8)-1, 0)="-", "O", IF(MOD($A8, C$1)=0, "X", "O") )
  )
)</f>
        <v>O</v>
      </c>
      <c r="D8" s="45" t="str">
        <f ca="1">IF(
  $A8=D$1,
  IF( ROW(D8)=2, "+", IF(COUNTIF($B8:C8,"X")=0, "+", "-") ),
  IF(
    $A8&lt;D$1,
    "O",
    IF( OFFSET(D$1, COLUMN(D8)-1, 0)="-", "O", IF(MOD($A8, D$1)=0, "X", "O") )
  )
)</f>
        <v>O</v>
      </c>
      <c r="E8" s="44" t="str">
        <f ca="1">IF(
  $A8=E$1,
  IF( ROW(E8)=2, "+", IF(COUNTIF($B8:D8,"X")=0, "+", "-") ),
  IF(
    $A8&lt;E$1,
    "O",
    IF( OFFSET(E$1, COLUMN(E8)-1, 0)="-", "O", IF(MOD($A8, E$1)=0, "X", "O") )
  )
)</f>
        <v>O</v>
      </c>
      <c r="F8" s="45" t="str">
        <f ca="1">IF(
  $A8=F$1,
  IF( ROW(F8)=2, "+", IF(COUNTIF($B8:E8,"X")=0, "+", "-") ),
  IF(
    $A8&lt;F$1,
    "O",
    IF( OFFSET(F$1, COLUMN(F8)-1, 0)="-", "O", IF(MOD($A8, F$1)=0, "X", "O") )
  )
)</f>
        <v>O</v>
      </c>
      <c r="G8" s="44" t="str">
        <f ca="1">IF(
  $A8=G$1,
  IF( ROW(G8)=2, "+", IF(COUNTIF($B8:F8,"X")=0, "+", "-") ),
  IF(
    $A8&lt;G$1,
    "O",
    IF( OFFSET(G$1, COLUMN(G8)-1, 0)="-", "O", IF(MOD($A8, G$1)=0, "X", "O") )
  )
)</f>
        <v>O</v>
      </c>
      <c r="H8" s="45" t="str">
        <f ca="1">IF(
  $A8=H$1,
  IF( ROW(H8)=2, "+", IF(COUNTIF($B8:G8,"X")=0, "+", "-") ),
  IF(
    $A8&lt;H$1,
    "O",
    IF( OFFSET(H$1, COLUMN(H8)-1, 0)="-", "O", IF(MOD($A8, H$1)=0, "X", "O") )
  )
)</f>
        <v>-</v>
      </c>
      <c r="I8" s="45" t="str">
        <f ca="1">IF(
  $A8=I$1,
  IF( ROW(I8)=2, "+", IF(COUNTIF($B8:H8,"X")=0, "+", "-") ),
  IF(
    $A8&lt;I$1,
    "O",
    IF( OFFSET(I$1, COLUMN(I8)-1, 0)="-", "O", IF(MOD($A8, I$1)=0, "X", "O") )
  )
)</f>
        <v>O</v>
      </c>
      <c r="J8" s="45" t="str">
        <f ca="1">IF(
  $A8=J$1,
  IF( ROW(J8)=2, "+", IF(COUNTIF($B8:I8,"X")=0, "+", "-") ),
  IF(
    $A8&lt;J$1,
    "O",
    IF( OFFSET(J$1, COLUMN(J8)-1, 0)="-", "O", IF(MOD($A8, J$1)=0, "X", "O") )
  )
)</f>
        <v>O</v>
      </c>
      <c r="K8" s="45" t="str">
        <f ca="1">IF(
  $A8=K$1,
  IF( ROW(K8)=2, "+", IF(COUNTIF($B8:J8,"X")=0, "+", "-") ),
  IF(
    $A8&lt;K$1,
    "O",
    IF( OFFSET(K$1, COLUMN(K8)-1, 0)="-", "O", IF(MOD($A8, K$1)=0, "X", "O") )
  )
)</f>
        <v>O</v>
      </c>
      <c r="L8" s="45" t="str">
        <f ca="1">IF(
  $A8=L$1,
  IF( ROW(L8)=2, "+", IF(COUNTIF($B8:K8,"X")=0, "+", "-") ),
  IF(
    $A8&lt;L$1,
    "O",
    IF( OFFSET(L$1, COLUMN(L8)-1, 0)="-", "O", IF(MOD($A8, L$1)=0, "X", "O") )
  )
)</f>
        <v>O</v>
      </c>
      <c r="M8" s="45" t="str">
        <f ca="1">IF(
  $A8=M$1,
  IF( ROW(M8)=2, "+", IF(COUNTIF($B8:L8,"X")=0, "+", "-") ),
  IF(
    $A8&lt;M$1,
    "O",
    IF( OFFSET(M$1, COLUMN(M8)-1, 0)="-", "O", IF(MOD($A8, M$1)=0, "X", "O") )
  )
)</f>
        <v>O</v>
      </c>
      <c r="N8" s="45" t="str">
        <f ca="1">IF(
  $A8=N$1,
  IF( ROW(N8)=2, "+", IF(COUNTIF($B8:M8,"X")=0, "+", "-") ),
  IF(
    $A8&lt;N$1,
    "O",
    IF( OFFSET(N$1, COLUMN(N8)-1, 0)="-", "O", IF(MOD($A8, N$1)=0, "X", "O") )
  )
)</f>
        <v>O</v>
      </c>
      <c r="O8" s="45" t="str">
        <f ca="1">IF(
  $A8=O$1,
  IF( ROW(O8)=2, "+", IF(COUNTIF($B8:N8,"X")=0, "+", "-") ),
  IF(
    $A8&lt;O$1,
    "O",
    IF( OFFSET(O$1, COLUMN(O8)-1, 0)="-", "O", IF(MOD($A8, O$1)=0, "X", "O") )
  )
)</f>
        <v>O</v>
      </c>
      <c r="P8" s="45" t="str">
        <f ca="1">IF(
  $A8=P$1,
  IF( ROW(P8)=2, "+", IF(COUNTIF($B8:O8,"X")=0, "+", "-") ),
  IF(
    $A8&lt;P$1,
    "O",
    IF( OFFSET(P$1, COLUMN(P8)-1, 0)="-", "O", IF(MOD($A8, P$1)=0, "X", "O") )
  )
)</f>
        <v>O</v>
      </c>
      <c r="Q8" s="45" t="str">
        <f ca="1">IF(
  $A8=Q$1,
  IF( ROW(Q8)=2, "+", IF(COUNTIF($B8:P8,"X")=0, "+", "-") ),
  IF(
    $A8&lt;Q$1,
    "O",
    IF( OFFSET(Q$1, COLUMN(Q8)-1, 0)="-", "O", IF(MOD($A8, Q$1)=0, "X", "O") )
  )
)</f>
        <v>O</v>
      </c>
      <c r="R8" s="45" t="str">
        <f ca="1">IF(
  $A8=R$1,
  IF( ROW(R8)=2, "+", IF(COUNTIF($B8:Q8,"X")=0, "+", "-") ),
  IF(
    $A8&lt;R$1,
    "O",
    IF( OFFSET(R$1, COLUMN(R8)-1, 0)="-", "O", IF(MOD($A8, R$1)=0, "X", "O") )
  )
)</f>
        <v>O</v>
      </c>
      <c r="S8" s="45" t="str">
        <f ca="1">IF(
  $A8=S$1,
  IF( ROW(S8)=2, "+", IF(COUNTIF($B8:R8,"X")=0, "+", "-") ),
  IF(
    $A8&lt;S$1,
    "O",
    IF( OFFSET(S$1, COLUMN(S8)-1, 0)="-", "O", IF(MOD($A8, S$1)=0, "X", "O") )
  )
)</f>
        <v>O</v>
      </c>
      <c r="T8" s="45" t="str">
        <f ca="1">IF(
  $A8=T$1,
  IF( ROW(T8)=2, "+", IF(COUNTIF($B8:S8,"X")=0, "+", "-") ),
  IF(
    $A8&lt;T$1,
    "O",
    IF( OFFSET(T$1, COLUMN(T8)-1, 0)="-", "O", IF(MOD($A8, T$1)=0, "X", "O") )
  )
)</f>
        <v>O</v>
      </c>
      <c r="U8" s="45" t="str">
        <f ca="1">IF(
  $A8=U$1,
  IF( ROW(U8)=2, "+", IF(COUNTIF($B8:T8,"X")=0, "+", "-") ),
  IF(
    $A8&lt;U$1,
    "O",
    IF( OFFSET(U$1, COLUMN(U8)-1, 0)="-", "O", IF(MOD($A8, U$1)=0, "X", "O") )
  )
)</f>
        <v>O</v>
      </c>
      <c r="V8" s="45" t="str">
        <f ca="1">IF(
  $A8=V$1,
  IF( ROW(V8)=2, "+", IF(COUNTIF($B8:U8,"X")=0, "+", "-") ),
  IF(
    $A8&lt;V$1,
    "O",
    IF( OFFSET(V$1, COLUMN(V8)-1, 0)="-", "O", IF(MOD($A8, V$1)=0, "X", "O") )
  )
)</f>
        <v>O</v>
      </c>
      <c r="W8" s="45" t="str">
        <f ca="1">IF(
  $A8=W$1,
  IF( ROW(W8)=2, "+", IF(COUNTIF($B8:V8,"X")=0, "+", "-") ),
  IF(
    $A8&lt;W$1,
    "O",
    IF( OFFSET(W$1, COLUMN(W8)-1, 0)="-", "O", IF(MOD($A8, W$1)=0, "X", "O") )
  )
)</f>
        <v>O</v>
      </c>
      <c r="X8" s="45" t="str">
        <f ca="1">IF(
  $A8=X$1,
  IF( ROW(X8)=2, "+", IF(COUNTIF($B8:W8,"X")=0, "+", "-") ),
  IF(
    $A8&lt;X$1,
    "O",
    IF( OFFSET(X$1, COLUMN(X8)-1, 0)="-", "O", IF(MOD($A8, X$1)=0, "X", "O") )
  )
)</f>
        <v>O</v>
      </c>
      <c r="Y8" s="45" t="str">
        <f ca="1">IF(
  $A8=Y$1,
  IF( ROW(Y8)=2, "+", IF(COUNTIF($B8:X8,"X")=0, "+", "-") ),
  IF(
    $A8&lt;Y$1,
    "O",
    IF( OFFSET(Y$1, COLUMN(Y8)-1, 0)="-", "O", IF(MOD($A8, Y$1)=0, "X", "O") )
  )
)</f>
        <v>O</v>
      </c>
      <c r="Z8" s="45" t="str">
        <f ca="1">IF(
  $A8=Z$1,
  IF( ROW(Z8)=2, "+", IF(COUNTIF($B8:Y8,"X")=0, "+", "-") ),
  IF(
    $A8&lt;Z$1,
    "O",
    IF( OFFSET(Z$1, COLUMN(Z8)-1, 0)="-", "O", IF(MOD($A8, Z$1)=0, "X", "O") )
  )
)</f>
        <v>O</v>
      </c>
      <c r="AA8" s="45" t="str">
        <f ca="1">IF(
  $A8=AA$1,
  IF( ROW(AA8)=2, "+", IF(COUNTIF($B8:Z8,"X")=0, "+", "-") ),
  IF(
    $A8&lt;AA$1,
    "O",
    IF( OFFSET(AA$1, COLUMN(AA8)-1, 0)="-", "O", IF(MOD($A8, AA$1)=0, "X", "O") )
  )
)</f>
        <v>O</v>
      </c>
      <c r="AB8" s="45" t="str">
        <f ca="1">IF(
  $A8=AB$1,
  IF( ROW(AB8)=2, "+", IF(COUNTIF($B8:AA8,"X")=0, "+", "-") ),
  IF(
    $A8&lt;AB$1,
    "O",
    IF( OFFSET(AB$1, COLUMN(AB8)-1, 0)="-", "O", IF(MOD($A8, AB$1)=0, "X", "O") )
  )
)</f>
        <v>O</v>
      </c>
      <c r="AC8" s="45" t="str">
        <f ca="1">IF(
  $A8=AC$1,
  IF( ROW(AC8)=2, "+", IF(COUNTIF($B8:AB8,"X")=0, "+", "-") ),
  IF(
    $A8&lt;AC$1,
    "O",
    IF( OFFSET(AC$1, COLUMN(AC8)-1, 0)="-", "O", IF(MOD($A8, AC$1)=0, "X", "O") )
  )
)</f>
        <v>O</v>
      </c>
      <c r="AD8" s="45" t="str">
        <f ca="1">IF(
  $A8=AD$1,
  IF( ROW(AD8)=2, "+", IF(COUNTIF($B8:AC8,"X")=0, "+", "-") ),
  IF(
    $A8&lt;AD$1,
    "O",
    IF( OFFSET(AD$1, COLUMN(AD8)-1, 0)="-", "O", IF(MOD($A8, AD$1)=0, "X", "O") )
  )
)</f>
        <v>O</v>
      </c>
      <c r="AE8" s="45" t="str">
        <f ca="1">IF(
  $A8=AE$1,
  IF( ROW(AE8)=2, "+", IF(COUNTIF($B8:AD8,"X")=0, "+", "-") ),
  IF(
    $A8&lt;AE$1,
    "O",
    IF( OFFSET(AE$1, COLUMN(AE8)-1, 0)="-", "O", IF(MOD($A8, AE$1)=0, "X", "O") )
  )
)</f>
        <v>O</v>
      </c>
      <c r="AF8" s="45" t="str">
        <f ca="1">IF(
  $A8=AF$1,
  IF( ROW(AF8)=2, "+", IF(COUNTIF($B8:AE8,"X")=0, "+", "-") ),
  IF(
    $A8&lt;AF$1,
    "O",
    IF( OFFSET(AF$1, COLUMN(AF8)-1, 0)="-", "O", IF(MOD($A8, AF$1)=0, "X", "O") )
  )
)</f>
        <v>O</v>
      </c>
      <c r="AG8" s="45" t="str">
        <f ca="1">IF(
  $A8=AG$1,
  IF( ROW(AG8)=2, "+", IF(COUNTIF($B8:AF8,"X")=0, "+", "-") ),
  IF(
    $A8&lt;AG$1,
    "O",
    IF( OFFSET(AG$1, COLUMN(AG8)-1, 0)="-", "O", IF(MOD($A8, AG$1)=0, "X", "O") )
  )
)</f>
        <v>O</v>
      </c>
      <c r="AH8" s="45" t="str">
        <f ca="1">IF(
  $A8=AH$1,
  IF( ROW(AH8)=2, "+", IF(COUNTIF($B8:AG8,"X")=0, "+", "-") ),
  IF(
    $A8&lt;AH$1,
    "O",
    IF( OFFSET(AH$1, COLUMN(AH8)-1, 0)="-", "O", IF(MOD($A8, AH$1)=0, "X", "O") )
  )
)</f>
        <v>O</v>
      </c>
      <c r="AI8" s="45" t="str">
        <f ca="1">IF(
  $A8=AI$1,
  IF( ROW(AI8)=2, "+", IF(COUNTIF($B8:AH8,"X")=0, "+", "-") ),
  IF(
    $A8&lt;AI$1,
    "O",
    IF( OFFSET(AI$1, COLUMN(AI8)-1, 0)="-", "O", IF(MOD($A8, AI$1)=0, "X", "O") )
  )
)</f>
        <v>O</v>
      </c>
      <c r="AJ8" s="45" t="str">
        <f ca="1">IF(
  $A8=AJ$1,
  IF( ROW(AJ8)=2, "+", IF(COUNTIF($B8:AI8,"X")=0, "+", "-") ),
  IF(
    $A8&lt;AJ$1,
    "O",
    IF( OFFSET(AJ$1, COLUMN(AJ8)-1, 0)="-", "O", IF(MOD($A8, AJ$1)=0, "X", "O") )
  )
)</f>
        <v>O</v>
      </c>
      <c r="AK8" s="45" t="str">
        <f ca="1">IF(
  $A8=AK$1,
  IF( ROW(AK8)=2, "+", IF(COUNTIF($B8:AJ8,"X")=0, "+", "-") ),
  IF(
    $A8&lt;AK$1,
    "O",
    IF( OFFSET(AK$1, COLUMN(AK8)-1, 0)="-", "O", IF(MOD($A8, AK$1)=0, "X", "O") )
  )
)</f>
        <v>O</v>
      </c>
      <c r="AL8" s="45" t="str">
        <f ca="1">IF(
  $A8=AL$1,
  IF( ROW(AL8)=2, "+", IF(COUNTIF($B8:AK8,"X")=0, "+", "-") ),
  IF(
    $A8&lt;AL$1,
    "O",
    IF( OFFSET(AL$1, COLUMN(AL8)-1, 0)="-", "O", IF(MOD($A8, AL$1)=0, "X", "O") )
  )
)</f>
        <v>O</v>
      </c>
      <c r="AM8" s="45" t="str">
        <f ca="1">IF(
  $A8=AM$1,
  IF( ROW(AM8)=2, "+", IF(COUNTIF($B8:AL8,"X")=0, "+", "-") ),
  IF(
    $A8&lt;AM$1,
    "O",
    IF( OFFSET(AM$1, COLUMN(AM8)-1, 0)="-", "O", IF(MOD($A8, AM$1)=0, "X", "O") )
  )
)</f>
        <v>O</v>
      </c>
      <c r="AN8" s="45" t="str">
        <f ca="1">IF(
  $A8=AN$1,
  IF( ROW(AN8)=2, "+", IF(COUNTIF($B8:AM8,"X")=0, "+", "-") ),
  IF(
    $A8&lt;AN$1,
    "O",
    IF( OFFSET(AN$1, COLUMN(AN8)-1, 0)="-", "O", IF(MOD($A8, AN$1)=0, "X", "O") )
  )
)</f>
        <v>O</v>
      </c>
      <c r="AO8" s="45" t="str">
        <f ca="1">IF(
  $A8=AO$1,
  IF( ROW(AO8)=2, "+", IF(COUNTIF($B8:AN8,"X")=0, "+", "-") ),
  IF(
    $A8&lt;AO$1,
    "O",
    IF( OFFSET(AO$1, COLUMN(AO8)-1, 0)="-", "O", IF(MOD($A8, AO$1)=0, "X", "O") )
  )
)</f>
        <v>O</v>
      </c>
      <c r="AP8" s="45" t="str">
        <f ca="1">IF(
  $A8=AP$1,
  IF( ROW(AP8)=2, "+", IF(COUNTIF($B8:AO8,"X")=0, "+", "-") ),
  IF(
    $A8&lt;AP$1,
    "O",
    IF( OFFSET(AP$1, COLUMN(AP8)-1, 0)="-", "O", IF(MOD($A8, AP$1)=0, "X", "O") )
  )
)</f>
        <v>O</v>
      </c>
      <c r="AQ8" s="45" t="str">
        <f ca="1">IF(
  $A8=AQ$1,
  IF( ROW(AQ8)=2, "+", IF(COUNTIF($B8:AP8,"X")=0, "+", "-") ),
  IF(
    $A8&lt;AQ$1,
    "O",
    IF( OFFSET(AQ$1, COLUMN(AQ8)-1, 0)="-", "O", IF(MOD($A8, AQ$1)=0, "X", "O") )
  )
)</f>
        <v>O</v>
      </c>
      <c r="AR8" s="45" t="str">
        <f ca="1">IF(
  $A8=AR$1,
  IF( ROW(AR8)=2, "+", IF(COUNTIF($B8:AQ8,"X")=0, "+", "-") ),
  IF(
    $A8&lt;AR$1,
    "O",
    IF( OFFSET(AR$1, COLUMN(AR8)-1, 0)="-", "O", IF(MOD($A8, AR$1)=0, "X", "O") )
  )
)</f>
        <v>O</v>
      </c>
      <c r="AS8" s="45" t="str">
        <f ca="1">IF(
  $A8=AS$1,
  IF( ROW(AS8)=2, "+", IF(COUNTIF($B8:AR8,"X")=0, "+", "-") ),
  IF(
    $A8&lt;AS$1,
    "O",
    IF( OFFSET(AS$1, COLUMN(AS8)-1, 0)="-", "O", IF(MOD($A8, AS$1)=0, "X", "O") )
  )
)</f>
        <v>O</v>
      </c>
      <c r="AT8" s="45" t="str">
        <f ca="1">IF(
  $A8=AT$1,
  IF( ROW(AT8)=2, "+", IF(COUNTIF($B8:AS8,"X")=0, "+", "-") ),
  IF(
    $A8&lt;AT$1,
    "O",
    IF( OFFSET(AT$1, COLUMN(AT8)-1, 0)="-", "O", IF(MOD($A8, AT$1)=0, "X", "O") )
  )
)</f>
        <v>O</v>
      </c>
      <c r="AU8" s="45" t="str">
        <f ca="1">IF(
  $A8=AU$1,
  IF( ROW(AU8)=2, "+", IF(COUNTIF($B8:AT8,"X")=0, "+", "-") ),
  IF(
    $A8&lt;AU$1,
    "O",
    IF( OFFSET(AU$1, COLUMN(AU8)-1, 0)="-", "O", IF(MOD($A8, AU$1)=0, "X", "O") )
  )
)</f>
        <v>O</v>
      </c>
      <c r="AV8" s="45" t="str">
        <f ca="1">IF(
  $A8=AV$1,
  IF( ROW(AV8)=2, "+", IF(COUNTIF($B8:AU8,"X")=0, "+", "-") ),
  IF(
    $A8&lt;AV$1,
    "O",
    IF( OFFSET(AV$1, COLUMN(AV8)-1, 0)="-", "O", IF(MOD($A8, AV$1)=0, "X", "O") )
  )
)</f>
        <v>O</v>
      </c>
      <c r="AW8" s="45" t="str">
        <f ca="1">IF(
  $A8=AW$1,
  IF( ROW(AW8)=2, "+", IF(COUNTIF($B8:AV8,"X")=0, "+", "-") ),
  IF(
    $A8&lt;AW$1,
    "O",
    IF( OFFSET(AW$1, COLUMN(AW8)-1, 0)="-", "O", IF(MOD($A8, AW$1)=0, "X", "O") )
  )
)</f>
        <v>O</v>
      </c>
      <c r="AX8" s="45" t="str">
        <f ca="1">IF(
  $A8=AX$1,
  IF( ROW(AX8)=2, "+", IF(COUNTIF($B8:AW8,"X")=0, "+", "-") ),
  IF(
    $A8&lt;AX$1,
    "O",
    IF( OFFSET(AX$1, COLUMN(AX8)-1, 0)="-", "O", IF(MOD($A8, AX$1)=0, "X", "O") )
  )
)</f>
        <v>O</v>
      </c>
      <c r="AY8" s="45" t="str">
        <f ca="1">IF(
  $A8=AY$1,
  IF( ROW(AY8)=2, "+", IF(COUNTIF($B8:AX8,"X")=0, "+", "-") ),
  IF(
    $A8&lt;AY$1,
    "O",
    IF( OFFSET(AY$1, COLUMN(AY8)-1, 0)="-", "O", IF(MOD($A8, AY$1)=0, "X", "O") )
  )
)</f>
        <v>O</v>
      </c>
      <c r="AZ8" s="45" t="str">
        <f ca="1">IF(
  $A8=AZ$1,
  IF( ROW(AZ8)=2, "+", IF(COUNTIF($B8:AY8,"X")=0, "+", "-") ),
  IF(
    $A8&lt;AZ$1,
    "O",
    IF( OFFSET(AZ$1, COLUMN(AZ8)-1, 0)="-", "O", IF(MOD($A8, AZ$1)=0, "X", "O") )
  )
)</f>
        <v>O</v>
      </c>
      <c r="BA8" s="45" t="str">
        <f ca="1">IF(
  $A8=BA$1,
  IF( ROW(BA8)=2, "+", IF(COUNTIF($B8:AZ8,"X")=0, "+", "-") ),
  IF(
    $A8&lt;BA$1,
    "O",
    IF( OFFSET(BA$1, COLUMN(BA8)-1, 0)="-", "O", IF(MOD($A8, BA$1)=0, "X", "O") )
  )
)</f>
        <v>O</v>
      </c>
      <c r="BB8" s="45" t="str">
        <f ca="1">IF(
  $A8=BB$1,
  IF( ROW(BB8)=2, "+", IF(COUNTIF($B8:BA8,"X")=0, "+", "-") ),
  IF(
    $A8&lt;BB$1,
    "O",
    IF( OFFSET(BB$1, COLUMN(BB8)-1, 0)="-", "O", IF(MOD($A8, BB$1)=0, "X", "O") )
  )
)</f>
        <v>O</v>
      </c>
      <c r="BC8" s="45" t="str">
        <f ca="1">IF(
  $A8=BC$1,
  IF( ROW(BC8)=2, "+", IF(COUNTIF($B8:BB8,"X")=0, "+", "-") ),
  IF(
    $A8&lt;BC$1,
    "O",
    IF( OFFSET(BC$1, COLUMN(BC8)-1, 0)="-", "O", IF(MOD($A8, BC$1)=0, "X", "O") )
  )
)</f>
        <v>O</v>
      </c>
      <c r="BD8" s="45" t="str">
        <f ca="1">IF(
  $A8=BD$1,
  IF( ROW(BD8)=2, "+", IF(COUNTIF($B8:BC8,"X")=0, "+", "-") ),
  IF(
    $A8&lt;BD$1,
    "O",
    IF( OFFSET(BD$1, COLUMN(BD8)-1, 0)="-", "O", IF(MOD($A8, BD$1)=0, "X", "O") )
  )
)</f>
        <v>O</v>
      </c>
      <c r="BE8" s="45" t="str">
        <f ca="1">IF(
  $A8=BE$1,
  IF( ROW(BE8)=2, "+", IF(COUNTIF($B8:BD8,"X")=0, "+", "-") ),
  IF(
    $A8&lt;BE$1,
    "O",
    IF( OFFSET(BE$1, COLUMN(BE8)-1, 0)="-", "O", IF(MOD($A8, BE$1)=0, "X", "O") )
  )
)</f>
        <v>O</v>
      </c>
      <c r="BF8" s="45" t="str">
        <f ca="1">IF(
  $A8=BF$1,
  IF( ROW(BF8)=2, "+", IF(COUNTIF($B8:BE8,"X")=0, "+", "-") ),
  IF(
    $A8&lt;BF$1,
    "O",
    IF( OFFSET(BF$1, COLUMN(BF8)-1, 0)="-", "O", IF(MOD($A8, BF$1)=0, "X", "O") )
  )
)</f>
        <v>O</v>
      </c>
      <c r="BG8" s="45" t="str">
        <f ca="1">IF(
  $A8=BG$1,
  IF( ROW(BG8)=2, "+", IF(COUNTIF($B8:BF8,"X")=0, "+", "-") ),
  IF(
    $A8&lt;BG$1,
    "O",
    IF( OFFSET(BG$1, COLUMN(BG8)-1, 0)="-", "O", IF(MOD($A8, BG$1)=0, "X", "O") )
  )
)</f>
        <v>O</v>
      </c>
      <c r="BH8" s="45" t="str">
        <f ca="1">IF(
  $A8=BH$1,
  IF( ROW(BH8)=2, "+", IF(COUNTIF($B8:BG8,"X")=0, "+", "-") ),
  IF(
    $A8&lt;BH$1,
    "O",
    IF( OFFSET(BH$1, COLUMN(BH8)-1, 0)="-", "O", IF(MOD($A8, BH$1)=0, "X", "O") )
  )
)</f>
        <v>O</v>
      </c>
    </row>
    <row r="9" spans="1:62" s="46" customFormat="1" x14ac:dyDescent="0.25">
      <c r="A9">
        <v>9</v>
      </c>
      <c r="B9" s="44" t="str">
        <f ca="1">IF(
  $A9=B$1,
  IF( ROW(B9)=2, "+", IF(COUNTIF(A9:$B9,"X")=0, "+", "-") ),
  IF(
    $A9&lt;B$1,
    "O",
    IF( OFFSET(B$1, COLUMN(B9)-1, 0)="-", "O", IF(MOD($A9, B$1)=0, "X", "O") )
  )
)</f>
        <v>O</v>
      </c>
      <c r="C9" s="44" t="str">
        <f ca="1">IF(
  $A9=C$1,
  IF( ROW(C9)=2, "+", IF(COUNTIF(B9:$B9,"X")=0, "+", "-") ),
  IF(
    $A9&lt;C$1,
    "O",
    IF( OFFSET(C$1, COLUMN(C9)-1, 0)="-", "O", IF(MOD($A9, C$1)=0, "X", "O") )
  )
)</f>
        <v>X</v>
      </c>
      <c r="D9" s="45" t="str">
        <f ca="1">IF(
  $A9=D$1,
  IF( ROW(D9)=2, "+", IF(COUNTIF($B9:C9,"X")=0, "+", "-") ),
  IF(
    $A9&lt;D$1,
    "O",
    IF( OFFSET(D$1, COLUMN(D9)-1, 0)="-", "O", IF(MOD($A9, D$1)=0, "X", "O") )
  )
)</f>
        <v>O</v>
      </c>
      <c r="E9" s="44" t="str">
        <f ca="1">IF(
  $A9=E$1,
  IF( ROW(E9)=2, "+", IF(COUNTIF($B9:D9,"X")=0, "+", "-") ),
  IF(
    $A9&lt;E$1,
    "O",
    IF( OFFSET(E$1, COLUMN(E9)-1, 0)="-", "O", IF(MOD($A9, E$1)=0, "X", "O") )
  )
)</f>
        <v>O</v>
      </c>
      <c r="F9" s="45" t="str">
        <f ca="1">IF(
  $A9=F$1,
  IF( ROW(F9)=2, "+", IF(COUNTIF($B9:E9,"X")=0, "+", "-") ),
  IF(
    $A9&lt;F$1,
    "O",
    IF( OFFSET(F$1, COLUMN(F9)-1, 0)="-", "O", IF(MOD($A9, F$1)=0, "X", "O") )
  )
)</f>
        <v>O</v>
      </c>
      <c r="G9" s="44" t="str">
        <f ca="1">IF(
  $A9=G$1,
  IF( ROW(G9)=2, "+", IF(COUNTIF($B9:F9,"X")=0, "+", "-") ),
  IF(
    $A9&lt;G$1,
    "O",
    IF( OFFSET(G$1, COLUMN(G9)-1, 0)="-", "O", IF(MOD($A9, G$1)=0, "X", "O") )
  )
)</f>
        <v>O</v>
      </c>
      <c r="H9" s="45" t="str">
        <f ca="1">IF(
  $A9=H$1,
  IF( ROW(H9)=2, "+", IF(COUNTIF($B9:G9,"X")=0, "+", "-") ),
  IF(
    $A9&lt;H$1,
    "O",
    IF( OFFSET(H$1, COLUMN(H9)-1, 0)="-", "O", IF(MOD($A9, H$1)=0, "X", "O") )
  )
)</f>
        <v>O</v>
      </c>
      <c r="I9" s="45" t="str">
        <f ca="1">IF(
  $A9=I$1,
  IF( ROW(I9)=2, "+", IF(COUNTIF($B9:H9,"X")=0, "+", "-") ),
  IF(
    $A9&lt;I$1,
    "O",
    IF( OFFSET(I$1, COLUMN(I9)-1, 0)="-", "O", IF(MOD($A9, I$1)=0, "X", "O") )
  )
)</f>
        <v>-</v>
      </c>
      <c r="J9" s="45" t="str">
        <f ca="1">IF(
  $A9=J$1,
  IF( ROW(J9)=2, "+", IF(COUNTIF($B9:I9,"X")=0, "+", "-") ),
  IF(
    $A9&lt;J$1,
    "O",
    IF( OFFSET(J$1, COLUMN(J9)-1, 0)="-", "O", IF(MOD($A9, J$1)=0, "X", "O") )
  )
)</f>
        <v>O</v>
      </c>
      <c r="K9" s="45" t="str">
        <f ca="1">IF(
  $A9=K$1,
  IF( ROW(K9)=2, "+", IF(COUNTIF($B9:J9,"X")=0, "+", "-") ),
  IF(
    $A9&lt;K$1,
    "O",
    IF( OFFSET(K$1, COLUMN(K9)-1, 0)="-", "O", IF(MOD($A9, K$1)=0, "X", "O") )
  )
)</f>
        <v>O</v>
      </c>
      <c r="L9" s="45" t="str">
        <f ca="1">IF(
  $A9=L$1,
  IF( ROW(L9)=2, "+", IF(COUNTIF($B9:K9,"X")=0, "+", "-") ),
  IF(
    $A9&lt;L$1,
    "O",
    IF( OFFSET(L$1, COLUMN(L9)-1, 0)="-", "O", IF(MOD($A9, L$1)=0, "X", "O") )
  )
)</f>
        <v>O</v>
      </c>
      <c r="M9" s="45" t="str">
        <f ca="1">IF(
  $A9=M$1,
  IF( ROW(M9)=2, "+", IF(COUNTIF($B9:L9,"X")=0, "+", "-") ),
  IF(
    $A9&lt;M$1,
    "O",
    IF( OFFSET(M$1, COLUMN(M9)-1, 0)="-", "O", IF(MOD($A9, M$1)=0, "X", "O") )
  )
)</f>
        <v>O</v>
      </c>
      <c r="N9" s="45" t="str">
        <f ca="1">IF(
  $A9=N$1,
  IF( ROW(N9)=2, "+", IF(COUNTIF($B9:M9,"X")=0, "+", "-") ),
  IF(
    $A9&lt;N$1,
    "O",
    IF( OFFSET(N$1, COLUMN(N9)-1, 0)="-", "O", IF(MOD($A9, N$1)=0, "X", "O") )
  )
)</f>
        <v>O</v>
      </c>
      <c r="O9" s="45" t="str">
        <f ca="1">IF(
  $A9=O$1,
  IF( ROW(O9)=2, "+", IF(COUNTIF($B9:N9,"X")=0, "+", "-") ),
  IF(
    $A9&lt;O$1,
    "O",
    IF( OFFSET(O$1, COLUMN(O9)-1, 0)="-", "O", IF(MOD($A9, O$1)=0, "X", "O") )
  )
)</f>
        <v>O</v>
      </c>
      <c r="P9" s="45" t="str">
        <f ca="1">IF(
  $A9=P$1,
  IF( ROW(P9)=2, "+", IF(COUNTIF($B9:O9,"X")=0, "+", "-") ),
  IF(
    $A9&lt;P$1,
    "O",
    IF( OFFSET(P$1, COLUMN(P9)-1, 0)="-", "O", IF(MOD($A9, P$1)=0, "X", "O") )
  )
)</f>
        <v>O</v>
      </c>
      <c r="Q9" s="45" t="str">
        <f ca="1">IF(
  $A9=Q$1,
  IF( ROW(Q9)=2, "+", IF(COUNTIF($B9:P9,"X")=0, "+", "-") ),
  IF(
    $A9&lt;Q$1,
    "O",
    IF( OFFSET(Q$1, COLUMN(Q9)-1, 0)="-", "O", IF(MOD($A9, Q$1)=0, "X", "O") )
  )
)</f>
        <v>O</v>
      </c>
      <c r="R9" s="45" t="str">
        <f ca="1">IF(
  $A9=R$1,
  IF( ROW(R9)=2, "+", IF(COUNTIF($B9:Q9,"X")=0, "+", "-") ),
  IF(
    $A9&lt;R$1,
    "O",
    IF( OFFSET(R$1, COLUMN(R9)-1, 0)="-", "O", IF(MOD($A9, R$1)=0, "X", "O") )
  )
)</f>
        <v>O</v>
      </c>
      <c r="S9" s="45" t="str">
        <f ca="1">IF(
  $A9=S$1,
  IF( ROW(S9)=2, "+", IF(COUNTIF($B9:R9,"X")=0, "+", "-") ),
  IF(
    $A9&lt;S$1,
    "O",
    IF( OFFSET(S$1, COLUMN(S9)-1, 0)="-", "O", IF(MOD($A9, S$1)=0, "X", "O") )
  )
)</f>
        <v>O</v>
      </c>
      <c r="T9" s="45" t="str">
        <f ca="1">IF(
  $A9=T$1,
  IF( ROW(T9)=2, "+", IF(COUNTIF($B9:S9,"X")=0, "+", "-") ),
  IF(
    $A9&lt;T$1,
    "O",
    IF( OFFSET(T$1, COLUMN(T9)-1, 0)="-", "O", IF(MOD($A9, T$1)=0, "X", "O") )
  )
)</f>
        <v>O</v>
      </c>
      <c r="U9" s="45" t="str">
        <f ca="1">IF(
  $A9=U$1,
  IF( ROW(U9)=2, "+", IF(COUNTIF($B9:T9,"X")=0, "+", "-") ),
  IF(
    $A9&lt;U$1,
    "O",
    IF( OFFSET(U$1, COLUMN(U9)-1, 0)="-", "O", IF(MOD($A9, U$1)=0, "X", "O") )
  )
)</f>
        <v>O</v>
      </c>
      <c r="V9" s="45" t="str">
        <f ca="1">IF(
  $A9=V$1,
  IF( ROW(V9)=2, "+", IF(COUNTIF($B9:U9,"X")=0, "+", "-") ),
  IF(
    $A9&lt;V$1,
    "O",
    IF( OFFSET(V$1, COLUMN(V9)-1, 0)="-", "O", IF(MOD($A9, V$1)=0, "X", "O") )
  )
)</f>
        <v>O</v>
      </c>
      <c r="W9" s="45" t="str">
        <f ca="1">IF(
  $A9=W$1,
  IF( ROW(W9)=2, "+", IF(COUNTIF($B9:V9,"X")=0, "+", "-") ),
  IF(
    $A9&lt;W$1,
    "O",
    IF( OFFSET(W$1, COLUMN(W9)-1, 0)="-", "O", IF(MOD($A9, W$1)=0, "X", "O") )
  )
)</f>
        <v>O</v>
      </c>
      <c r="X9" s="45" t="str">
        <f ca="1">IF(
  $A9=X$1,
  IF( ROW(X9)=2, "+", IF(COUNTIF($B9:W9,"X")=0, "+", "-") ),
  IF(
    $A9&lt;X$1,
    "O",
    IF( OFFSET(X$1, COLUMN(X9)-1, 0)="-", "O", IF(MOD($A9, X$1)=0, "X", "O") )
  )
)</f>
        <v>O</v>
      </c>
      <c r="Y9" s="45" t="str">
        <f ca="1">IF(
  $A9=Y$1,
  IF( ROW(Y9)=2, "+", IF(COUNTIF($B9:X9,"X")=0, "+", "-") ),
  IF(
    $A9&lt;Y$1,
    "O",
    IF( OFFSET(Y$1, COLUMN(Y9)-1, 0)="-", "O", IF(MOD($A9, Y$1)=0, "X", "O") )
  )
)</f>
        <v>O</v>
      </c>
      <c r="Z9" s="45" t="str">
        <f ca="1">IF(
  $A9=Z$1,
  IF( ROW(Z9)=2, "+", IF(COUNTIF($B9:Y9,"X")=0, "+", "-") ),
  IF(
    $A9&lt;Z$1,
    "O",
    IF( OFFSET(Z$1, COLUMN(Z9)-1, 0)="-", "O", IF(MOD($A9, Z$1)=0, "X", "O") )
  )
)</f>
        <v>O</v>
      </c>
      <c r="AA9" s="45" t="str">
        <f ca="1">IF(
  $A9=AA$1,
  IF( ROW(AA9)=2, "+", IF(COUNTIF($B9:Z9,"X")=0, "+", "-") ),
  IF(
    $A9&lt;AA$1,
    "O",
    IF( OFFSET(AA$1, COLUMN(AA9)-1, 0)="-", "O", IF(MOD($A9, AA$1)=0, "X", "O") )
  )
)</f>
        <v>O</v>
      </c>
      <c r="AB9" s="45" t="str">
        <f ca="1">IF(
  $A9=AB$1,
  IF( ROW(AB9)=2, "+", IF(COUNTIF($B9:AA9,"X")=0, "+", "-") ),
  IF(
    $A9&lt;AB$1,
    "O",
    IF( OFFSET(AB$1, COLUMN(AB9)-1, 0)="-", "O", IF(MOD($A9, AB$1)=0, "X", "O") )
  )
)</f>
        <v>O</v>
      </c>
      <c r="AC9" s="45" t="str">
        <f ca="1">IF(
  $A9=AC$1,
  IF( ROW(AC9)=2, "+", IF(COUNTIF($B9:AB9,"X")=0, "+", "-") ),
  IF(
    $A9&lt;AC$1,
    "O",
    IF( OFFSET(AC$1, COLUMN(AC9)-1, 0)="-", "O", IF(MOD($A9, AC$1)=0, "X", "O") )
  )
)</f>
        <v>O</v>
      </c>
      <c r="AD9" s="45" t="str">
        <f ca="1">IF(
  $A9=AD$1,
  IF( ROW(AD9)=2, "+", IF(COUNTIF($B9:AC9,"X")=0, "+", "-") ),
  IF(
    $A9&lt;AD$1,
    "O",
    IF( OFFSET(AD$1, COLUMN(AD9)-1, 0)="-", "O", IF(MOD($A9, AD$1)=0, "X", "O") )
  )
)</f>
        <v>O</v>
      </c>
      <c r="AE9" s="45" t="str">
        <f ca="1">IF(
  $A9=AE$1,
  IF( ROW(AE9)=2, "+", IF(COUNTIF($B9:AD9,"X")=0, "+", "-") ),
  IF(
    $A9&lt;AE$1,
    "O",
    IF( OFFSET(AE$1, COLUMN(AE9)-1, 0)="-", "O", IF(MOD($A9, AE$1)=0, "X", "O") )
  )
)</f>
        <v>O</v>
      </c>
      <c r="AF9" s="45" t="str">
        <f ca="1">IF(
  $A9=AF$1,
  IF( ROW(AF9)=2, "+", IF(COUNTIF($B9:AE9,"X")=0, "+", "-") ),
  IF(
    $A9&lt;AF$1,
    "O",
    IF( OFFSET(AF$1, COLUMN(AF9)-1, 0)="-", "O", IF(MOD($A9, AF$1)=0, "X", "O") )
  )
)</f>
        <v>O</v>
      </c>
      <c r="AG9" s="45" t="str">
        <f ca="1">IF(
  $A9=AG$1,
  IF( ROW(AG9)=2, "+", IF(COUNTIF($B9:AF9,"X")=0, "+", "-") ),
  IF(
    $A9&lt;AG$1,
    "O",
    IF( OFFSET(AG$1, COLUMN(AG9)-1, 0)="-", "O", IF(MOD($A9, AG$1)=0, "X", "O") )
  )
)</f>
        <v>O</v>
      </c>
      <c r="AH9" s="45" t="str">
        <f ca="1">IF(
  $A9=AH$1,
  IF( ROW(AH9)=2, "+", IF(COUNTIF($B9:AG9,"X")=0, "+", "-") ),
  IF(
    $A9&lt;AH$1,
    "O",
    IF( OFFSET(AH$1, COLUMN(AH9)-1, 0)="-", "O", IF(MOD($A9, AH$1)=0, "X", "O") )
  )
)</f>
        <v>O</v>
      </c>
      <c r="AI9" s="45" t="str">
        <f ca="1">IF(
  $A9=AI$1,
  IF( ROW(AI9)=2, "+", IF(COUNTIF($B9:AH9,"X")=0, "+", "-") ),
  IF(
    $A9&lt;AI$1,
    "O",
    IF( OFFSET(AI$1, COLUMN(AI9)-1, 0)="-", "O", IF(MOD($A9, AI$1)=0, "X", "O") )
  )
)</f>
        <v>O</v>
      </c>
      <c r="AJ9" s="45" t="str">
        <f ca="1">IF(
  $A9=AJ$1,
  IF( ROW(AJ9)=2, "+", IF(COUNTIF($B9:AI9,"X")=0, "+", "-") ),
  IF(
    $A9&lt;AJ$1,
    "O",
    IF( OFFSET(AJ$1, COLUMN(AJ9)-1, 0)="-", "O", IF(MOD($A9, AJ$1)=0, "X", "O") )
  )
)</f>
        <v>O</v>
      </c>
      <c r="AK9" s="45" t="str">
        <f ca="1">IF(
  $A9=AK$1,
  IF( ROW(AK9)=2, "+", IF(COUNTIF($B9:AJ9,"X")=0, "+", "-") ),
  IF(
    $A9&lt;AK$1,
    "O",
    IF( OFFSET(AK$1, COLUMN(AK9)-1, 0)="-", "O", IF(MOD($A9, AK$1)=0, "X", "O") )
  )
)</f>
        <v>O</v>
      </c>
      <c r="AL9" s="45" t="str">
        <f ca="1">IF(
  $A9=AL$1,
  IF( ROW(AL9)=2, "+", IF(COUNTIF($B9:AK9,"X")=0, "+", "-") ),
  IF(
    $A9&lt;AL$1,
    "O",
    IF( OFFSET(AL$1, COLUMN(AL9)-1, 0)="-", "O", IF(MOD($A9, AL$1)=0, "X", "O") )
  )
)</f>
        <v>O</v>
      </c>
      <c r="AM9" s="45" t="str">
        <f ca="1">IF(
  $A9=AM$1,
  IF( ROW(AM9)=2, "+", IF(COUNTIF($B9:AL9,"X")=0, "+", "-") ),
  IF(
    $A9&lt;AM$1,
    "O",
    IF( OFFSET(AM$1, COLUMN(AM9)-1, 0)="-", "O", IF(MOD($A9, AM$1)=0, "X", "O") )
  )
)</f>
        <v>O</v>
      </c>
      <c r="AN9" s="45" t="str">
        <f ca="1">IF(
  $A9=AN$1,
  IF( ROW(AN9)=2, "+", IF(COUNTIF($B9:AM9,"X")=0, "+", "-") ),
  IF(
    $A9&lt;AN$1,
    "O",
    IF( OFFSET(AN$1, COLUMN(AN9)-1, 0)="-", "O", IF(MOD($A9, AN$1)=0, "X", "O") )
  )
)</f>
        <v>O</v>
      </c>
      <c r="AO9" s="45" t="str">
        <f ca="1">IF(
  $A9=AO$1,
  IF( ROW(AO9)=2, "+", IF(COUNTIF($B9:AN9,"X")=0, "+", "-") ),
  IF(
    $A9&lt;AO$1,
    "O",
    IF( OFFSET(AO$1, COLUMN(AO9)-1, 0)="-", "O", IF(MOD($A9, AO$1)=0, "X", "O") )
  )
)</f>
        <v>O</v>
      </c>
      <c r="AP9" s="45" t="str">
        <f ca="1">IF(
  $A9=AP$1,
  IF( ROW(AP9)=2, "+", IF(COUNTIF($B9:AO9,"X")=0, "+", "-") ),
  IF(
    $A9&lt;AP$1,
    "O",
    IF( OFFSET(AP$1, COLUMN(AP9)-1, 0)="-", "O", IF(MOD($A9, AP$1)=0, "X", "O") )
  )
)</f>
        <v>O</v>
      </c>
      <c r="AQ9" s="45" t="str">
        <f ca="1">IF(
  $A9=AQ$1,
  IF( ROW(AQ9)=2, "+", IF(COUNTIF($B9:AP9,"X")=0, "+", "-") ),
  IF(
    $A9&lt;AQ$1,
    "O",
    IF( OFFSET(AQ$1, COLUMN(AQ9)-1, 0)="-", "O", IF(MOD($A9, AQ$1)=0, "X", "O") )
  )
)</f>
        <v>O</v>
      </c>
      <c r="AR9" s="45" t="str">
        <f ca="1">IF(
  $A9=AR$1,
  IF( ROW(AR9)=2, "+", IF(COUNTIF($B9:AQ9,"X")=0, "+", "-") ),
  IF(
    $A9&lt;AR$1,
    "O",
    IF( OFFSET(AR$1, COLUMN(AR9)-1, 0)="-", "O", IF(MOD($A9, AR$1)=0, "X", "O") )
  )
)</f>
        <v>O</v>
      </c>
      <c r="AS9" s="45" t="str">
        <f ca="1">IF(
  $A9=AS$1,
  IF( ROW(AS9)=2, "+", IF(COUNTIF($B9:AR9,"X")=0, "+", "-") ),
  IF(
    $A9&lt;AS$1,
    "O",
    IF( OFFSET(AS$1, COLUMN(AS9)-1, 0)="-", "O", IF(MOD($A9, AS$1)=0, "X", "O") )
  )
)</f>
        <v>O</v>
      </c>
      <c r="AT9" s="45" t="str">
        <f ca="1">IF(
  $A9=AT$1,
  IF( ROW(AT9)=2, "+", IF(COUNTIF($B9:AS9,"X")=0, "+", "-") ),
  IF(
    $A9&lt;AT$1,
    "O",
    IF( OFFSET(AT$1, COLUMN(AT9)-1, 0)="-", "O", IF(MOD($A9, AT$1)=0, "X", "O") )
  )
)</f>
        <v>O</v>
      </c>
      <c r="AU9" s="45" t="str">
        <f ca="1">IF(
  $A9=AU$1,
  IF( ROW(AU9)=2, "+", IF(COUNTIF($B9:AT9,"X")=0, "+", "-") ),
  IF(
    $A9&lt;AU$1,
    "O",
    IF( OFFSET(AU$1, COLUMN(AU9)-1, 0)="-", "O", IF(MOD($A9, AU$1)=0, "X", "O") )
  )
)</f>
        <v>O</v>
      </c>
      <c r="AV9" s="45" t="str">
        <f ca="1">IF(
  $A9=AV$1,
  IF( ROW(AV9)=2, "+", IF(COUNTIF($B9:AU9,"X")=0, "+", "-") ),
  IF(
    $A9&lt;AV$1,
    "O",
    IF( OFFSET(AV$1, COLUMN(AV9)-1, 0)="-", "O", IF(MOD($A9, AV$1)=0, "X", "O") )
  )
)</f>
        <v>O</v>
      </c>
      <c r="AW9" s="45" t="str">
        <f ca="1">IF(
  $A9=AW$1,
  IF( ROW(AW9)=2, "+", IF(COUNTIF($B9:AV9,"X")=0, "+", "-") ),
  IF(
    $A9&lt;AW$1,
    "O",
    IF( OFFSET(AW$1, COLUMN(AW9)-1, 0)="-", "O", IF(MOD($A9, AW$1)=0, "X", "O") )
  )
)</f>
        <v>O</v>
      </c>
      <c r="AX9" s="45" t="str">
        <f ca="1">IF(
  $A9=AX$1,
  IF( ROW(AX9)=2, "+", IF(COUNTIF($B9:AW9,"X")=0, "+", "-") ),
  IF(
    $A9&lt;AX$1,
    "O",
    IF( OFFSET(AX$1, COLUMN(AX9)-1, 0)="-", "O", IF(MOD($A9, AX$1)=0, "X", "O") )
  )
)</f>
        <v>O</v>
      </c>
      <c r="AY9" s="45" t="str">
        <f ca="1">IF(
  $A9=AY$1,
  IF( ROW(AY9)=2, "+", IF(COUNTIF($B9:AX9,"X")=0, "+", "-") ),
  IF(
    $A9&lt;AY$1,
    "O",
    IF( OFFSET(AY$1, COLUMN(AY9)-1, 0)="-", "O", IF(MOD($A9, AY$1)=0, "X", "O") )
  )
)</f>
        <v>O</v>
      </c>
      <c r="AZ9" s="45" t="str">
        <f ca="1">IF(
  $A9=AZ$1,
  IF( ROW(AZ9)=2, "+", IF(COUNTIF($B9:AY9,"X")=0, "+", "-") ),
  IF(
    $A9&lt;AZ$1,
    "O",
    IF( OFFSET(AZ$1, COLUMN(AZ9)-1, 0)="-", "O", IF(MOD($A9, AZ$1)=0, "X", "O") )
  )
)</f>
        <v>O</v>
      </c>
      <c r="BA9" s="45" t="str">
        <f ca="1">IF(
  $A9=BA$1,
  IF( ROW(BA9)=2, "+", IF(COUNTIF($B9:AZ9,"X")=0, "+", "-") ),
  IF(
    $A9&lt;BA$1,
    "O",
    IF( OFFSET(BA$1, COLUMN(BA9)-1, 0)="-", "O", IF(MOD($A9, BA$1)=0, "X", "O") )
  )
)</f>
        <v>O</v>
      </c>
      <c r="BB9" s="45" t="str">
        <f ca="1">IF(
  $A9=BB$1,
  IF( ROW(BB9)=2, "+", IF(COUNTIF($B9:BA9,"X")=0, "+", "-") ),
  IF(
    $A9&lt;BB$1,
    "O",
    IF( OFFSET(BB$1, COLUMN(BB9)-1, 0)="-", "O", IF(MOD($A9, BB$1)=0, "X", "O") )
  )
)</f>
        <v>O</v>
      </c>
      <c r="BC9" s="45" t="str">
        <f ca="1">IF(
  $A9=BC$1,
  IF( ROW(BC9)=2, "+", IF(COUNTIF($B9:BB9,"X")=0, "+", "-") ),
  IF(
    $A9&lt;BC$1,
    "O",
    IF( OFFSET(BC$1, COLUMN(BC9)-1, 0)="-", "O", IF(MOD($A9, BC$1)=0, "X", "O") )
  )
)</f>
        <v>O</v>
      </c>
      <c r="BD9" s="45" t="str">
        <f ca="1">IF(
  $A9=BD$1,
  IF( ROW(BD9)=2, "+", IF(COUNTIF($B9:BC9,"X")=0, "+", "-") ),
  IF(
    $A9&lt;BD$1,
    "O",
    IF( OFFSET(BD$1, COLUMN(BD9)-1, 0)="-", "O", IF(MOD($A9, BD$1)=0, "X", "O") )
  )
)</f>
        <v>O</v>
      </c>
      <c r="BE9" s="45" t="str">
        <f ca="1">IF(
  $A9=BE$1,
  IF( ROW(BE9)=2, "+", IF(COUNTIF($B9:BD9,"X")=0, "+", "-") ),
  IF(
    $A9&lt;BE$1,
    "O",
    IF( OFFSET(BE$1, COLUMN(BE9)-1, 0)="-", "O", IF(MOD($A9, BE$1)=0, "X", "O") )
  )
)</f>
        <v>O</v>
      </c>
      <c r="BF9" s="45" t="str">
        <f ca="1">IF(
  $A9=BF$1,
  IF( ROW(BF9)=2, "+", IF(COUNTIF($B9:BE9,"X")=0, "+", "-") ),
  IF(
    $A9&lt;BF$1,
    "O",
    IF( OFFSET(BF$1, COLUMN(BF9)-1, 0)="-", "O", IF(MOD($A9, BF$1)=0, "X", "O") )
  )
)</f>
        <v>O</v>
      </c>
      <c r="BG9" s="45" t="str">
        <f ca="1">IF(
  $A9=BG$1,
  IF( ROW(BG9)=2, "+", IF(COUNTIF($B9:BF9,"X")=0, "+", "-") ),
  IF(
    $A9&lt;BG$1,
    "O",
    IF( OFFSET(BG$1, COLUMN(BG9)-1, 0)="-", "O", IF(MOD($A9, BG$1)=0, "X", "O") )
  )
)</f>
        <v>O</v>
      </c>
      <c r="BH9" s="45" t="str">
        <f ca="1">IF(
  $A9=BH$1,
  IF( ROW(BH9)=2, "+", IF(COUNTIF($B9:BG9,"X")=0, "+", "-") ),
  IF(
    $A9&lt;BH$1,
    "O",
    IF( OFFSET(BH$1, COLUMN(BH9)-1, 0)="-", "O", IF(MOD($A9, BH$1)=0, "X", "O") )
  )
)</f>
        <v>O</v>
      </c>
    </row>
    <row r="10" spans="1:62" s="46" customFormat="1" x14ac:dyDescent="0.25">
      <c r="A10">
        <v>10</v>
      </c>
      <c r="B10" s="44" t="str">
        <f ca="1">IF(
  $A10=B$1,
  IF( ROW(B10)=2, "+", IF(COUNTIF(A10:$B10,"X")=0, "+", "-") ),
  IF(
    $A10&lt;B$1,
    "O",
    IF( OFFSET(B$1, COLUMN(B10)-1, 0)="-", "O", IF(MOD($A10, B$1)=0, "X", "O") )
  )
)</f>
        <v>X</v>
      </c>
      <c r="C10" s="44" t="str">
        <f ca="1">IF(
  $A10=C$1,
  IF( ROW(C10)=2, "+", IF(COUNTIF(B10:$B10,"X")=0, "+", "-") ),
  IF(
    $A10&lt;C$1,
    "O",
    IF( OFFSET(C$1, COLUMN(C10)-1, 0)="-", "O", IF(MOD($A10, C$1)=0, "X", "O") )
  )
)</f>
        <v>O</v>
      </c>
      <c r="D10" s="45" t="str">
        <f ca="1">IF(
  $A10=D$1,
  IF( ROW(D10)=2, "+", IF(COUNTIF($B10:C10,"X")=0, "+", "-") ),
  IF(
    $A10&lt;D$1,
    "O",
    IF( OFFSET(D$1, COLUMN(D10)-1, 0)="-", "O", IF(MOD($A10, D$1)=0, "X", "O") )
  )
)</f>
        <v>O</v>
      </c>
      <c r="E10" s="44" t="str">
        <f ca="1">IF(
  $A10=E$1,
  IF( ROW(E10)=2, "+", IF(COUNTIF($B10:D10,"X")=0, "+", "-") ),
  IF(
    $A10&lt;E$1,
    "O",
    IF( OFFSET(E$1, COLUMN(E10)-1, 0)="-", "O", IF(MOD($A10, E$1)=0, "X", "O") )
  )
)</f>
        <v>X</v>
      </c>
      <c r="F10" s="45" t="str">
        <f ca="1">IF(
  $A10=F$1,
  IF( ROW(F10)=2, "+", IF(COUNTIF($B10:E10,"X")=0, "+", "-") ),
  IF(
    $A10&lt;F$1,
    "O",
    IF( OFFSET(F$1, COLUMN(F10)-1, 0)="-", "O", IF(MOD($A10, F$1)=0, "X", "O") )
  )
)</f>
        <v>O</v>
      </c>
      <c r="G10" s="44" t="str">
        <f ca="1">IF(
  $A10=G$1,
  IF( ROW(G10)=2, "+", IF(COUNTIF($B10:F10,"X")=0, "+", "-") ),
  IF(
    $A10&lt;G$1,
    "O",
    IF( OFFSET(G$1, COLUMN(G10)-1, 0)="-", "O", IF(MOD($A10, G$1)=0, "X", "O") )
  )
)</f>
        <v>O</v>
      </c>
      <c r="H10" s="45" t="str">
        <f ca="1">IF(
  $A10=H$1,
  IF( ROW(H10)=2, "+", IF(COUNTIF($B10:G10,"X")=0, "+", "-") ),
  IF(
    $A10&lt;H$1,
    "O",
    IF( OFFSET(H$1, COLUMN(H10)-1, 0)="-", "O", IF(MOD($A10, H$1)=0, "X", "O") )
  )
)</f>
        <v>O</v>
      </c>
      <c r="I10" s="45" t="str">
        <f ca="1">IF(
  $A10=I$1,
  IF( ROW(I10)=2, "+", IF(COUNTIF($B10:H10,"X")=0, "+", "-") ),
  IF(
    $A10&lt;I$1,
    "O",
    IF( OFFSET(I$1, COLUMN(I10)-1, 0)="-", "O", IF(MOD($A10, I$1)=0, "X", "O") )
  )
)</f>
        <v>O</v>
      </c>
      <c r="J10" s="45" t="str">
        <f ca="1">IF(
  $A10=J$1,
  IF( ROW(J10)=2, "+", IF(COUNTIF($B10:I10,"X")=0, "+", "-") ),
  IF(
    $A10&lt;J$1,
    "O",
    IF( OFFSET(J$1, COLUMN(J10)-1, 0)="-", "O", IF(MOD($A10, J$1)=0, "X", "O") )
  )
)</f>
        <v>-</v>
      </c>
      <c r="K10" s="45" t="str">
        <f ca="1">IF(
  $A10=K$1,
  IF( ROW(K10)=2, "+", IF(COUNTIF($B10:J10,"X")=0, "+", "-") ),
  IF(
    $A10&lt;K$1,
    "O",
    IF( OFFSET(K$1, COLUMN(K10)-1, 0)="-", "O", IF(MOD($A10, K$1)=0, "X", "O") )
  )
)</f>
        <v>O</v>
      </c>
      <c r="L10" s="45" t="str">
        <f ca="1">IF(
  $A10=L$1,
  IF( ROW(L10)=2, "+", IF(COUNTIF($B10:K10,"X")=0, "+", "-") ),
  IF(
    $A10&lt;L$1,
    "O",
    IF( OFFSET(L$1, COLUMN(L10)-1, 0)="-", "O", IF(MOD($A10, L$1)=0, "X", "O") )
  )
)</f>
        <v>O</v>
      </c>
      <c r="M10" s="45" t="str">
        <f ca="1">IF(
  $A10=M$1,
  IF( ROW(M10)=2, "+", IF(COUNTIF($B10:L10,"X")=0, "+", "-") ),
  IF(
    $A10&lt;M$1,
    "O",
    IF( OFFSET(M$1, COLUMN(M10)-1, 0)="-", "O", IF(MOD($A10, M$1)=0, "X", "O") )
  )
)</f>
        <v>O</v>
      </c>
      <c r="N10" s="45" t="str">
        <f ca="1">IF(
  $A10=N$1,
  IF( ROW(N10)=2, "+", IF(COUNTIF($B10:M10,"X")=0, "+", "-") ),
  IF(
    $A10&lt;N$1,
    "O",
    IF( OFFSET(N$1, COLUMN(N10)-1, 0)="-", "O", IF(MOD($A10, N$1)=0, "X", "O") )
  )
)</f>
        <v>O</v>
      </c>
      <c r="O10" s="45" t="str">
        <f ca="1">IF(
  $A10=O$1,
  IF( ROW(O10)=2, "+", IF(COUNTIF($B10:N10,"X")=0, "+", "-") ),
  IF(
    $A10&lt;O$1,
    "O",
    IF( OFFSET(O$1, COLUMN(O10)-1, 0)="-", "O", IF(MOD($A10, O$1)=0, "X", "O") )
  )
)</f>
        <v>O</v>
      </c>
      <c r="P10" s="45" t="str">
        <f ca="1">IF(
  $A10=P$1,
  IF( ROW(P10)=2, "+", IF(COUNTIF($B10:O10,"X")=0, "+", "-") ),
  IF(
    $A10&lt;P$1,
    "O",
    IF( OFFSET(P$1, COLUMN(P10)-1, 0)="-", "O", IF(MOD($A10, P$1)=0, "X", "O") )
  )
)</f>
        <v>O</v>
      </c>
      <c r="Q10" s="45" t="str">
        <f ca="1">IF(
  $A10=Q$1,
  IF( ROW(Q10)=2, "+", IF(COUNTIF($B10:P10,"X")=0, "+", "-") ),
  IF(
    $A10&lt;Q$1,
    "O",
    IF( OFFSET(Q$1, COLUMN(Q10)-1, 0)="-", "O", IF(MOD($A10, Q$1)=0, "X", "O") )
  )
)</f>
        <v>O</v>
      </c>
      <c r="R10" s="45" t="str">
        <f ca="1">IF(
  $A10=R$1,
  IF( ROW(R10)=2, "+", IF(COUNTIF($B10:Q10,"X")=0, "+", "-") ),
  IF(
    $A10&lt;R$1,
    "O",
    IF( OFFSET(R$1, COLUMN(R10)-1, 0)="-", "O", IF(MOD($A10, R$1)=0, "X", "O") )
  )
)</f>
        <v>O</v>
      </c>
      <c r="S10" s="45" t="str">
        <f ca="1">IF(
  $A10=S$1,
  IF( ROW(S10)=2, "+", IF(COUNTIF($B10:R10,"X")=0, "+", "-") ),
  IF(
    $A10&lt;S$1,
    "O",
    IF( OFFSET(S$1, COLUMN(S10)-1, 0)="-", "O", IF(MOD($A10, S$1)=0, "X", "O") )
  )
)</f>
        <v>O</v>
      </c>
      <c r="T10" s="45" t="str">
        <f ca="1">IF(
  $A10=T$1,
  IF( ROW(T10)=2, "+", IF(COUNTIF($B10:S10,"X")=0, "+", "-") ),
  IF(
    $A10&lt;T$1,
    "O",
    IF( OFFSET(T$1, COLUMN(T10)-1, 0)="-", "O", IF(MOD($A10, T$1)=0, "X", "O") )
  )
)</f>
        <v>O</v>
      </c>
      <c r="U10" s="45" t="str">
        <f ca="1">IF(
  $A10=U$1,
  IF( ROW(U10)=2, "+", IF(COUNTIF($B10:T10,"X")=0, "+", "-") ),
  IF(
    $A10&lt;U$1,
    "O",
    IF( OFFSET(U$1, COLUMN(U10)-1, 0)="-", "O", IF(MOD($A10, U$1)=0, "X", "O") )
  )
)</f>
        <v>O</v>
      </c>
      <c r="V10" s="45" t="str">
        <f ca="1">IF(
  $A10=V$1,
  IF( ROW(V10)=2, "+", IF(COUNTIF($B10:U10,"X")=0, "+", "-") ),
  IF(
    $A10&lt;V$1,
    "O",
    IF( OFFSET(V$1, COLUMN(V10)-1, 0)="-", "O", IF(MOD($A10, V$1)=0, "X", "O") )
  )
)</f>
        <v>O</v>
      </c>
      <c r="W10" s="45" t="str">
        <f ca="1">IF(
  $A10=W$1,
  IF( ROW(W10)=2, "+", IF(COUNTIF($B10:V10,"X")=0, "+", "-") ),
  IF(
    $A10&lt;W$1,
    "O",
    IF( OFFSET(W$1, COLUMN(W10)-1, 0)="-", "O", IF(MOD($A10, W$1)=0, "X", "O") )
  )
)</f>
        <v>O</v>
      </c>
      <c r="X10" s="45" t="str">
        <f ca="1">IF(
  $A10=X$1,
  IF( ROW(X10)=2, "+", IF(COUNTIF($B10:W10,"X")=0, "+", "-") ),
  IF(
    $A10&lt;X$1,
    "O",
    IF( OFFSET(X$1, COLUMN(X10)-1, 0)="-", "O", IF(MOD($A10, X$1)=0, "X", "O") )
  )
)</f>
        <v>O</v>
      </c>
      <c r="Y10" s="45" t="str">
        <f ca="1">IF(
  $A10=Y$1,
  IF( ROW(Y10)=2, "+", IF(COUNTIF($B10:X10,"X")=0, "+", "-") ),
  IF(
    $A10&lt;Y$1,
    "O",
    IF( OFFSET(Y$1, COLUMN(Y10)-1, 0)="-", "O", IF(MOD($A10, Y$1)=0, "X", "O") )
  )
)</f>
        <v>O</v>
      </c>
      <c r="Z10" s="45" t="str">
        <f ca="1">IF(
  $A10=Z$1,
  IF( ROW(Z10)=2, "+", IF(COUNTIF($B10:Y10,"X")=0, "+", "-") ),
  IF(
    $A10&lt;Z$1,
    "O",
    IF( OFFSET(Z$1, COLUMN(Z10)-1, 0)="-", "O", IF(MOD($A10, Z$1)=0, "X", "O") )
  )
)</f>
        <v>O</v>
      </c>
      <c r="AA10" s="45" t="str">
        <f ca="1">IF(
  $A10=AA$1,
  IF( ROW(AA10)=2, "+", IF(COUNTIF($B10:Z10,"X")=0, "+", "-") ),
  IF(
    $A10&lt;AA$1,
    "O",
    IF( OFFSET(AA$1, COLUMN(AA10)-1, 0)="-", "O", IF(MOD($A10, AA$1)=0, "X", "O") )
  )
)</f>
        <v>O</v>
      </c>
      <c r="AB10" s="45" t="str">
        <f ca="1">IF(
  $A10=AB$1,
  IF( ROW(AB10)=2, "+", IF(COUNTIF($B10:AA10,"X")=0, "+", "-") ),
  IF(
    $A10&lt;AB$1,
    "O",
    IF( OFFSET(AB$1, COLUMN(AB10)-1, 0)="-", "O", IF(MOD($A10, AB$1)=0, "X", "O") )
  )
)</f>
        <v>O</v>
      </c>
      <c r="AC10" s="45" t="str">
        <f ca="1">IF(
  $A10=AC$1,
  IF( ROW(AC10)=2, "+", IF(COUNTIF($B10:AB10,"X")=0, "+", "-") ),
  IF(
    $A10&lt;AC$1,
    "O",
    IF( OFFSET(AC$1, COLUMN(AC10)-1, 0)="-", "O", IF(MOD($A10, AC$1)=0, "X", "O") )
  )
)</f>
        <v>O</v>
      </c>
      <c r="AD10" s="45" t="str">
        <f ca="1">IF(
  $A10=AD$1,
  IF( ROW(AD10)=2, "+", IF(COUNTIF($B10:AC10,"X")=0, "+", "-") ),
  IF(
    $A10&lt;AD$1,
    "O",
    IF( OFFSET(AD$1, COLUMN(AD10)-1, 0)="-", "O", IF(MOD($A10, AD$1)=0, "X", "O") )
  )
)</f>
        <v>O</v>
      </c>
      <c r="AE10" s="45" t="str">
        <f ca="1">IF(
  $A10=AE$1,
  IF( ROW(AE10)=2, "+", IF(COUNTIF($B10:AD10,"X")=0, "+", "-") ),
  IF(
    $A10&lt;AE$1,
    "O",
    IF( OFFSET(AE$1, COLUMN(AE10)-1, 0)="-", "O", IF(MOD($A10, AE$1)=0, "X", "O") )
  )
)</f>
        <v>O</v>
      </c>
      <c r="AF10" s="45" t="str">
        <f ca="1">IF(
  $A10=AF$1,
  IF( ROW(AF10)=2, "+", IF(COUNTIF($B10:AE10,"X")=0, "+", "-") ),
  IF(
    $A10&lt;AF$1,
    "O",
    IF( OFFSET(AF$1, COLUMN(AF10)-1, 0)="-", "O", IF(MOD($A10, AF$1)=0, "X", "O") )
  )
)</f>
        <v>O</v>
      </c>
      <c r="AG10" s="45" t="str">
        <f ca="1">IF(
  $A10=AG$1,
  IF( ROW(AG10)=2, "+", IF(COUNTIF($B10:AF10,"X")=0, "+", "-") ),
  IF(
    $A10&lt;AG$1,
    "O",
    IF( OFFSET(AG$1, COLUMN(AG10)-1, 0)="-", "O", IF(MOD($A10, AG$1)=0, "X", "O") )
  )
)</f>
        <v>O</v>
      </c>
      <c r="AH10" s="45" t="str">
        <f ca="1">IF(
  $A10=AH$1,
  IF( ROW(AH10)=2, "+", IF(COUNTIF($B10:AG10,"X")=0, "+", "-") ),
  IF(
    $A10&lt;AH$1,
    "O",
    IF( OFFSET(AH$1, COLUMN(AH10)-1, 0)="-", "O", IF(MOD($A10, AH$1)=0, "X", "O") )
  )
)</f>
        <v>O</v>
      </c>
      <c r="AI10" s="45" t="str">
        <f ca="1">IF(
  $A10=AI$1,
  IF( ROW(AI10)=2, "+", IF(COUNTIF($B10:AH10,"X")=0, "+", "-") ),
  IF(
    $A10&lt;AI$1,
    "O",
    IF( OFFSET(AI$1, COLUMN(AI10)-1, 0)="-", "O", IF(MOD($A10, AI$1)=0, "X", "O") )
  )
)</f>
        <v>O</v>
      </c>
      <c r="AJ10" s="45" t="str">
        <f ca="1">IF(
  $A10=AJ$1,
  IF( ROW(AJ10)=2, "+", IF(COUNTIF($B10:AI10,"X")=0, "+", "-") ),
  IF(
    $A10&lt;AJ$1,
    "O",
    IF( OFFSET(AJ$1, COLUMN(AJ10)-1, 0)="-", "O", IF(MOD($A10, AJ$1)=0, "X", "O") )
  )
)</f>
        <v>O</v>
      </c>
      <c r="AK10" s="45" t="str">
        <f ca="1">IF(
  $A10=AK$1,
  IF( ROW(AK10)=2, "+", IF(COUNTIF($B10:AJ10,"X")=0, "+", "-") ),
  IF(
    $A10&lt;AK$1,
    "O",
    IF( OFFSET(AK$1, COLUMN(AK10)-1, 0)="-", "O", IF(MOD($A10, AK$1)=0, "X", "O") )
  )
)</f>
        <v>O</v>
      </c>
      <c r="AL10" s="45" t="str">
        <f ca="1">IF(
  $A10=AL$1,
  IF( ROW(AL10)=2, "+", IF(COUNTIF($B10:AK10,"X")=0, "+", "-") ),
  IF(
    $A10&lt;AL$1,
    "O",
    IF( OFFSET(AL$1, COLUMN(AL10)-1, 0)="-", "O", IF(MOD($A10, AL$1)=0, "X", "O") )
  )
)</f>
        <v>O</v>
      </c>
      <c r="AM10" s="45" t="str">
        <f ca="1">IF(
  $A10=AM$1,
  IF( ROW(AM10)=2, "+", IF(COUNTIF($B10:AL10,"X")=0, "+", "-") ),
  IF(
    $A10&lt;AM$1,
    "O",
    IF( OFFSET(AM$1, COLUMN(AM10)-1, 0)="-", "O", IF(MOD($A10, AM$1)=0, "X", "O") )
  )
)</f>
        <v>O</v>
      </c>
      <c r="AN10" s="45" t="str">
        <f ca="1">IF(
  $A10=AN$1,
  IF( ROW(AN10)=2, "+", IF(COUNTIF($B10:AM10,"X")=0, "+", "-") ),
  IF(
    $A10&lt;AN$1,
    "O",
    IF( OFFSET(AN$1, COLUMN(AN10)-1, 0)="-", "O", IF(MOD($A10, AN$1)=0, "X", "O") )
  )
)</f>
        <v>O</v>
      </c>
      <c r="AO10" s="45" t="str">
        <f ca="1">IF(
  $A10=AO$1,
  IF( ROW(AO10)=2, "+", IF(COUNTIF($B10:AN10,"X")=0, "+", "-") ),
  IF(
    $A10&lt;AO$1,
    "O",
    IF( OFFSET(AO$1, COLUMN(AO10)-1, 0)="-", "O", IF(MOD($A10, AO$1)=0, "X", "O") )
  )
)</f>
        <v>O</v>
      </c>
      <c r="AP10" s="45" t="str">
        <f ca="1">IF(
  $A10=AP$1,
  IF( ROW(AP10)=2, "+", IF(COUNTIF($B10:AO10,"X")=0, "+", "-") ),
  IF(
    $A10&lt;AP$1,
    "O",
    IF( OFFSET(AP$1, COLUMN(AP10)-1, 0)="-", "O", IF(MOD($A10, AP$1)=0, "X", "O") )
  )
)</f>
        <v>O</v>
      </c>
      <c r="AQ10" s="45" t="str">
        <f ca="1">IF(
  $A10=AQ$1,
  IF( ROW(AQ10)=2, "+", IF(COUNTIF($B10:AP10,"X")=0, "+", "-") ),
  IF(
    $A10&lt;AQ$1,
    "O",
    IF( OFFSET(AQ$1, COLUMN(AQ10)-1, 0)="-", "O", IF(MOD($A10, AQ$1)=0, "X", "O") )
  )
)</f>
        <v>O</v>
      </c>
      <c r="AR10" s="45" t="str">
        <f ca="1">IF(
  $A10=AR$1,
  IF( ROW(AR10)=2, "+", IF(COUNTIF($B10:AQ10,"X")=0, "+", "-") ),
  IF(
    $A10&lt;AR$1,
    "O",
    IF( OFFSET(AR$1, COLUMN(AR10)-1, 0)="-", "O", IF(MOD($A10, AR$1)=0, "X", "O") )
  )
)</f>
        <v>O</v>
      </c>
      <c r="AS10" s="45" t="str">
        <f ca="1">IF(
  $A10=AS$1,
  IF( ROW(AS10)=2, "+", IF(COUNTIF($B10:AR10,"X")=0, "+", "-") ),
  IF(
    $A10&lt;AS$1,
    "O",
    IF( OFFSET(AS$1, COLUMN(AS10)-1, 0)="-", "O", IF(MOD($A10, AS$1)=0, "X", "O") )
  )
)</f>
        <v>O</v>
      </c>
      <c r="AT10" s="45" t="str">
        <f ca="1">IF(
  $A10=AT$1,
  IF( ROW(AT10)=2, "+", IF(COUNTIF($B10:AS10,"X")=0, "+", "-") ),
  IF(
    $A10&lt;AT$1,
    "O",
    IF( OFFSET(AT$1, COLUMN(AT10)-1, 0)="-", "O", IF(MOD($A10, AT$1)=0, "X", "O") )
  )
)</f>
        <v>O</v>
      </c>
      <c r="AU10" s="45" t="str">
        <f ca="1">IF(
  $A10=AU$1,
  IF( ROW(AU10)=2, "+", IF(COUNTIF($B10:AT10,"X")=0, "+", "-") ),
  IF(
    $A10&lt;AU$1,
    "O",
    IF( OFFSET(AU$1, COLUMN(AU10)-1, 0)="-", "O", IF(MOD($A10, AU$1)=0, "X", "O") )
  )
)</f>
        <v>O</v>
      </c>
      <c r="AV10" s="45" t="str">
        <f ca="1">IF(
  $A10=AV$1,
  IF( ROW(AV10)=2, "+", IF(COUNTIF($B10:AU10,"X")=0, "+", "-") ),
  IF(
    $A10&lt;AV$1,
    "O",
    IF( OFFSET(AV$1, COLUMN(AV10)-1, 0)="-", "O", IF(MOD($A10, AV$1)=0, "X", "O") )
  )
)</f>
        <v>O</v>
      </c>
      <c r="AW10" s="45" t="str">
        <f ca="1">IF(
  $A10=AW$1,
  IF( ROW(AW10)=2, "+", IF(COUNTIF($B10:AV10,"X")=0, "+", "-") ),
  IF(
    $A10&lt;AW$1,
    "O",
    IF( OFFSET(AW$1, COLUMN(AW10)-1, 0)="-", "O", IF(MOD($A10, AW$1)=0, "X", "O") )
  )
)</f>
        <v>O</v>
      </c>
      <c r="AX10" s="45" t="str">
        <f ca="1">IF(
  $A10=AX$1,
  IF( ROW(AX10)=2, "+", IF(COUNTIF($B10:AW10,"X")=0, "+", "-") ),
  IF(
    $A10&lt;AX$1,
    "O",
    IF( OFFSET(AX$1, COLUMN(AX10)-1, 0)="-", "O", IF(MOD($A10, AX$1)=0, "X", "O") )
  )
)</f>
        <v>O</v>
      </c>
      <c r="AY10" s="45" t="str">
        <f ca="1">IF(
  $A10=AY$1,
  IF( ROW(AY10)=2, "+", IF(COUNTIF($B10:AX10,"X")=0, "+", "-") ),
  IF(
    $A10&lt;AY$1,
    "O",
    IF( OFFSET(AY$1, COLUMN(AY10)-1, 0)="-", "O", IF(MOD($A10, AY$1)=0, "X", "O") )
  )
)</f>
        <v>O</v>
      </c>
      <c r="AZ10" s="45" t="str">
        <f ca="1">IF(
  $A10=AZ$1,
  IF( ROW(AZ10)=2, "+", IF(COUNTIF($B10:AY10,"X")=0, "+", "-") ),
  IF(
    $A10&lt;AZ$1,
    "O",
    IF( OFFSET(AZ$1, COLUMN(AZ10)-1, 0)="-", "O", IF(MOD($A10, AZ$1)=0, "X", "O") )
  )
)</f>
        <v>O</v>
      </c>
      <c r="BA10" s="45" t="str">
        <f ca="1">IF(
  $A10=BA$1,
  IF( ROW(BA10)=2, "+", IF(COUNTIF($B10:AZ10,"X")=0, "+", "-") ),
  IF(
    $A10&lt;BA$1,
    "O",
    IF( OFFSET(BA$1, COLUMN(BA10)-1, 0)="-", "O", IF(MOD($A10, BA$1)=0, "X", "O") )
  )
)</f>
        <v>O</v>
      </c>
      <c r="BB10" s="45" t="str">
        <f ca="1">IF(
  $A10=BB$1,
  IF( ROW(BB10)=2, "+", IF(COUNTIF($B10:BA10,"X")=0, "+", "-") ),
  IF(
    $A10&lt;BB$1,
    "O",
    IF( OFFSET(BB$1, COLUMN(BB10)-1, 0)="-", "O", IF(MOD($A10, BB$1)=0, "X", "O") )
  )
)</f>
        <v>O</v>
      </c>
      <c r="BC10" s="45" t="str">
        <f ca="1">IF(
  $A10=BC$1,
  IF( ROW(BC10)=2, "+", IF(COUNTIF($B10:BB10,"X")=0, "+", "-") ),
  IF(
    $A10&lt;BC$1,
    "O",
    IF( OFFSET(BC$1, COLUMN(BC10)-1, 0)="-", "O", IF(MOD($A10, BC$1)=0, "X", "O") )
  )
)</f>
        <v>O</v>
      </c>
      <c r="BD10" s="45" t="str">
        <f ca="1">IF(
  $A10=BD$1,
  IF( ROW(BD10)=2, "+", IF(COUNTIF($B10:BC10,"X")=0, "+", "-") ),
  IF(
    $A10&lt;BD$1,
    "O",
    IF( OFFSET(BD$1, COLUMN(BD10)-1, 0)="-", "O", IF(MOD($A10, BD$1)=0, "X", "O") )
  )
)</f>
        <v>O</v>
      </c>
      <c r="BE10" s="45" t="str">
        <f ca="1">IF(
  $A10=BE$1,
  IF( ROW(BE10)=2, "+", IF(COUNTIF($B10:BD10,"X")=0, "+", "-") ),
  IF(
    $A10&lt;BE$1,
    "O",
    IF( OFFSET(BE$1, COLUMN(BE10)-1, 0)="-", "O", IF(MOD($A10, BE$1)=0, "X", "O") )
  )
)</f>
        <v>O</v>
      </c>
      <c r="BF10" s="45" t="str">
        <f ca="1">IF(
  $A10=BF$1,
  IF( ROW(BF10)=2, "+", IF(COUNTIF($B10:BE10,"X")=0, "+", "-") ),
  IF(
    $A10&lt;BF$1,
    "O",
    IF( OFFSET(BF$1, COLUMN(BF10)-1, 0)="-", "O", IF(MOD($A10, BF$1)=0, "X", "O") )
  )
)</f>
        <v>O</v>
      </c>
      <c r="BG10" s="45" t="str">
        <f ca="1">IF(
  $A10=BG$1,
  IF( ROW(BG10)=2, "+", IF(COUNTIF($B10:BF10,"X")=0, "+", "-") ),
  IF(
    $A10&lt;BG$1,
    "O",
    IF( OFFSET(BG$1, COLUMN(BG10)-1, 0)="-", "O", IF(MOD($A10, BG$1)=0, "X", "O") )
  )
)</f>
        <v>O</v>
      </c>
      <c r="BH10" s="45" t="str">
        <f ca="1">IF(
  $A10=BH$1,
  IF( ROW(BH10)=2, "+", IF(COUNTIF($B10:BG10,"X")=0, "+", "-") ),
  IF(
    $A10&lt;BH$1,
    "O",
    IF( OFFSET(BH$1, COLUMN(BH10)-1, 0)="-", "O", IF(MOD($A10, BH$1)=0, "X", "O") )
  )
)</f>
        <v>O</v>
      </c>
    </row>
    <row r="11" spans="1:62" s="46" customFormat="1" x14ac:dyDescent="0.25">
      <c r="A11">
        <v>11</v>
      </c>
      <c r="B11" s="44" t="str">
        <f ca="1">IF(
  $A11=B$1,
  IF( ROW(B11)=2, "+", IF(COUNTIF(A11:$B11,"X")=0, "+", "-") ),
  IF(
    $A11&lt;B$1,
    "O",
    IF( OFFSET(B$1, COLUMN(B11)-1, 0)="-", "O", IF(MOD($A11, B$1)=0, "X", "O") )
  )
)</f>
        <v>O</v>
      </c>
      <c r="C11" s="44" t="str">
        <f ca="1">IF(
  $A11=C$1,
  IF( ROW(C11)=2, "+", IF(COUNTIF(B11:$B11,"X")=0, "+", "-") ),
  IF(
    $A11&lt;C$1,
    "O",
    IF( OFFSET(C$1, COLUMN(C11)-1, 0)="-", "O", IF(MOD($A11, C$1)=0, "X", "O") )
  )
)</f>
        <v>O</v>
      </c>
      <c r="D11" s="45" t="str">
        <f ca="1">IF(
  $A11=D$1,
  IF( ROW(D11)=2, "+", IF(COUNTIF($B11:C11,"X")=0, "+", "-") ),
  IF(
    $A11&lt;D$1,
    "O",
    IF( OFFSET(D$1, COLUMN(D11)-1, 0)="-", "O", IF(MOD($A11, D$1)=0, "X", "O") )
  )
)</f>
        <v>O</v>
      </c>
      <c r="E11" s="44" t="str">
        <f ca="1">IF(
  $A11=E$1,
  IF( ROW(E11)=2, "+", IF(COUNTIF($B11:D11,"X")=0, "+", "-") ),
  IF(
    $A11&lt;E$1,
    "O",
    IF( OFFSET(E$1, COLUMN(E11)-1, 0)="-", "O", IF(MOD($A11, E$1)=0, "X", "O") )
  )
)</f>
        <v>O</v>
      </c>
      <c r="F11" s="45" t="str">
        <f ca="1">IF(
  $A11=F$1,
  IF( ROW(F11)=2, "+", IF(COUNTIF($B11:E11,"X")=0, "+", "-") ),
  IF(
    $A11&lt;F$1,
    "O",
    IF( OFFSET(F$1, COLUMN(F11)-1, 0)="-", "O", IF(MOD($A11, F$1)=0, "X", "O") )
  )
)</f>
        <v>O</v>
      </c>
      <c r="G11" s="44" t="str">
        <f ca="1">IF(
  $A11=G$1,
  IF( ROW(G11)=2, "+", IF(COUNTIF($B11:F11,"X")=0, "+", "-") ),
  IF(
    $A11&lt;G$1,
    "O",
    IF( OFFSET(G$1, COLUMN(G11)-1, 0)="-", "O", IF(MOD($A11, G$1)=0, "X", "O") )
  )
)</f>
        <v>O</v>
      </c>
      <c r="H11" s="45" t="str">
        <f ca="1">IF(
  $A11=H$1,
  IF( ROW(H11)=2, "+", IF(COUNTIF($B11:G11,"X")=0, "+", "-") ),
  IF(
    $A11&lt;H$1,
    "O",
    IF( OFFSET(H$1, COLUMN(H11)-1, 0)="-", "O", IF(MOD($A11, H$1)=0, "X", "O") )
  )
)</f>
        <v>O</v>
      </c>
      <c r="I11" s="45" t="str">
        <f ca="1">IF(
  $A11=I$1,
  IF( ROW(I11)=2, "+", IF(COUNTIF($B11:H11,"X")=0, "+", "-") ),
  IF(
    $A11&lt;I$1,
    "O",
    IF( OFFSET(I$1, COLUMN(I11)-1, 0)="-", "O", IF(MOD($A11, I$1)=0, "X", "O") )
  )
)</f>
        <v>O</v>
      </c>
      <c r="J11" s="45" t="str">
        <f ca="1">IF(
  $A11=J$1,
  IF( ROW(J11)=2, "+", IF(COUNTIF($B11:I11,"X")=0, "+", "-") ),
  IF(
    $A11&lt;J$1,
    "O",
    IF( OFFSET(J$1, COLUMN(J11)-1, 0)="-", "O", IF(MOD($A11, J$1)=0, "X", "O") )
  )
)</f>
        <v>O</v>
      </c>
      <c r="K11" s="44" t="str">
        <f ca="1">IF(
  $A11=K$1,
  IF( ROW(K11)=2, "+", IF(COUNTIF($B11:J11,"X")=0, "+", "-") ),
  IF(
    $A11&lt;K$1,
    "O",
    IF( OFFSET(K$1, COLUMN(K11)-1, 0)="-", "O", IF(MOD($A11, K$1)=0, "X", "O") )
  )
)</f>
        <v>+</v>
      </c>
      <c r="L11" s="45" t="str">
        <f ca="1">IF(
  $A11=L$1,
  IF( ROW(L11)=2, "+", IF(COUNTIF($B11:K11,"X")=0, "+", "-") ),
  IF(
    $A11&lt;L$1,
    "O",
    IF( OFFSET(L$1, COLUMN(L11)-1, 0)="-", "O", IF(MOD($A11, L$1)=0, "X", "O") )
  )
)</f>
        <v>O</v>
      </c>
      <c r="M11" s="45" t="str">
        <f ca="1">IF(
  $A11=M$1,
  IF( ROW(M11)=2, "+", IF(COUNTIF($B11:L11,"X")=0, "+", "-") ),
  IF(
    $A11&lt;M$1,
    "O",
    IF( OFFSET(M$1, COLUMN(M11)-1, 0)="-", "O", IF(MOD($A11, M$1)=0, "X", "O") )
  )
)</f>
        <v>O</v>
      </c>
      <c r="N11" s="45" t="str">
        <f ca="1">IF(
  $A11=N$1,
  IF( ROW(N11)=2, "+", IF(COUNTIF($B11:M11,"X")=0, "+", "-") ),
  IF(
    $A11&lt;N$1,
    "O",
    IF( OFFSET(N$1, COLUMN(N11)-1, 0)="-", "O", IF(MOD($A11, N$1)=0, "X", "O") )
  )
)</f>
        <v>O</v>
      </c>
      <c r="O11" s="45" t="str">
        <f ca="1">IF(
  $A11=O$1,
  IF( ROW(O11)=2, "+", IF(COUNTIF($B11:N11,"X")=0, "+", "-") ),
  IF(
    $A11&lt;O$1,
    "O",
    IF( OFFSET(O$1, COLUMN(O11)-1, 0)="-", "O", IF(MOD($A11, O$1)=0, "X", "O") )
  )
)</f>
        <v>O</v>
      </c>
      <c r="P11" s="45" t="str">
        <f ca="1">IF(
  $A11=P$1,
  IF( ROW(P11)=2, "+", IF(COUNTIF($B11:O11,"X")=0, "+", "-") ),
  IF(
    $A11&lt;P$1,
    "O",
    IF( OFFSET(P$1, COLUMN(P11)-1, 0)="-", "O", IF(MOD($A11, P$1)=0, "X", "O") )
  )
)</f>
        <v>O</v>
      </c>
      <c r="Q11" s="45" t="str">
        <f ca="1">IF(
  $A11=Q$1,
  IF( ROW(Q11)=2, "+", IF(COUNTIF($B11:P11,"X")=0, "+", "-") ),
  IF(
    $A11&lt;Q$1,
    "O",
    IF( OFFSET(Q$1, COLUMN(Q11)-1, 0)="-", "O", IF(MOD($A11, Q$1)=0, "X", "O") )
  )
)</f>
        <v>O</v>
      </c>
      <c r="R11" s="45" t="str">
        <f ca="1">IF(
  $A11=R$1,
  IF( ROW(R11)=2, "+", IF(COUNTIF($B11:Q11,"X")=0, "+", "-") ),
  IF(
    $A11&lt;R$1,
    "O",
    IF( OFFSET(R$1, COLUMN(R11)-1, 0)="-", "O", IF(MOD($A11, R$1)=0, "X", "O") )
  )
)</f>
        <v>O</v>
      </c>
      <c r="S11" s="45" t="str">
        <f ca="1">IF(
  $A11=S$1,
  IF( ROW(S11)=2, "+", IF(COUNTIF($B11:R11,"X")=0, "+", "-") ),
  IF(
    $A11&lt;S$1,
    "O",
    IF( OFFSET(S$1, COLUMN(S11)-1, 0)="-", "O", IF(MOD($A11, S$1)=0, "X", "O") )
  )
)</f>
        <v>O</v>
      </c>
      <c r="T11" s="45" t="str">
        <f ca="1">IF(
  $A11=T$1,
  IF( ROW(T11)=2, "+", IF(COUNTIF($B11:S11,"X")=0, "+", "-") ),
  IF(
    $A11&lt;T$1,
    "O",
    IF( OFFSET(T$1, COLUMN(T11)-1, 0)="-", "O", IF(MOD($A11, T$1)=0, "X", "O") )
  )
)</f>
        <v>O</v>
      </c>
      <c r="U11" s="45" t="str">
        <f ca="1">IF(
  $A11=U$1,
  IF( ROW(U11)=2, "+", IF(COUNTIF($B11:T11,"X")=0, "+", "-") ),
  IF(
    $A11&lt;U$1,
    "O",
    IF( OFFSET(U$1, COLUMN(U11)-1, 0)="-", "O", IF(MOD($A11, U$1)=0, "X", "O") )
  )
)</f>
        <v>O</v>
      </c>
      <c r="V11" s="45" t="str">
        <f ca="1">IF(
  $A11=V$1,
  IF( ROW(V11)=2, "+", IF(COUNTIF($B11:U11,"X")=0, "+", "-") ),
  IF(
    $A11&lt;V$1,
    "O",
    IF( OFFSET(V$1, COLUMN(V11)-1, 0)="-", "O", IF(MOD($A11, V$1)=0, "X", "O") )
  )
)</f>
        <v>O</v>
      </c>
      <c r="W11" s="45" t="str">
        <f ca="1">IF(
  $A11=W$1,
  IF( ROW(W11)=2, "+", IF(COUNTIF($B11:V11,"X")=0, "+", "-") ),
  IF(
    $A11&lt;W$1,
    "O",
    IF( OFFSET(W$1, COLUMN(W11)-1, 0)="-", "O", IF(MOD($A11, W$1)=0, "X", "O") )
  )
)</f>
        <v>O</v>
      </c>
      <c r="X11" s="45" t="str">
        <f ca="1">IF(
  $A11=X$1,
  IF( ROW(X11)=2, "+", IF(COUNTIF($B11:W11,"X")=0, "+", "-") ),
  IF(
    $A11&lt;X$1,
    "O",
    IF( OFFSET(X$1, COLUMN(X11)-1, 0)="-", "O", IF(MOD($A11, X$1)=0, "X", "O") )
  )
)</f>
        <v>O</v>
      </c>
      <c r="Y11" s="45" t="str">
        <f ca="1">IF(
  $A11=Y$1,
  IF( ROW(Y11)=2, "+", IF(COUNTIF($B11:X11,"X")=0, "+", "-") ),
  IF(
    $A11&lt;Y$1,
    "O",
    IF( OFFSET(Y$1, COLUMN(Y11)-1, 0)="-", "O", IF(MOD($A11, Y$1)=0, "X", "O") )
  )
)</f>
        <v>O</v>
      </c>
      <c r="Z11" s="45" t="str">
        <f ca="1">IF(
  $A11=Z$1,
  IF( ROW(Z11)=2, "+", IF(COUNTIF($B11:Y11,"X")=0, "+", "-") ),
  IF(
    $A11&lt;Z$1,
    "O",
    IF( OFFSET(Z$1, COLUMN(Z11)-1, 0)="-", "O", IF(MOD($A11, Z$1)=0, "X", "O") )
  )
)</f>
        <v>O</v>
      </c>
      <c r="AA11" s="45" t="str">
        <f ca="1">IF(
  $A11=AA$1,
  IF( ROW(AA11)=2, "+", IF(COUNTIF($B11:Z11,"X")=0, "+", "-") ),
  IF(
    $A11&lt;AA$1,
    "O",
    IF( OFFSET(AA$1, COLUMN(AA11)-1, 0)="-", "O", IF(MOD($A11, AA$1)=0, "X", "O") )
  )
)</f>
        <v>O</v>
      </c>
      <c r="AB11" s="45" t="str">
        <f ca="1">IF(
  $A11=AB$1,
  IF( ROW(AB11)=2, "+", IF(COUNTIF($B11:AA11,"X")=0, "+", "-") ),
  IF(
    $A11&lt;AB$1,
    "O",
    IF( OFFSET(AB$1, COLUMN(AB11)-1, 0)="-", "O", IF(MOD($A11, AB$1)=0, "X", "O") )
  )
)</f>
        <v>O</v>
      </c>
      <c r="AC11" s="45" t="str">
        <f ca="1">IF(
  $A11=AC$1,
  IF( ROW(AC11)=2, "+", IF(COUNTIF($B11:AB11,"X")=0, "+", "-") ),
  IF(
    $A11&lt;AC$1,
    "O",
    IF( OFFSET(AC$1, COLUMN(AC11)-1, 0)="-", "O", IF(MOD($A11, AC$1)=0, "X", "O") )
  )
)</f>
        <v>O</v>
      </c>
      <c r="AD11" s="45" t="str">
        <f ca="1">IF(
  $A11=AD$1,
  IF( ROW(AD11)=2, "+", IF(COUNTIF($B11:AC11,"X")=0, "+", "-") ),
  IF(
    $A11&lt;AD$1,
    "O",
    IF( OFFSET(AD$1, COLUMN(AD11)-1, 0)="-", "O", IF(MOD($A11, AD$1)=0, "X", "O") )
  )
)</f>
        <v>O</v>
      </c>
      <c r="AE11" s="45" t="str">
        <f ca="1">IF(
  $A11=AE$1,
  IF( ROW(AE11)=2, "+", IF(COUNTIF($B11:AD11,"X")=0, "+", "-") ),
  IF(
    $A11&lt;AE$1,
    "O",
    IF( OFFSET(AE$1, COLUMN(AE11)-1, 0)="-", "O", IF(MOD($A11, AE$1)=0, "X", "O") )
  )
)</f>
        <v>O</v>
      </c>
      <c r="AF11" s="45" t="str">
        <f ca="1">IF(
  $A11=AF$1,
  IF( ROW(AF11)=2, "+", IF(COUNTIF($B11:AE11,"X")=0, "+", "-") ),
  IF(
    $A11&lt;AF$1,
    "O",
    IF( OFFSET(AF$1, COLUMN(AF11)-1, 0)="-", "O", IF(MOD($A11, AF$1)=0, "X", "O") )
  )
)</f>
        <v>O</v>
      </c>
      <c r="AG11" s="45" t="str">
        <f ca="1">IF(
  $A11=AG$1,
  IF( ROW(AG11)=2, "+", IF(COUNTIF($B11:AF11,"X")=0, "+", "-") ),
  IF(
    $A11&lt;AG$1,
    "O",
    IF( OFFSET(AG$1, COLUMN(AG11)-1, 0)="-", "O", IF(MOD($A11, AG$1)=0, "X", "O") )
  )
)</f>
        <v>O</v>
      </c>
      <c r="AH11" s="45" t="str">
        <f ca="1">IF(
  $A11=AH$1,
  IF( ROW(AH11)=2, "+", IF(COUNTIF($B11:AG11,"X")=0, "+", "-") ),
  IF(
    $A11&lt;AH$1,
    "O",
    IF( OFFSET(AH$1, COLUMN(AH11)-1, 0)="-", "O", IF(MOD($A11, AH$1)=0, "X", "O") )
  )
)</f>
        <v>O</v>
      </c>
      <c r="AI11" s="45" t="str">
        <f ca="1">IF(
  $A11=AI$1,
  IF( ROW(AI11)=2, "+", IF(COUNTIF($B11:AH11,"X")=0, "+", "-") ),
  IF(
    $A11&lt;AI$1,
    "O",
    IF( OFFSET(AI$1, COLUMN(AI11)-1, 0)="-", "O", IF(MOD($A11, AI$1)=0, "X", "O") )
  )
)</f>
        <v>O</v>
      </c>
      <c r="AJ11" s="45" t="str">
        <f ca="1">IF(
  $A11=AJ$1,
  IF( ROW(AJ11)=2, "+", IF(COUNTIF($B11:AI11,"X")=0, "+", "-") ),
  IF(
    $A11&lt;AJ$1,
    "O",
    IF( OFFSET(AJ$1, COLUMN(AJ11)-1, 0)="-", "O", IF(MOD($A11, AJ$1)=0, "X", "O") )
  )
)</f>
        <v>O</v>
      </c>
      <c r="AK11" s="45" t="str">
        <f ca="1">IF(
  $A11=AK$1,
  IF( ROW(AK11)=2, "+", IF(COUNTIF($B11:AJ11,"X")=0, "+", "-") ),
  IF(
    $A11&lt;AK$1,
    "O",
    IF( OFFSET(AK$1, COLUMN(AK11)-1, 0)="-", "O", IF(MOD($A11, AK$1)=0, "X", "O") )
  )
)</f>
        <v>O</v>
      </c>
      <c r="AL11" s="45" t="str">
        <f ca="1">IF(
  $A11=AL$1,
  IF( ROW(AL11)=2, "+", IF(COUNTIF($B11:AK11,"X")=0, "+", "-") ),
  IF(
    $A11&lt;AL$1,
    "O",
    IF( OFFSET(AL$1, COLUMN(AL11)-1, 0)="-", "O", IF(MOD($A11, AL$1)=0, "X", "O") )
  )
)</f>
        <v>O</v>
      </c>
      <c r="AM11" s="45" t="str">
        <f ca="1">IF(
  $A11=AM$1,
  IF( ROW(AM11)=2, "+", IF(COUNTIF($B11:AL11,"X")=0, "+", "-") ),
  IF(
    $A11&lt;AM$1,
    "O",
    IF( OFFSET(AM$1, COLUMN(AM11)-1, 0)="-", "O", IF(MOD($A11, AM$1)=0, "X", "O") )
  )
)</f>
        <v>O</v>
      </c>
      <c r="AN11" s="45" t="str">
        <f ca="1">IF(
  $A11=AN$1,
  IF( ROW(AN11)=2, "+", IF(COUNTIF($B11:AM11,"X")=0, "+", "-") ),
  IF(
    $A11&lt;AN$1,
    "O",
    IF( OFFSET(AN$1, COLUMN(AN11)-1, 0)="-", "O", IF(MOD($A11, AN$1)=0, "X", "O") )
  )
)</f>
        <v>O</v>
      </c>
      <c r="AO11" s="45" t="str">
        <f ca="1">IF(
  $A11=AO$1,
  IF( ROW(AO11)=2, "+", IF(COUNTIF($B11:AN11,"X")=0, "+", "-") ),
  IF(
    $A11&lt;AO$1,
    "O",
    IF( OFFSET(AO$1, COLUMN(AO11)-1, 0)="-", "O", IF(MOD($A11, AO$1)=0, "X", "O") )
  )
)</f>
        <v>O</v>
      </c>
      <c r="AP11" s="45" t="str">
        <f ca="1">IF(
  $A11=AP$1,
  IF( ROW(AP11)=2, "+", IF(COUNTIF($B11:AO11,"X")=0, "+", "-") ),
  IF(
    $A11&lt;AP$1,
    "O",
    IF( OFFSET(AP$1, COLUMN(AP11)-1, 0)="-", "O", IF(MOD($A11, AP$1)=0, "X", "O") )
  )
)</f>
        <v>O</v>
      </c>
      <c r="AQ11" s="45" t="str">
        <f ca="1">IF(
  $A11=AQ$1,
  IF( ROW(AQ11)=2, "+", IF(COUNTIF($B11:AP11,"X")=0, "+", "-") ),
  IF(
    $A11&lt;AQ$1,
    "O",
    IF( OFFSET(AQ$1, COLUMN(AQ11)-1, 0)="-", "O", IF(MOD($A11, AQ$1)=0, "X", "O") )
  )
)</f>
        <v>O</v>
      </c>
      <c r="AR11" s="45" t="str">
        <f ca="1">IF(
  $A11=AR$1,
  IF( ROW(AR11)=2, "+", IF(COUNTIF($B11:AQ11,"X")=0, "+", "-") ),
  IF(
    $A11&lt;AR$1,
    "O",
    IF( OFFSET(AR$1, COLUMN(AR11)-1, 0)="-", "O", IF(MOD($A11, AR$1)=0, "X", "O") )
  )
)</f>
        <v>O</v>
      </c>
      <c r="AS11" s="45" t="str">
        <f ca="1">IF(
  $A11=AS$1,
  IF( ROW(AS11)=2, "+", IF(COUNTIF($B11:AR11,"X")=0, "+", "-") ),
  IF(
    $A11&lt;AS$1,
    "O",
    IF( OFFSET(AS$1, COLUMN(AS11)-1, 0)="-", "O", IF(MOD($A11, AS$1)=0, "X", "O") )
  )
)</f>
        <v>O</v>
      </c>
      <c r="AT11" s="45" t="str">
        <f ca="1">IF(
  $A11=AT$1,
  IF( ROW(AT11)=2, "+", IF(COUNTIF($B11:AS11,"X")=0, "+", "-") ),
  IF(
    $A11&lt;AT$1,
    "O",
    IF( OFFSET(AT$1, COLUMN(AT11)-1, 0)="-", "O", IF(MOD($A11, AT$1)=0, "X", "O") )
  )
)</f>
        <v>O</v>
      </c>
      <c r="AU11" s="45" t="str">
        <f ca="1">IF(
  $A11=AU$1,
  IF( ROW(AU11)=2, "+", IF(COUNTIF($B11:AT11,"X")=0, "+", "-") ),
  IF(
    $A11&lt;AU$1,
    "O",
    IF( OFFSET(AU$1, COLUMN(AU11)-1, 0)="-", "O", IF(MOD($A11, AU$1)=0, "X", "O") )
  )
)</f>
        <v>O</v>
      </c>
      <c r="AV11" s="45" t="str">
        <f ca="1">IF(
  $A11=AV$1,
  IF( ROW(AV11)=2, "+", IF(COUNTIF($B11:AU11,"X")=0, "+", "-") ),
  IF(
    $A11&lt;AV$1,
    "O",
    IF( OFFSET(AV$1, COLUMN(AV11)-1, 0)="-", "O", IF(MOD($A11, AV$1)=0, "X", "O") )
  )
)</f>
        <v>O</v>
      </c>
      <c r="AW11" s="45" t="str">
        <f ca="1">IF(
  $A11=AW$1,
  IF( ROW(AW11)=2, "+", IF(COUNTIF($B11:AV11,"X")=0, "+", "-") ),
  IF(
    $A11&lt;AW$1,
    "O",
    IF( OFFSET(AW$1, COLUMN(AW11)-1, 0)="-", "O", IF(MOD($A11, AW$1)=0, "X", "O") )
  )
)</f>
        <v>O</v>
      </c>
      <c r="AX11" s="45" t="str">
        <f ca="1">IF(
  $A11=AX$1,
  IF( ROW(AX11)=2, "+", IF(COUNTIF($B11:AW11,"X")=0, "+", "-") ),
  IF(
    $A11&lt;AX$1,
    "O",
    IF( OFFSET(AX$1, COLUMN(AX11)-1, 0)="-", "O", IF(MOD($A11, AX$1)=0, "X", "O") )
  )
)</f>
        <v>O</v>
      </c>
      <c r="AY11" s="45" t="str">
        <f ca="1">IF(
  $A11=AY$1,
  IF( ROW(AY11)=2, "+", IF(COUNTIF($B11:AX11,"X")=0, "+", "-") ),
  IF(
    $A11&lt;AY$1,
    "O",
    IF( OFFSET(AY$1, COLUMN(AY11)-1, 0)="-", "O", IF(MOD($A11, AY$1)=0, "X", "O") )
  )
)</f>
        <v>O</v>
      </c>
      <c r="AZ11" s="45" t="str">
        <f ca="1">IF(
  $A11=AZ$1,
  IF( ROW(AZ11)=2, "+", IF(COUNTIF($B11:AY11,"X")=0, "+", "-") ),
  IF(
    $A11&lt;AZ$1,
    "O",
    IF( OFFSET(AZ$1, COLUMN(AZ11)-1, 0)="-", "O", IF(MOD($A11, AZ$1)=0, "X", "O") )
  )
)</f>
        <v>O</v>
      </c>
      <c r="BA11" s="45" t="str">
        <f ca="1">IF(
  $A11=BA$1,
  IF( ROW(BA11)=2, "+", IF(COUNTIF($B11:AZ11,"X")=0, "+", "-") ),
  IF(
    $A11&lt;BA$1,
    "O",
    IF( OFFSET(BA$1, COLUMN(BA11)-1, 0)="-", "O", IF(MOD($A11, BA$1)=0, "X", "O") )
  )
)</f>
        <v>O</v>
      </c>
      <c r="BB11" s="45" t="str">
        <f ca="1">IF(
  $A11=BB$1,
  IF( ROW(BB11)=2, "+", IF(COUNTIF($B11:BA11,"X")=0, "+", "-") ),
  IF(
    $A11&lt;BB$1,
    "O",
    IF( OFFSET(BB$1, COLUMN(BB11)-1, 0)="-", "O", IF(MOD($A11, BB$1)=0, "X", "O") )
  )
)</f>
        <v>O</v>
      </c>
      <c r="BC11" s="45" t="str">
        <f ca="1">IF(
  $A11=BC$1,
  IF( ROW(BC11)=2, "+", IF(COUNTIF($B11:BB11,"X")=0, "+", "-") ),
  IF(
    $A11&lt;BC$1,
    "O",
    IF( OFFSET(BC$1, COLUMN(BC11)-1, 0)="-", "O", IF(MOD($A11, BC$1)=0, "X", "O") )
  )
)</f>
        <v>O</v>
      </c>
      <c r="BD11" s="45" t="str">
        <f ca="1">IF(
  $A11=BD$1,
  IF( ROW(BD11)=2, "+", IF(COUNTIF($B11:BC11,"X")=0, "+", "-") ),
  IF(
    $A11&lt;BD$1,
    "O",
    IF( OFFSET(BD$1, COLUMN(BD11)-1, 0)="-", "O", IF(MOD($A11, BD$1)=0, "X", "O") )
  )
)</f>
        <v>O</v>
      </c>
      <c r="BE11" s="45" t="str">
        <f ca="1">IF(
  $A11=BE$1,
  IF( ROW(BE11)=2, "+", IF(COUNTIF($B11:BD11,"X")=0, "+", "-") ),
  IF(
    $A11&lt;BE$1,
    "O",
    IF( OFFSET(BE$1, COLUMN(BE11)-1, 0)="-", "O", IF(MOD($A11, BE$1)=0, "X", "O") )
  )
)</f>
        <v>O</v>
      </c>
      <c r="BF11" s="45" t="str">
        <f ca="1">IF(
  $A11=BF$1,
  IF( ROW(BF11)=2, "+", IF(COUNTIF($B11:BE11,"X")=0, "+", "-") ),
  IF(
    $A11&lt;BF$1,
    "O",
    IF( OFFSET(BF$1, COLUMN(BF11)-1, 0)="-", "O", IF(MOD($A11, BF$1)=0, "X", "O") )
  )
)</f>
        <v>O</v>
      </c>
      <c r="BG11" s="45" t="str">
        <f ca="1">IF(
  $A11=BG$1,
  IF( ROW(BG11)=2, "+", IF(COUNTIF($B11:BF11,"X")=0, "+", "-") ),
  IF(
    $A11&lt;BG$1,
    "O",
    IF( OFFSET(BG$1, COLUMN(BG11)-1, 0)="-", "O", IF(MOD($A11, BG$1)=0, "X", "O") )
  )
)</f>
        <v>O</v>
      </c>
      <c r="BH11" s="45" t="str">
        <f ca="1">IF(
  $A11=BH$1,
  IF( ROW(BH11)=2, "+", IF(COUNTIF($B11:BG11,"X")=0, "+", "-") ),
  IF(
    $A11&lt;BH$1,
    "O",
    IF( OFFSET(BH$1, COLUMN(BH11)-1, 0)="-", "O", IF(MOD($A11, BH$1)=0, "X", "O") )
  )
)</f>
        <v>O</v>
      </c>
    </row>
    <row r="12" spans="1:62" s="46" customFormat="1" x14ac:dyDescent="0.25">
      <c r="A12">
        <v>12</v>
      </c>
      <c r="B12" s="44" t="str">
        <f ca="1">IF(
  $A12=B$1,
  IF( ROW(B12)=2, "+", IF(COUNTIF(A12:$B12,"X")=0, "+", "-") ),
  IF(
    $A12&lt;B$1,
    "O",
    IF( OFFSET(B$1, COLUMN(B12)-1, 0)="-", "O", IF(MOD($A12, B$1)=0, "X", "O") )
  )
)</f>
        <v>X</v>
      </c>
      <c r="C12" s="44" t="str">
        <f ca="1">IF(
  $A12=C$1,
  IF( ROW(C12)=2, "+", IF(COUNTIF(B12:$B12,"X")=0, "+", "-") ),
  IF(
    $A12&lt;C$1,
    "O",
    IF( OFFSET(C$1, COLUMN(C12)-1, 0)="-", "O", IF(MOD($A12, C$1)=0, "X", "O") )
  )
)</f>
        <v>X</v>
      </c>
      <c r="D12" s="45" t="str">
        <f ca="1">IF(
  $A12=D$1,
  IF( ROW(D12)=2, "+", IF(COUNTIF($B12:C12,"X")=0, "+", "-") ),
  IF(
    $A12&lt;D$1,
    "O",
    IF( OFFSET(D$1, COLUMN(D12)-1, 0)="-", "O", IF(MOD($A12, D$1)=0, "X", "O") )
  )
)</f>
        <v>O</v>
      </c>
      <c r="E12" s="44" t="str">
        <f ca="1">IF(
  $A12=E$1,
  IF( ROW(E12)=2, "+", IF(COUNTIF($B12:D12,"X")=0, "+", "-") ),
  IF(
    $A12&lt;E$1,
    "O",
    IF( OFFSET(E$1, COLUMN(E12)-1, 0)="-", "O", IF(MOD($A12, E$1)=0, "X", "O") )
  )
)</f>
        <v>O</v>
      </c>
      <c r="F12" s="45" t="str">
        <f ca="1">IF(
  $A12=F$1,
  IF( ROW(F12)=2, "+", IF(COUNTIF($B12:E12,"X")=0, "+", "-") ),
  IF(
    $A12&lt;F$1,
    "O",
    IF( OFFSET(F$1, COLUMN(F12)-1, 0)="-", "O", IF(MOD($A12, F$1)=0, "X", "O") )
  )
)</f>
        <v>O</v>
      </c>
      <c r="G12" s="44" t="str">
        <f ca="1">IF(
  $A12=G$1,
  IF( ROW(G12)=2, "+", IF(COUNTIF($B12:F12,"X")=0, "+", "-") ),
  IF(
    $A12&lt;G$1,
    "O",
    IF( OFFSET(G$1, COLUMN(G12)-1, 0)="-", "O", IF(MOD($A12, G$1)=0, "X", "O") )
  )
)</f>
        <v>O</v>
      </c>
      <c r="H12" s="45" t="str">
        <f ca="1">IF(
  $A12=H$1,
  IF( ROW(H12)=2, "+", IF(COUNTIF($B12:G12,"X")=0, "+", "-") ),
  IF(
    $A12&lt;H$1,
    "O",
    IF( OFFSET(H$1, COLUMN(H12)-1, 0)="-", "O", IF(MOD($A12, H$1)=0, "X", "O") )
  )
)</f>
        <v>O</v>
      </c>
      <c r="I12" s="45" t="str">
        <f ca="1">IF(
  $A12=I$1,
  IF( ROW(I12)=2, "+", IF(COUNTIF($B12:H12,"X")=0, "+", "-") ),
  IF(
    $A12&lt;I$1,
    "O",
    IF( OFFSET(I$1, COLUMN(I12)-1, 0)="-", "O", IF(MOD($A12, I$1)=0, "X", "O") )
  )
)</f>
        <v>O</v>
      </c>
      <c r="J12" s="45" t="str">
        <f ca="1">IF(
  $A12=J$1,
  IF( ROW(J12)=2, "+", IF(COUNTIF($B12:I12,"X")=0, "+", "-") ),
  IF(
    $A12&lt;J$1,
    "O",
    IF( OFFSET(J$1, COLUMN(J12)-1, 0)="-", "O", IF(MOD($A12, J$1)=0, "X", "O") )
  )
)</f>
        <v>O</v>
      </c>
      <c r="K12" s="44" t="str">
        <f ca="1">IF(
  $A12=K$1,
  IF( ROW(K12)=2, "+", IF(COUNTIF($B12:J12,"X")=0, "+", "-") ),
  IF(
    $A12&lt;K$1,
    "O",
    IF( OFFSET(K$1, COLUMN(K12)-1, 0)="-", "O", IF(MOD($A12, K$1)=0, "X", "O") )
  )
)</f>
        <v>O</v>
      </c>
      <c r="L12" s="45" t="str">
        <f ca="1">IF(
  $A12=L$1,
  IF( ROW(L12)=2, "+", IF(COUNTIF($B12:K12,"X")=0, "+", "-") ),
  IF(
    $A12&lt;L$1,
    "O",
    IF( OFFSET(L$1, COLUMN(L12)-1, 0)="-", "O", IF(MOD($A12, L$1)=0, "X", "O") )
  )
)</f>
        <v>-</v>
      </c>
      <c r="M12" s="45" t="str">
        <f ca="1">IF(
  $A12=M$1,
  IF( ROW(M12)=2, "+", IF(COUNTIF($B12:L12,"X")=0, "+", "-") ),
  IF(
    $A12&lt;M$1,
    "O",
    IF( OFFSET(M$1, COLUMN(M12)-1, 0)="-", "O", IF(MOD($A12, M$1)=0, "X", "O") )
  )
)</f>
        <v>O</v>
      </c>
      <c r="N12" s="45" t="str">
        <f ca="1">IF(
  $A12=N$1,
  IF( ROW(N12)=2, "+", IF(COUNTIF($B12:M12,"X")=0, "+", "-") ),
  IF(
    $A12&lt;N$1,
    "O",
    IF( OFFSET(N$1, COLUMN(N12)-1, 0)="-", "O", IF(MOD($A12, N$1)=0, "X", "O") )
  )
)</f>
        <v>O</v>
      </c>
      <c r="O12" s="45" t="str">
        <f ca="1">IF(
  $A12=O$1,
  IF( ROW(O12)=2, "+", IF(COUNTIF($B12:N12,"X")=0, "+", "-") ),
  IF(
    $A12&lt;O$1,
    "O",
    IF( OFFSET(O$1, COLUMN(O12)-1, 0)="-", "O", IF(MOD($A12, O$1)=0, "X", "O") )
  )
)</f>
        <v>O</v>
      </c>
      <c r="P12" s="45" t="str">
        <f ca="1">IF(
  $A12=P$1,
  IF( ROW(P12)=2, "+", IF(COUNTIF($B12:O12,"X")=0, "+", "-") ),
  IF(
    $A12&lt;P$1,
    "O",
    IF( OFFSET(P$1, COLUMN(P12)-1, 0)="-", "O", IF(MOD($A12, P$1)=0, "X", "O") )
  )
)</f>
        <v>O</v>
      </c>
      <c r="Q12" s="45" t="str">
        <f ca="1">IF(
  $A12=Q$1,
  IF( ROW(Q12)=2, "+", IF(COUNTIF($B12:P12,"X")=0, "+", "-") ),
  IF(
    $A12&lt;Q$1,
    "O",
    IF( OFFSET(Q$1, COLUMN(Q12)-1, 0)="-", "O", IF(MOD($A12, Q$1)=0, "X", "O") )
  )
)</f>
        <v>O</v>
      </c>
      <c r="R12" s="45" t="str">
        <f ca="1">IF(
  $A12=R$1,
  IF( ROW(R12)=2, "+", IF(COUNTIF($B12:Q12,"X")=0, "+", "-") ),
  IF(
    $A12&lt;R$1,
    "O",
    IF( OFFSET(R$1, COLUMN(R12)-1, 0)="-", "O", IF(MOD($A12, R$1)=0, "X", "O") )
  )
)</f>
        <v>O</v>
      </c>
      <c r="S12" s="45" t="str">
        <f ca="1">IF(
  $A12=S$1,
  IF( ROW(S12)=2, "+", IF(COUNTIF($B12:R12,"X")=0, "+", "-") ),
  IF(
    $A12&lt;S$1,
    "O",
    IF( OFFSET(S$1, COLUMN(S12)-1, 0)="-", "O", IF(MOD($A12, S$1)=0, "X", "O") )
  )
)</f>
        <v>O</v>
      </c>
      <c r="T12" s="45" t="str">
        <f ca="1">IF(
  $A12=T$1,
  IF( ROW(T12)=2, "+", IF(COUNTIF($B12:S12,"X")=0, "+", "-") ),
  IF(
    $A12&lt;T$1,
    "O",
    IF( OFFSET(T$1, COLUMN(T12)-1, 0)="-", "O", IF(MOD($A12, T$1)=0, "X", "O") )
  )
)</f>
        <v>O</v>
      </c>
      <c r="U12" s="45" t="str">
        <f ca="1">IF(
  $A12=U$1,
  IF( ROW(U12)=2, "+", IF(COUNTIF($B12:T12,"X")=0, "+", "-") ),
  IF(
    $A12&lt;U$1,
    "O",
    IF( OFFSET(U$1, COLUMN(U12)-1, 0)="-", "O", IF(MOD($A12, U$1)=0, "X", "O") )
  )
)</f>
        <v>O</v>
      </c>
      <c r="V12" s="45" t="str">
        <f ca="1">IF(
  $A12=V$1,
  IF( ROW(V12)=2, "+", IF(COUNTIF($B12:U12,"X")=0, "+", "-") ),
  IF(
    $A12&lt;V$1,
    "O",
    IF( OFFSET(V$1, COLUMN(V12)-1, 0)="-", "O", IF(MOD($A12, V$1)=0, "X", "O") )
  )
)</f>
        <v>O</v>
      </c>
      <c r="W12" s="45" t="str">
        <f ca="1">IF(
  $A12=W$1,
  IF( ROW(W12)=2, "+", IF(COUNTIF($B12:V12,"X")=0, "+", "-") ),
  IF(
    $A12&lt;W$1,
    "O",
    IF( OFFSET(W$1, COLUMN(W12)-1, 0)="-", "O", IF(MOD($A12, W$1)=0, "X", "O") )
  )
)</f>
        <v>O</v>
      </c>
      <c r="X12" s="45" t="str">
        <f ca="1">IF(
  $A12=X$1,
  IF( ROW(X12)=2, "+", IF(COUNTIF($B12:W12,"X")=0, "+", "-") ),
  IF(
    $A12&lt;X$1,
    "O",
    IF( OFFSET(X$1, COLUMN(X12)-1, 0)="-", "O", IF(MOD($A12, X$1)=0, "X", "O") )
  )
)</f>
        <v>O</v>
      </c>
      <c r="Y12" s="45" t="str">
        <f ca="1">IF(
  $A12=Y$1,
  IF( ROW(Y12)=2, "+", IF(COUNTIF($B12:X12,"X")=0, "+", "-") ),
  IF(
    $A12&lt;Y$1,
    "O",
    IF( OFFSET(Y$1, COLUMN(Y12)-1, 0)="-", "O", IF(MOD($A12, Y$1)=0, "X", "O") )
  )
)</f>
        <v>O</v>
      </c>
      <c r="Z12" s="45" t="str">
        <f ca="1">IF(
  $A12=Z$1,
  IF( ROW(Z12)=2, "+", IF(COUNTIF($B12:Y12,"X")=0, "+", "-") ),
  IF(
    $A12&lt;Z$1,
    "O",
    IF( OFFSET(Z$1, COLUMN(Z12)-1, 0)="-", "O", IF(MOD($A12, Z$1)=0, "X", "O") )
  )
)</f>
        <v>O</v>
      </c>
      <c r="AA12" s="45" t="str">
        <f ca="1">IF(
  $A12=AA$1,
  IF( ROW(AA12)=2, "+", IF(COUNTIF($B12:Z12,"X")=0, "+", "-") ),
  IF(
    $A12&lt;AA$1,
    "O",
    IF( OFFSET(AA$1, COLUMN(AA12)-1, 0)="-", "O", IF(MOD($A12, AA$1)=0, "X", "O") )
  )
)</f>
        <v>O</v>
      </c>
      <c r="AB12" s="45" t="str">
        <f ca="1">IF(
  $A12=AB$1,
  IF( ROW(AB12)=2, "+", IF(COUNTIF($B12:AA12,"X")=0, "+", "-") ),
  IF(
    $A12&lt;AB$1,
    "O",
    IF( OFFSET(AB$1, COLUMN(AB12)-1, 0)="-", "O", IF(MOD($A12, AB$1)=0, "X", "O") )
  )
)</f>
        <v>O</v>
      </c>
      <c r="AC12" s="45" t="str">
        <f ca="1">IF(
  $A12=AC$1,
  IF( ROW(AC12)=2, "+", IF(COUNTIF($B12:AB12,"X")=0, "+", "-") ),
  IF(
    $A12&lt;AC$1,
    "O",
    IF( OFFSET(AC$1, COLUMN(AC12)-1, 0)="-", "O", IF(MOD($A12, AC$1)=0, "X", "O") )
  )
)</f>
        <v>O</v>
      </c>
      <c r="AD12" s="45" t="str">
        <f ca="1">IF(
  $A12=AD$1,
  IF( ROW(AD12)=2, "+", IF(COUNTIF($B12:AC12,"X")=0, "+", "-") ),
  IF(
    $A12&lt;AD$1,
    "O",
    IF( OFFSET(AD$1, COLUMN(AD12)-1, 0)="-", "O", IF(MOD($A12, AD$1)=0, "X", "O") )
  )
)</f>
        <v>O</v>
      </c>
      <c r="AE12" s="45" t="str">
        <f ca="1">IF(
  $A12=AE$1,
  IF( ROW(AE12)=2, "+", IF(COUNTIF($B12:AD12,"X")=0, "+", "-") ),
  IF(
    $A12&lt;AE$1,
    "O",
    IF( OFFSET(AE$1, COLUMN(AE12)-1, 0)="-", "O", IF(MOD($A12, AE$1)=0, "X", "O") )
  )
)</f>
        <v>O</v>
      </c>
      <c r="AF12" s="45" t="str">
        <f ca="1">IF(
  $A12=AF$1,
  IF( ROW(AF12)=2, "+", IF(COUNTIF($B12:AE12,"X")=0, "+", "-") ),
  IF(
    $A12&lt;AF$1,
    "O",
    IF( OFFSET(AF$1, COLUMN(AF12)-1, 0)="-", "O", IF(MOD($A12, AF$1)=0, "X", "O") )
  )
)</f>
        <v>O</v>
      </c>
      <c r="AG12" s="45" t="str">
        <f ca="1">IF(
  $A12=AG$1,
  IF( ROW(AG12)=2, "+", IF(COUNTIF($B12:AF12,"X")=0, "+", "-") ),
  IF(
    $A12&lt;AG$1,
    "O",
    IF( OFFSET(AG$1, COLUMN(AG12)-1, 0)="-", "O", IF(MOD($A12, AG$1)=0, "X", "O") )
  )
)</f>
        <v>O</v>
      </c>
      <c r="AH12" s="45" t="str">
        <f ca="1">IF(
  $A12=AH$1,
  IF( ROW(AH12)=2, "+", IF(COUNTIF($B12:AG12,"X")=0, "+", "-") ),
  IF(
    $A12&lt;AH$1,
    "O",
    IF( OFFSET(AH$1, COLUMN(AH12)-1, 0)="-", "O", IF(MOD($A12, AH$1)=0, "X", "O") )
  )
)</f>
        <v>O</v>
      </c>
      <c r="AI12" s="45" t="str">
        <f ca="1">IF(
  $A12=AI$1,
  IF( ROW(AI12)=2, "+", IF(COUNTIF($B12:AH12,"X")=0, "+", "-") ),
  IF(
    $A12&lt;AI$1,
    "O",
    IF( OFFSET(AI$1, COLUMN(AI12)-1, 0)="-", "O", IF(MOD($A12, AI$1)=0, "X", "O") )
  )
)</f>
        <v>O</v>
      </c>
      <c r="AJ12" s="45" t="str">
        <f ca="1">IF(
  $A12=AJ$1,
  IF( ROW(AJ12)=2, "+", IF(COUNTIF($B12:AI12,"X")=0, "+", "-") ),
  IF(
    $A12&lt;AJ$1,
    "O",
    IF( OFFSET(AJ$1, COLUMN(AJ12)-1, 0)="-", "O", IF(MOD($A12, AJ$1)=0, "X", "O") )
  )
)</f>
        <v>O</v>
      </c>
      <c r="AK12" s="45" t="str">
        <f ca="1">IF(
  $A12=AK$1,
  IF( ROW(AK12)=2, "+", IF(COUNTIF($B12:AJ12,"X")=0, "+", "-") ),
  IF(
    $A12&lt;AK$1,
    "O",
    IF( OFFSET(AK$1, COLUMN(AK12)-1, 0)="-", "O", IF(MOD($A12, AK$1)=0, "X", "O") )
  )
)</f>
        <v>O</v>
      </c>
      <c r="AL12" s="45" t="str">
        <f ca="1">IF(
  $A12=AL$1,
  IF( ROW(AL12)=2, "+", IF(COUNTIF($B12:AK12,"X")=0, "+", "-") ),
  IF(
    $A12&lt;AL$1,
    "O",
    IF( OFFSET(AL$1, COLUMN(AL12)-1, 0)="-", "O", IF(MOD($A12, AL$1)=0, "X", "O") )
  )
)</f>
        <v>O</v>
      </c>
      <c r="AM12" s="45" t="str">
        <f ca="1">IF(
  $A12=AM$1,
  IF( ROW(AM12)=2, "+", IF(COUNTIF($B12:AL12,"X")=0, "+", "-") ),
  IF(
    $A12&lt;AM$1,
    "O",
    IF( OFFSET(AM$1, COLUMN(AM12)-1, 0)="-", "O", IF(MOD($A12, AM$1)=0, "X", "O") )
  )
)</f>
        <v>O</v>
      </c>
      <c r="AN12" s="45" t="str">
        <f ca="1">IF(
  $A12=AN$1,
  IF( ROW(AN12)=2, "+", IF(COUNTIF($B12:AM12,"X")=0, "+", "-") ),
  IF(
    $A12&lt;AN$1,
    "O",
    IF( OFFSET(AN$1, COLUMN(AN12)-1, 0)="-", "O", IF(MOD($A12, AN$1)=0, "X", "O") )
  )
)</f>
        <v>O</v>
      </c>
      <c r="AO12" s="45" t="str">
        <f ca="1">IF(
  $A12=AO$1,
  IF( ROW(AO12)=2, "+", IF(COUNTIF($B12:AN12,"X")=0, "+", "-") ),
  IF(
    $A12&lt;AO$1,
    "O",
    IF( OFFSET(AO$1, COLUMN(AO12)-1, 0)="-", "O", IF(MOD($A12, AO$1)=0, "X", "O") )
  )
)</f>
        <v>O</v>
      </c>
      <c r="AP12" s="45" t="str">
        <f ca="1">IF(
  $A12=AP$1,
  IF( ROW(AP12)=2, "+", IF(COUNTIF($B12:AO12,"X")=0, "+", "-") ),
  IF(
    $A12&lt;AP$1,
    "O",
    IF( OFFSET(AP$1, COLUMN(AP12)-1, 0)="-", "O", IF(MOD($A12, AP$1)=0, "X", "O") )
  )
)</f>
        <v>O</v>
      </c>
      <c r="AQ12" s="45" t="str">
        <f ca="1">IF(
  $A12=AQ$1,
  IF( ROW(AQ12)=2, "+", IF(COUNTIF($B12:AP12,"X")=0, "+", "-") ),
  IF(
    $A12&lt;AQ$1,
    "O",
    IF( OFFSET(AQ$1, COLUMN(AQ12)-1, 0)="-", "O", IF(MOD($A12, AQ$1)=0, "X", "O") )
  )
)</f>
        <v>O</v>
      </c>
      <c r="AR12" s="45" t="str">
        <f ca="1">IF(
  $A12=AR$1,
  IF( ROW(AR12)=2, "+", IF(COUNTIF($B12:AQ12,"X")=0, "+", "-") ),
  IF(
    $A12&lt;AR$1,
    "O",
    IF( OFFSET(AR$1, COLUMN(AR12)-1, 0)="-", "O", IF(MOD($A12, AR$1)=0, "X", "O") )
  )
)</f>
        <v>O</v>
      </c>
      <c r="AS12" s="45" t="str">
        <f ca="1">IF(
  $A12=AS$1,
  IF( ROW(AS12)=2, "+", IF(COUNTIF($B12:AR12,"X")=0, "+", "-") ),
  IF(
    $A12&lt;AS$1,
    "O",
    IF( OFFSET(AS$1, COLUMN(AS12)-1, 0)="-", "O", IF(MOD($A12, AS$1)=0, "X", "O") )
  )
)</f>
        <v>O</v>
      </c>
      <c r="AT12" s="45" t="str">
        <f ca="1">IF(
  $A12=AT$1,
  IF( ROW(AT12)=2, "+", IF(COUNTIF($B12:AS12,"X")=0, "+", "-") ),
  IF(
    $A12&lt;AT$1,
    "O",
    IF( OFFSET(AT$1, COLUMN(AT12)-1, 0)="-", "O", IF(MOD($A12, AT$1)=0, "X", "O") )
  )
)</f>
        <v>O</v>
      </c>
      <c r="AU12" s="45" t="str">
        <f ca="1">IF(
  $A12=AU$1,
  IF( ROW(AU12)=2, "+", IF(COUNTIF($B12:AT12,"X")=0, "+", "-") ),
  IF(
    $A12&lt;AU$1,
    "O",
    IF( OFFSET(AU$1, COLUMN(AU12)-1, 0)="-", "O", IF(MOD($A12, AU$1)=0, "X", "O") )
  )
)</f>
        <v>O</v>
      </c>
      <c r="AV12" s="45" t="str">
        <f ca="1">IF(
  $A12=AV$1,
  IF( ROW(AV12)=2, "+", IF(COUNTIF($B12:AU12,"X")=0, "+", "-") ),
  IF(
    $A12&lt;AV$1,
    "O",
    IF( OFFSET(AV$1, COLUMN(AV12)-1, 0)="-", "O", IF(MOD($A12, AV$1)=0, "X", "O") )
  )
)</f>
        <v>O</v>
      </c>
      <c r="AW12" s="45" t="str">
        <f ca="1">IF(
  $A12=AW$1,
  IF( ROW(AW12)=2, "+", IF(COUNTIF($B12:AV12,"X")=0, "+", "-") ),
  IF(
    $A12&lt;AW$1,
    "O",
    IF( OFFSET(AW$1, COLUMN(AW12)-1, 0)="-", "O", IF(MOD($A12, AW$1)=0, "X", "O") )
  )
)</f>
        <v>O</v>
      </c>
      <c r="AX12" s="45" t="str">
        <f ca="1">IF(
  $A12=AX$1,
  IF( ROW(AX12)=2, "+", IF(COUNTIF($B12:AW12,"X")=0, "+", "-") ),
  IF(
    $A12&lt;AX$1,
    "O",
    IF( OFFSET(AX$1, COLUMN(AX12)-1, 0)="-", "O", IF(MOD($A12, AX$1)=0, "X", "O") )
  )
)</f>
        <v>O</v>
      </c>
      <c r="AY12" s="45" t="str">
        <f ca="1">IF(
  $A12=AY$1,
  IF( ROW(AY12)=2, "+", IF(COUNTIF($B12:AX12,"X")=0, "+", "-") ),
  IF(
    $A12&lt;AY$1,
    "O",
    IF( OFFSET(AY$1, COLUMN(AY12)-1, 0)="-", "O", IF(MOD($A12, AY$1)=0, "X", "O") )
  )
)</f>
        <v>O</v>
      </c>
      <c r="AZ12" s="45" t="str">
        <f ca="1">IF(
  $A12=AZ$1,
  IF( ROW(AZ12)=2, "+", IF(COUNTIF($B12:AY12,"X")=0, "+", "-") ),
  IF(
    $A12&lt;AZ$1,
    "O",
    IF( OFFSET(AZ$1, COLUMN(AZ12)-1, 0)="-", "O", IF(MOD($A12, AZ$1)=0, "X", "O") )
  )
)</f>
        <v>O</v>
      </c>
      <c r="BA12" s="45" t="str">
        <f ca="1">IF(
  $A12=BA$1,
  IF( ROW(BA12)=2, "+", IF(COUNTIF($B12:AZ12,"X")=0, "+", "-") ),
  IF(
    $A12&lt;BA$1,
    "O",
    IF( OFFSET(BA$1, COLUMN(BA12)-1, 0)="-", "O", IF(MOD($A12, BA$1)=0, "X", "O") )
  )
)</f>
        <v>O</v>
      </c>
      <c r="BB12" s="45" t="str">
        <f ca="1">IF(
  $A12=BB$1,
  IF( ROW(BB12)=2, "+", IF(COUNTIF($B12:BA12,"X")=0, "+", "-") ),
  IF(
    $A12&lt;BB$1,
    "O",
    IF( OFFSET(BB$1, COLUMN(BB12)-1, 0)="-", "O", IF(MOD($A12, BB$1)=0, "X", "O") )
  )
)</f>
        <v>O</v>
      </c>
      <c r="BC12" s="45" t="str">
        <f ca="1">IF(
  $A12=BC$1,
  IF( ROW(BC12)=2, "+", IF(COUNTIF($B12:BB12,"X")=0, "+", "-") ),
  IF(
    $A12&lt;BC$1,
    "O",
    IF( OFFSET(BC$1, COLUMN(BC12)-1, 0)="-", "O", IF(MOD($A12, BC$1)=0, "X", "O") )
  )
)</f>
        <v>O</v>
      </c>
      <c r="BD12" s="45" t="str">
        <f ca="1">IF(
  $A12=BD$1,
  IF( ROW(BD12)=2, "+", IF(COUNTIF($B12:BC12,"X")=0, "+", "-") ),
  IF(
    $A12&lt;BD$1,
    "O",
    IF( OFFSET(BD$1, COLUMN(BD12)-1, 0)="-", "O", IF(MOD($A12, BD$1)=0, "X", "O") )
  )
)</f>
        <v>O</v>
      </c>
      <c r="BE12" s="45" t="str">
        <f ca="1">IF(
  $A12=BE$1,
  IF( ROW(BE12)=2, "+", IF(COUNTIF($B12:BD12,"X")=0, "+", "-") ),
  IF(
    $A12&lt;BE$1,
    "O",
    IF( OFFSET(BE$1, COLUMN(BE12)-1, 0)="-", "O", IF(MOD($A12, BE$1)=0, "X", "O") )
  )
)</f>
        <v>O</v>
      </c>
      <c r="BF12" s="45" t="str">
        <f ca="1">IF(
  $A12=BF$1,
  IF( ROW(BF12)=2, "+", IF(COUNTIF($B12:BE12,"X")=0, "+", "-") ),
  IF(
    $A12&lt;BF$1,
    "O",
    IF( OFFSET(BF$1, COLUMN(BF12)-1, 0)="-", "O", IF(MOD($A12, BF$1)=0, "X", "O") )
  )
)</f>
        <v>O</v>
      </c>
      <c r="BG12" s="45" t="str">
        <f ca="1">IF(
  $A12=BG$1,
  IF( ROW(BG12)=2, "+", IF(COUNTIF($B12:BF12,"X")=0, "+", "-") ),
  IF(
    $A12&lt;BG$1,
    "O",
    IF( OFFSET(BG$1, COLUMN(BG12)-1, 0)="-", "O", IF(MOD($A12, BG$1)=0, "X", "O") )
  )
)</f>
        <v>O</v>
      </c>
      <c r="BH12" s="45" t="str">
        <f ca="1">IF(
  $A12=BH$1,
  IF( ROW(BH12)=2, "+", IF(COUNTIF($B12:BG12,"X")=0, "+", "-") ),
  IF(
    $A12&lt;BH$1,
    "O",
    IF( OFFSET(BH$1, COLUMN(BH12)-1, 0)="-", "O", IF(MOD($A12, BH$1)=0, "X", "O") )
  )
)</f>
        <v>O</v>
      </c>
    </row>
    <row r="13" spans="1:62" s="46" customFormat="1" x14ac:dyDescent="0.25">
      <c r="A13">
        <v>13</v>
      </c>
      <c r="B13" s="44" t="str">
        <f ca="1">IF(
  $A13=B$1,
  IF( ROW(B13)=2, "+", IF(COUNTIF(A13:$B13,"X")=0, "+", "-") ),
  IF(
    $A13&lt;B$1,
    "O",
    IF( OFFSET(B$1, COLUMN(B13)-1, 0)="-", "O", IF(MOD($A13, B$1)=0, "X", "O") )
  )
)</f>
        <v>O</v>
      </c>
      <c r="C13" s="44" t="str">
        <f ca="1">IF(
  $A13=C$1,
  IF( ROW(C13)=2, "+", IF(COUNTIF(B13:$B13,"X")=0, "+", "-") ),
  IF(
    $A13&lt;C$1,
    "O",
    IF( OFFSET(C$1, COLUMN(C13)-1, 0)="-", "O", IF(MOD($A13, C$1)=0, "X", "O") )
  )
)</f>
        <v>O</v>
      </c>
      <c r="D13" s="45" t="str">
        <f ca="1">IF(
  $A13=D$1,
  IF( ROW(D13)=2, "+", IF(COUNTIF($B13:C13,"X")=0, "+", "-") ),
  IF(
    $A13&lt;D$1,
    "O",
    IF( OFFSET(D$1, COLUMN(D13)-1, 0)="-", "O", IF(MOD($A13, D$1)=0, "X", "O") )
  )
)</f>
        <v>O</v>
      </c>
      <c r="E13" s="44" t="str">
        <f ca="1">IF(
  $A13=E$1,
  IF( ROW(E13)=2, "+", IF(COUNTIF($B13:D13,"X")=0, "+", "-") ),
  IF(
    $A13&lt;E$1,
    "O",
    IF( OFFSET(E$1, COLUMN(E13)-1, 0)="-", "O", IF(MOD($A13, E$1)=0, "X", "O") )
  )
)</f>
        <v>O</v>
      </c>
      <c r="F13" s="45" t="str">
        <f ca="1">IF(
  $A13=F$1,
  IF( ROW(F13)=2, "+", IF(COUNTIF($B13:E13,"X")=0, "+", "-") ),
  IF(
    $A13&lt;F$1,
    "O",
    IF( OFFSET(F$1, COLUMN(F13)-1, 0)="-", "O", IF(MOD($A13, F$1)=0, "X", "O") )
  )
)</f>
        <v>O</v>
      </c>
      <c r="G13" s="44" t="str">
        <f ca="1">IF(
  $A13=G$1,
  IF( ROW(G13)=2, "+", IF(COUNTIF($B13:F13,"X")=0, "+", "-") ),
  IF(
    $A13&lt;G$1,
    "O",
    IF( OFFSET(G$1, COLUMN(G13)-1, 0)="-", "O", IF(MOD($A13, G$1)=0, "X", "O") )
  )
)</f>
        <v>O</v>
      </c>
      <c r="H13" s="45" t="str">
        <f ca="1">IF(
  $A13=H$1,
  IF( ROW(H13)=2, "+", IF(COUNTIF($B13:G13,"X")=0, "+", "-") ),
  IF(
    $A13&lt;H$1,
    "O",
    IF( OFFSET(H$1, COLUMN(H13)-1, 0)="-", "O", IF(MOD($A13, H$1)=0, "X", "O") )
  )
)</f>
        <v>O</v>
      </c>
      <c r="I13" s="45" t="str">
        <f ca="1">IF(
  $A13=I$1,
  IF( ROW(I13)=2, "+", IF(COUNTIF($B13:H13,"X")=0, "+", "-") ),
  IF(
    $A13&lt;I$1,
    "O",
    IF( OFFSET(I$1, COLUMN(I13)-1, 0)="-", "O", IF(MOD($A13, I$1)=0, "X", "O") )
  )
)</f>
        <v>O</v>
      </c>
      <c r="J13" s="45" t="str">
        <f ca="1">IF(
  $A13=J$1,
  IF( ROW(J13)=2, "+", IF(COUNTIF($B13:I13,"X")=0, "+", "-") ),
  IF(
    $A13&lt;J$1,
    "O",
    IF( OFFSET(J$1, COLUMN(J13)-1, 0)="-", "O", IF(MOD($A13, J$1)=0, "X", "O") )
  )
)</f>
        <v>O</v>
      </c>
      <c r="K13" s="44" t="str">
        <f ca="1">IF(
  $A13=K$1,
  IF( ROW(K13)=2, "+", IF(COUNTIF($B13:J13,"X")=0, "+", "-") ),
  IF(
    $A13&lt;K$1,
    "O",
    IF( OFFSET(K$1, COLUMN(K13)-1, 0)="-", "O", IF(MOD($A13, K$1)=0, "X", "O") )
  )
)</f>
        <v>O</v>
      </c>
      <c r="L13" s="45" t="str">
        <f ca="1">IF(
  $A13=L$1,
  IF( ROW(L13)=2, "+", IF(COUNTIF($B13:K13,"X")=0, "+", "-") ),
  IF(
    $A13&lt;L$1,
    "O",
    IF( OFFSET(L$1, COLUMN(L13)-1, 0)="-", "O", IF(MOD($A13, L$1)=0, "X", "O") )
  )
)</f>
        <v>O</v>
      </c>
      <c r="M13" s="44" t="str">
        <f ca="1">IF(
  $A13=M$1,
  IF( ROW(M13)=2, "+", IF(COUNTIF($B13:L13,"X")=0, "+", "-") ),
  IF(
    $A13&lt;M$1,
    "O",
    IF( OFFSET(M$1, COLUMN(M13)-1, 0)="-", "O", IF(MOD($A13, M$1)=0, "X", "O") )
  )
)</f>
        <v>+</v>
      </c>
      <c r="N13" s="45" t="str">
        <f ca="1">IF(
  $A13=N$1,
  IF( ROW(N13)=2, "+", IF(COUNTIF($B13:M13,"X")=0, "+", "-") ),
  IF(
    $A13&lt;N$1,
    "O",
    IF( OFFSET(N$1, COLUMN(N13)-1, 0)="-", "O", IF(MOD($A13, N$1)=0, "X", "O") )
  )
)</f>
        <v>O</v>
      </c>
      <c r="O13" s="45" t="str">
        <f ca="1">IF(
  $A13=O$1,
  IF( ROW(O13)=2, "+", IF(COUNTIF($B13:N13,"X")=0, "+", "-") ),
  IF(
    $A13&lt;O$1,
    "O",
    IF( OFFSET(O$1, COLUMN(O13)-1, 0)="-", "O", IF(MOD($A13, O$1)=0, "X", "O") )
  )
)</f>
        <v>O</v>
      </c>
      <c r="P13" s="45" t="str">
        <f ca="1">IF(
  $A13=P$1,
  IF( ROW(P13)=2, "+", IF(COUNTIF($B13:O13,"X")=0, "+", "-") ),
  IF(
    $A13&lt;P$1,
    "O",
    IF( OFFSET(P$1, COLUMN(P13)-1, 0)="-", "O", IF(MOD($A13, P$1)=0, "X", "O") )
  )
)</f>
        <v>O</v>
      </c>
      <c r="Q13" s="45" t="str">
        <f ca="1">IF(
  $A13=Q$1,
  IF( ROW(Q13)=2, "+", IF(COUNTIF($B13:P13,"X")=0, "+", "-") ),
  IF(
    $A13&lt;Q$1,
    "O",
    IF( OFFSET(Q$1, COLUMN(Q13)-1, 0)="-", "O", IF(MOD($A13, Q$1)=0, "X", "O") )
  )
)</f>
        <v>O</v>
      </c>
      <c r="R13" s="45" t="str">
        <f ca="1">IF(
  $A13=R$1,
  IF( ROW(R13)=2, "+", IF(COUNTIF($B13:Q13,"X")=0, "+", "-") ),
  IF(
    $A13&lt;R$1,
    "O",
    IF( OFFSET(R$1, COLUMN(R13)-1, 0)="-", "O", IF(MOD($A13, R$1)=0, "X", "O") )
  )
)</f>
        <v>O</v>
      </c>
      <c r="S13" s="45" t="str">
        <f ca="1">IF(
  $A13=S$1,
  IF( ROW(S13)=2, "+", IF(COUNTIF($B13:R13,"X")=0, "+", "-") ),
  IF(
    $A13&lt;S$1,
    "O",
    IF( OFFSET(S$1, COLUMN(S13)-1, 0)="-", "O", IF(MOD($A13, S$1)=0, "X", "O") )
  )
)</f>
        <v>O</v>
      </c>
      <c r="T13" s="45" t="str">
        <f ca="1">IF(
  $A13=T$1,
  IF( ROW(T13)=2, "+", IF(COUNTIF($B13:S13,"X")=0, "+", "-") ),
  IF(
    $A13&lt;T$1,
    "O",
    IF( OFFSET(T$1, COLUMN(T13)-1, 0)="-", "O", IF(MOD($A13, T$1)=0, "X", "O") )
  )
)</f>
        <v>O</v>
      </c>
      <c r="U13" s="45" t="str">
        <f ca="1">IF(
  $A13=U$1,
  IF( ROW(U13)=2, "+", IF(COUNTIF($B13:T13,"X")=0, "+", "-") ),
  IF(
    $A13&lt;U$1,
    "O",
    IF( OFFSET(U$1, COLUMN(U13)-1, 0)="-", "O", IF(MOD($A13, U$1)=0, "X", "O") )
  )
)</f>
        <v>O</v>
      </c>
      <c r="V13" s="45" t="str">
        <f ca="1">IF(
  $A13=V$1,
  IF( ROW(V13)=2, "+", IF(COUNTIF($B13:U13,"X")=0, "+", "-") ),
  IF(
    $A13&lt;V$1,
    "O",
    IF( OFFSET(V$1, COLUMN(V13)-1, 0)="-", "O", IF(MOD($A13, V$1)=0, "X", "O") )
  )
)</f>
        <v>O</v>
      </c>
      <c r="W13" s="45" t="str">
        <f ca="1">IF(
  $A13=W$1,
  IF( ROW(W13)=2, "+", IF(COUNTIF($B13:V13,"X")=0, "+", "-") ),
  IF(
    $A13&lt;W$1,
    "O",
    IF( OFFSET(W$1, COLUMN(W13)-1, 0)="-", "O", IF(MOD($A13, W$1)=0, "X", "O") )
  )
)</f>
        <v>O</v>
      </c>
      <c r="X13" s="45" t="str">
        <f ca="1">IF(
  $A13=X$1,
  IF( ROW(X13)=2, "+", IF(COUNTIF($B13:W13,"X")=0, "+", "-") ),
  IF(
    $A13&lt;X$1,
    "O",
    IF( OFFSET(X$1, COLUMN(X13)-1, 0)="-", "O", IF(MOD($A13, X$1)=0, "X", "O") )
  )
)</f>
        <v>O</v>
      </c>
      <c r="Y13" s="45" t="str">
        <f ca="1">IF(
  $A13=Y$1,
  IF( ROW(Y13)=2, "+", IF(COUNTIF($B13:X13,"X")=0, "+", "-") ),
  IF(
    $A13&lt;Y$1,
    "O",
    IF( OFFSET(Y$1, COLUMN(Y13)-1, 0)="-", "O", IF(MOD($A13, Y$1)=0, "X", "O") )
  )
)</f>
        <v>O</v>
      </c>
      <c r="Z13" s="45" t="str">
        <f ca="1">IF(
  $A13=Z$1,
  IF( ROW(Z13)=2, "+", IF(COUNTIF($B13:Y13,"X")=0, "+", "-") ),
  IF(
    $A13&lt;Z$1,
    "O",
    IF( OFFSET(Z$1, COLUMN(Z13)-1, 0)="-", "O", IF(MOD($A13, Z$1)=0, "X", "O") )
  )
)</f>
        <v>O</v>
      </c>
      <c r="AA13" s="45" t="str">
        <f ca="1">IF(
  $A13=AA$1,
  IF( ROW(AA13)=2, "+", IF(COUNTIF($B13:Z13,"X")=0, "+", "-") ),
  IF(
    $A13&lt;AA$1,
    "O",
    IF( OFFSET(AA$1, COLUMN(AA13)-1, 0)="-", "O", IF(MOD($A13, AA$1)=0, "X", "O") )
  )
)</f>
        <v>O</v>
      </c>
      <c r="AB13" s="45" t="str">
        <f ca="1">IF(
  $A13=AB$1,
  IF( ROW(AB13)=2, "+", IF(COUNTIF($B13:AA13,"X")=0, "+", "-") ),
  IF(
    $A13&lt;AB$1,
    "O",
    IF( OFFSET(AB$1, COLUMN(AB13)-1, 0)="-", "O", IF(MOD($A13, AB$1)=0, "X", "O") )
  )
)</f>
        <v>O</v>
      </c>
      <c r="AC13" s="45" t="str">
        <f ca="1">IF(
  $A13=AC$1,
  IF( ROW(AC13)=2, "+", IF(COUNTIF($B13:AB13,"X")=0, "+", "-") ),
  IF(
    $A13&lt;AC$1,
    "O",
    IF( OFFSET(AC$1, COLUMN(AC13)-1, 0)="-", "O", IF(MOD($A13, AC$1)=0, "X", "O") )
  )
)</f>
        <v>O</v>
      </c>
      <c r="AD13" s="45" t="str">
        <f ca="1">IF(
  $A13=AD$1,
  IF( ROW(AD13)=2, "+", IF(COUNTIF($B13:AC13,"X")=0, "+", "-") ),
  IF(
    $A13&lt;AD$1,
    "O",
    IF( OFFSET(AD$1, COLUMN(AD13)-1, 0)="-", "O", IF(MOD($A13, AD$1)=0, "X", "O") )
  )
)</f>
        <v>O</v>
      </c>
      <c r="AE13" s="45" t="str">
        <f ca="1">IF(
  $A13=AE$1,
  IF( ROW(AE13)=2, "+", IF(COUNTIF($B13:AD13,"X")=0, "+", "-") ),
  IF(
    $A13&lt;AE$1,
    "O",
    IF( OFFSET(AE$1, COLUMN(AE13)-1, 0)="-", "O", IF(MOD($A13, AE$1)=0, "X", "O") )
  )
)</f>
        <v>O</v>
      </c>
      <c r="AF13" s="45" t="str">
        <f ca="1">IF(
  $A13=AF$1,
  IF( ROW(AF13)=2, "+", IF(COUNTIF($B13:AE13,"X")=0, "+", "-") ),
  IF(
    $A13&lt;AF$1,
    "O",
    IF( OFFSET(AF$1, COLUMN(AF13)-1, 0)="-", "O", IF(MOD($A13, AF$1)=0, "X", "O") )
  )
)</f>
        <v>O</v>
      </c>
      <c r="AG13" s="45" t="str">
        <f ca="1">IF(
  $A13=AG$1,
  IF( ROW(AG13)=2, "+", IF(COUNTIF($B13:AF13,"X")=0, "+", "-") ),
  IF(
    $A13&lt;AG$1,
    "O",
    IF( OFFSET(AG$1, COLUMN(AG13)-1, 0)="-", "O", IF(MOD($A13, AG$1)=0, "X", "O") )
  )
)</f>
        <v>O</v>
      </c>
      <c r="AH13" s="45" t="str">
        <f ca="1">IF(
  $A13=AH$1,
  IF( ROW(AH13)=2, "+", IF(COUNTIF($B13:AG13,"X")=0, "+", "-") ),
  IF(
    $A13&lt;AH$1,
    "O",
    IF( OFFSET(AH$1, COLUMN(AH13)-1, 0)="-", "O", IF(MOD($A13, AH$1)=0, "X", "O") )
  )
)</f>
        <v>O</v>
      </c>
      <c r="AI13" s="45" t="str">
        <f ca="1">IF(
  $A13=AI$1,
  IF( ROW(AI13)=2, "+", IF(COUNTIF($B13:AH13,"X")=0, "+", "-") ),
  IF(
    $A13&lt;AI$1,
    "O",
    IF( OFFSET(AI$1, COLUMN(AI13)-1, 0)="-", "O", IF(MOD($A13, AI$1)=0, "X", "O") )
  )
)</f>
        <v>O</v>
      </c>
      <c r="AJ13" s="45" t="str">
        <f ca="1">IF(
  $A13=AJ$1,
  IF( ROW(AJ13)=2, "+", IF(COUNTIF($B13:AI13,"X")=0, "+", "-") ),
  IF(
    $A13&lt;AJ$1,
    "O",
    IF( OFFSET(AJ$1, COLUMN(AJ13)-1, 0)="-", "O", IF(MOD($A13, AJ$1)=0, "X", "O") )
  )
)</f>
        <v>O</v>
      </c>
      <c r="AK13" s="45" t="str">
        <f ca="1">IF(
  $A13=AK$1,
  IF( ROW(AK13)=2, "+", IF(COUNTIF($B13:AJ13,"X")=0, "+", "-") ),
  IF(
    $A13&lt;AK$1,
    "O",
    IF( OFFSET(AK$1, COLUMN(AK13)-1, 0)="-", "O", IF(MOD($A13, AK$1)=0, "X", "O") )
  )
)</f>
        <v>O</v>
      </c>
      <c r="AL13" s="45" t="str">
        <f ca="1">IF(
  $A13=AL$1,
  IF( ROW(AL13)=2, "+", IF(COUNTIF($B13:AK13,"X")=0, "+", "-") ),
  IF(
    $A13&lt;AL$1,
    "O",
    IF( OFFSET(AL$1, COLUMN(AL13)-1, 0)="-", "O", IF(MOD($A13, AL$1)=0, "X", "O") )
  )
)</f>
        <v>O</v>
      </c>
      <c r="AM13" s="45" t="str">
        <f ca="1">IF(
  $A13=AM$1,
  IF( ROW(AM13)=2, "+", IF(COUNTIF($B13:AL13,"X")=0, "+", "-") ),
  IF(
    $A13&lt;AM$1,
    "O",
    IF( OFFSET(AM$1, COLUMN(AM13)-1, 0)="-", "O", IF(MOD($A13, AM$1)=0, "X", "O") )
  )
)</f>
        <v>O</v>
      </c>
      <c r="AN13" s="45" t="str">
        <f ca="1">IF(
  $A13=AN$1,
  IF( ROW(AN13)=2, "+", IF(COUNTIF($B13:AM13,"X")=0, "+", "-") ),
  IF(
    $A13&lt;AN$1,
    "O",
    IF( OFFSET(AN$1, COLUMN(AN13)-1, 0)="-", "O", IF(MOD($A13, AN$1)=0, "X", "O") )
  )
)</f>
        <v>O</v>
      </c>
      <c r="AO13" s="45" t="str">
        <f ca="1">IF(
  $A13=AO$1,
  IF( ROW(AO13)=2, "+", IF(COUNTIF($B13:AN13,"X")=0, "+", "-") ),
  IF(
    $A13&lt;AO$1,
    "O",
    IF( OFFSET(AO$1, COLUMN(AO13)-1, 0)="-", "O", IF(MOD($A13, AO$1)=0, "X", "O") )
  )
)</f>
        <v>O</v>
      </c>
      <c r="AP13" s="45" t="str">
        <f ca="1">IF(
  $A13=AP$1,
  IF( ROW(AP13)=2, "+", IF(COUNTIF($B13:AO13,"X")=0, "+", "-") ),
  IF(
    $A13&lt;AP$1,
    "O",
    IF( OFFSET(AP$1, COLUMN(AP13)-1, 0)="-", "O", IF(MOD($A13, AP$1)=0, "X", "O") )
  )
)</f>
        <v>O</v>
      </c>
      <c r="AQ13" s="45" t="str">
        <f ca="1">IF(
  $A13=AQ$1,
  IF( ROW(AQ13)=2, "+", IF(COUNTIF($B13:AP13,"X")=0, "+", "-") ),
  IF(
    $A13&lt;AQ$1,
    "O",
    IF( OFFSET(AQ$1, COLUMN(AQ13)-1, 0)="-", "O", IF(MOD($A13, AQ$1)=0, "X", "O") )
  )
)</f>
        <v>O</v>
      </c>
      <c r="AR13" s="45" t="str">
        <f ca="1">IF(
  $A13=AR$1,
  IF( ROW(AR13)=2, "+", IF(COUNTIF($B13:AQ13,"X")=0, "+", "-") ),
  IF(
    $A13&lt;AR$1,
    "O",
    IF( OFFSET(AR$1, COLUMN(AR13)-1, 0)="-", "O", IF(MOD($A13, AR$1)=0, "X", "O") )
  )
)</f>
        <v>O</v>
      </c>
      <c r="AS13" s="45" t="str">
        <f ca="1">IF(
  $A13=AS$1,
  IF( ROW(AS13)=2, "+", IF(COUNTIF($B13:AR13,"X")=0, "+", "-") ),
  IF(
    $A13&lt;AS$1,
    "O",
    IF( OFFSET(AS$1, COLUMN(AS13)-1, 0)="-", "O", IF(MOD($A13, AS$1)=0, "X", "O") )
  )
)</f>
        <v>O</v>
      </c>
      <c r="AT13" s="45" t="str">
        <f ca="1">IF(
  $A13=AT$1,
  IF( ROW(AT13)=2, "+", IF(COUNTIF($B13:AS13,"X")=0, "+", "-") ),
  IF(
    $A13&lt;AT$1,
    "O",
    IF( OFFSET(AT$1, COLUMN(AT13)-1, 0)="-", "O", IF(MOD($A13, AT$1)=0, "X", "O") )
  )
)</f>
        <v>O</v>
      </c>
      <c r="AU13" s="45" t="str">
        <f ca="1">IF(
  $A13=AU$1,
  IF( ROW(AU13)=2, "+", IF(COUNTIF($B13:AT13,"X")=0, "+", "-") ),
  IF(
    $A13&lt;AU$1,
    "O",
    IF( OFFSET(AU$1, COLUMN(AU13)-1, 0)="-", "O", IF(MOD($A13, AU$1)=0, "X", "O") )
  )
)</f>
        <v>O</v>
      </c>
      <c r="AV13" s="45" t="str">
        <f ca="1">IF(
  $A13=AV$1,
  IF( ROW(AV13)=2, "+", IF(COUNTIF($B13:AU13,"X")=0, "+", "-") ),
  IF(
    $A13&lt;AV$1,
    "O",
    IF( OFFSET(AV$1, COLUMN(AV13)-1, 0)="-", "O", IF(MOD($A13, AV$1)=0, "X", "O") )
  )
)</f>
        <v>O</v>
      </c>
      <c r="AW13" s="45" t="str">
        <f ca="1">IF(
  $A13=AW$1,
  IF( ROW(AW13)=2, "+", IF(COUNTIF($B13:AV13,"X")=0, "+", "-") ),
  IF(
    $A13&lt;AW$1,
    "O",
    IF( OFFSET(AW$1, COLUMN(AW13)-1, 0)="-", "O", IF(MOD($A13, AW$1)=0, "X", "O") )
  )
)</f>
        <v>O</v>
      </c>
      <c r="AX13" s="45" t="str">
        <f ca="1">IF(
  $A13=AX$1,
  IF( ROW(AX13)=2, "+", IF(COUNTIF($B13:AW13,"X")=0, "+", "-") ),
  IF(
    $A13&lt;AX$1,
    "O",
    IF( OFFSET(AX$1, COLUMN(AX13)-1, 0)="-", "O", IF(MOD($A13, AX$1)=0, "X", "O") )
  )
)</f>
        <v>O</v>
      </c>
      <c r="AY13" s="45" t="str">
        <f ca="1">IF(
  $A13=AY$1,
  IF( ROW(AY13)=2, "+", IF(COUNTIF($B13:AX13,"X")=0, "+", "-") ),
  IF(
    $A13&lt;AY$1,
    "O",
    IF( OFFSET(AY$1, COLUMN(AY13)-1, 0)="-", "O", IF(MOD($A13, AY$1)=0, "X", "O") )
  )
)</f>
        <v>O</v>
      </c>
      <c r="AZ13" s="45" t="str">
        <f ca="1">IF(
  $A13=AZ$1,
  IF( ROW(AZ13)=2, "+", IF(COUNTIF($B13:AY13,"X")=0, "+", "-") ),
  IF(
    $A13&lt;AZ$1,
    "O",
    IF( OFFSET(AZ$1, COLUMN(AZ13)-1, 0)="-", "O", IF(MOD($A13, AZ$1)=0, "X", "O") )
  )
)</f>
        <v>O</v>
      </c>
      <c r="BA13" s="45" t="str">
        <f ca="1">IF(
  $A13=BA$1,
  IF( ROW(BA13)=2, "+", IF(COUNTIF($B13:AZ13,"X")=0, "+", "-") ),
  IF(
    $A13&lt;BA$1,
    "O",
    IF( OFFSET(BA$1, COLUMN(BA13)-1, 0)="-", "O", IF(MOD($A13, BA$1)=0, "X", "O") )
  )
)</f>
        <v>O</v>
      </c>
      <c r="BB13" s="45" t="str">
        <f ca="1">IF(
  $A13=BB$1,
  IF( ROW(BB13)=2, "+", IF(COUNTIF($B13:BA13,"X")=0, "+", "-") ),
  IF(
    $A13&lt;BB$1,
    "O",
    IF( OFFSET(BB$1, COLUMN(BB13)-1, 0)="-", "O", IF(MOD($A13, BB$1)=0, "X", "O") )
  )
)</f>
        <v>O</v>
      </c>
      <c r="BC13" s="45" t="str">
        <f ca="1">IF(
  $A13=BC$1,
  IF( ROW(BC13)=2, "+", IF(COUNTIF($B13:BB13,"X")=0, "+", "-") ),
  IF(
    $A13&lt;BC$1,
    "O",
    IF( OFFSET(BC$1, COLUMN(BC13)-1, 0)="-", "O", IF(MOD($A13, BC$1)=0, "X", "O") )
  )
)</f>
        <v>O</v>
      </c>
      <c r="BD13" s="45" t="str">
        <f ca="1">IF(
  $A13=BD$1,
  IF( ROW(BD13)=2, "+", IF(COUNTIF($B13:BC13,"X")=0, "+", "-") ),
  IF(
    $A13&lt;BD$1,
    "O",
    IF( OFFSET(BD$1, COLUMN(BD13)-1, 0)="-", "O", IF(MOD($A13, BD$1)=0, "X", "O") )
  )
)</f>
        <v>O</v>
      </c>
      <c r="BE13" s="45" t="str">
        <f ca="1">IF(
  $A13=BE$1,
  IF( ROW(BE13)=2, "+", IF(COUNTIF($B13:BD13,"X")=0, "+", "-") ),
  IF(
    $A13&lt;BE$1,
    "O",
    IF( OFFSET(BE$1, COLUMN(BE13)-1, 0)="-", "O", IF(MOD($A13, BE$1)=0, "X", "O") )
  )
)</f>
        <v>O</v>
      </c>
      <c r="BF13" s="45" t="str">
        <f ca="1">IF(
  $A13=BF$1,
  IF( ROW(BF13)=2, "+", IF(COUNTIF($B13:BE13,"X")=0, "+", "-") ),
  IF(
    $A13&lt;BF$1,
    "O",
    IF( OFFSET(BF$1, COLUMN(BF13)-1, 0)="-", "O", IF(MOD($A13, BF$1)=0, "X", "O") )
  )
)</f>
        <v>O</v>
      </c>
      <c r="BG13" s="45" t="str">
        <f ca="1">IF(
  $A13=BG$1,
  IF( ROW(BG13)=2, "+", IF(COUNTIF($B13:BF13,"X")=0, "+", "-") ),
  IF(
    $A13&lt;BG$1,
    "O",
    IF( OFFSET(BG$1, COLUMN(BG13)-1, 0)="-", "O", IF(MOD($A13, BG$1)=0, "X", "O") )
  )
)</f>
        <v>O</v>
      </c>
      <c r="BH13" s="45" t="str">
        <f ca="1">IF(
  $A13=BH$1,
  IF( ROW(BH13)=2, "+", IF(COUNTIF($B13:BG13,"X")=0, "+", "-") ),
  IF(
    $A13&lt;BH$1,
    "O",
    IF( OFFSET(BH$1, COLUMN(BH13)-1, 0)="-", "O", IF(MOD($A13, BH$1)=0, "X", "O") )
  )
)</f>
        <v>O</v>
      </c>
    </row>
    <row r="14" spans="1:62" s="46" customFormat="1" x14ac:dyDescent="0.25">
      <c r="A14">
        <v>14</v>
      </c>
      <c r="B14" s="44" t="str">
        <f ca="1">IF(
  $A14=B$1,
  IF( ROW(B14)=2, "+", IF(COUNTIF(A14:$B14,"X")=0, "+", "-") ),
  IF(
    $A14&lt;B$1,
    "O",
    IF( OFFSET(B$1, COLUMN(B14)-1, 0)="-", "O", IF(MOD($A14, B$1)=0, "X", "O") )
  )
)</f>
        <v>X</v>
      </c>
      <c r="C14" s="44" t="str">
        <f ca="1">IF(
  $A14=C$1,
  IF( ROW(C14)=2, "+", IF(COUNTIF(B14:$B14,"X")=0, "+", "-") ),
  IF(
    $A14&lt;C$1,
    "O",
    IF( OFFSET(C$1, COLUMN(C14)-1, 0)="-", "O", IF(MOD($A14, C$1)=0, "X", "O") )
  )
)</f>
        <v>O</v>
      </c>
      <c r="D14" s="45" t="str">
        <f ca="1">IF(
  $A14=D$1,
  IF( ROW(D14)=2, "+", IF(COUNTIF($B14:C14,"X")=0, "+", "-") ),
  IF(
    $A14&lt;D$1,
    "O",
    IF( OFFSET(D$1, COLUMN(D14)-1, 0)="-", "O", IF(MOD($A14, D$1)=0, "X", "O") )
  )
)</f>
        <v>O</v>
      </c>
      <c r="E14" s="44" t="str">
        <f ca="1">IF(
  $A14=E$1,
  IF( ROW(E14)=2, "+", IF(COUNTIF($B14:D14,"X")=0, "+", "-") ),
  IF(
    $A14&lt;E$1,
    "O",
    IF( OFFSET(E$1, COLUMN(E14)-1, 0)="-", "O", IF(MOD($A14, E$1)=0, "X", "O") )
  )
)</f>
        <v>O</v>
      </c>
      <c r="F14" s="45" t="str">
        <f ca="1">IF(
  $A14=F$1,
  IF( ROW(F14)=2, "+", IF(COUNTIF($B14:E14,"X")=0, "+", "-") ),
  IF(
    $A14&lt;F$1,
    "O",
    IF( OFFSET(F$1, COLUMN(F14)-1, 0)="-", "O", IF(MOD($A14, F$1)=0, "X", "O") )
  )
)</f>
        <v>O</v>
      </c>
      <c r="G14" s="44" t="str">
        <f ca="1">IF(
  $A14=G$1,
  IF( ROW(G14)=2, "+", IF(COUNTIF($B14:F14,"X")=0, "+", "-") ),
  IF(
    $A14&lt;G$1,
    "O",
    IF( OFFSET(G$1, COLUMN(G14)-1, 0)="-", "O", IF(MOD($A14, G$1)=0, "X", "O") )
  )
)</f>
        <v>X</v>
      </c>
      <c r="H14" s="45" t="str">
        <f ca="1">IF(
  $A14=H$1,
  IF( ROW(H14)=2, "+", IF(COUNTIF($B14:G14,"X")=0, "+", "-") ),
  IF(
    $A14&lt;H$1,
    "O",
    IF( OFFSET(H$1, COLUMN(H14)-1, 0)="-", "O", IF(MOD($A14, H$1)=0, "X", "O") )
  )
)</f>
        <v>O</v>
      </c>
      <c r="I14" s="45" t="str">
        <f ca="1">IF(
  $A14=I$1,
  IF( ROW(I14)=2, "+", IF(COUNTIF($B14:H14,"X")=0, "+", "-") ),
  IF(
    $A14&lt;I$1,
    "O",
    IF( OFFSET(I$1, COLUMN(I14)-1, 0)="-", "O", IF(MOD($A14, I$1)=0, "X", "O") )
  )
)</f>
        <v>O</v>
      </c>
      <c r="J14" s="45" t="str">
        <f ca="1">IF(
  $A14=J$1,
  IF( ROW(J14)=2, "+", IF(COUNTIF($B14:I14,"X")=0, "+", "-") ),
  IF(
    $A14&lt;J$1,
    "O",
    IF( OFFSET(J$1, COLUMN(J14)-1, 0)="-", "O", IF(MOD($A14, J$1)=0, "X", "O") )
  )
)</f>
        <v>O</v>
      </c>
      <c r="K14" s="44" t="str">
        <f ca="1">IF(
  $A14=K$1,
  IF( ROW(K14)=2, "+", IF(COUNTIF($B14:J14,"X")=0, "+", "-") ),
  IF(
    $A14&lt;K$1,
    "O",
    IF( OFFSET(K$1, COLUMN(K14)-1, 0)="-", "O", IF(MOD($A14, K$1)=0, "X", "O") )
  )
)</f>
        <v>O</v>
      </c>
      <c r="L14" s="45" t="str">
        <f ca="1">IF(
  $A14=L$1,
  IF( ROW(L14)=2, "+", IF(COUNTIF($B14:K14,"X")=0, "+", "-") ),
  IF(
    $A14&lt;L$1,
    "O",
    IF( OFFSET(L$1, COLUMN(L14)-1, 0)="-", "O", IF(MOD($A14, L$1)=0, "X", "O") )
  )
)</f>
        <v>O</v>
      </c>
      <c r="M14" s="44" t="str">
        <f ca="1">IF(
  $A14=M$1,
  IF( ROW(M14)=2, "+", IF(COUNTIF($B14:L14,"X")=0, "+", "-") ),
  IF(
    $A14&lt;M$1,
    "O",
    IF( OFFSET(M$1, COLUMN(M14)-1, 0)="-", "O", IF(MOD($A14, M$1)=0, "X", "O") )
  )
)</f>
        <v>O</v>
      </c>
      <c r="N14" s="45" t="str">
        <f ca="1">IF(
  $A14=N$1,
  IF( ROW(N14)=2, "+", IF(COUNTIF($B14:M14,"X")=0, "+", "-") ),
  IF(
    $A14&lt;N$1,
    "O",
    IF( OFFSET(N$1, COLUMN(N14)-1, 0)="-", "O", IF(MOD($A14, N$1)=0, "X", "O") )
  )
)</f>
        <v>-</v>
      </c>
      <c r="O14" s="45" t="str">
        <f ca="1">IF(
  $A14=O$1,
  IF( ROW(O14)=2, "+", IF(COUNTIF($B14:N14,"X")=0, "+", "-") ),
  IF(
    $A14&lt;O$1,
    "O",
    IF( OFFSET(O$1, COLUMN(O14)-1, 0)="-", "O", IF(MOD($A14, O$1)=0, "X", "O") )
  )
)</f>
        <v>O</v>
      </c>
      <c r="P14" s="45" t="str">
        <f ca="1">IF(
  $A14=P$1,
  IF( ROW(P14)=2, "+", IF(COUNTIF($B14:O14,"X")=0, "+", "-") ),
  IF(
    $A14&lt;P$1,
    "O",
    IF( OFFSET(P$1, COLUMN(P14)-1, 0)="-", "O", IF(MOD($A14, P$1)=0, "X", "O") )
  )
)</f>
        <v>O</v>
      </c>
      <c r="Q14" s="45" t="str">
        <f ca="1">IF(
  $A14=Q$1,
  IF( ROW(Q14)=2, "+", IF(COUNTIF($B14:P14,"X")=0, "+", "-") ),
  IF(
    $A14&lt;Q$1,
    "O",
    IF( OFFSET(Q$1, COLUMN(Q14)-1, 0)="-", "O", IF(MOD($A14, Q$1)=0, "X", "O") )
  )
)</f>
        <v>O</v>
      </c>
      <c r="R14" s="45" t="str">
        <f ca="1">IF(
  $A14=R$1,
  IF( ROW(R14)=2, "+", IF(COUNTIF($B14:Q14,"X")=0, "+", "-") ),
  IF(
    $A14&lt;R$1,
    "O",
    IF( OFFSET(R$1, COLUMN(R14)-1, 0)="-", "O", IF(MOD($A14, R$1)=0, "X", "O") )
  )
)</f>
        <v>O</v>
      </c>
      <c r="S14" s="45" t="str">
        <f ca="1">IF(
  $A14=S$1,
  IF( ROW(S14)=2, "+", IF(COUNTIF($B14:R14,"X")=0, "+", "-") ),
  IF(
    $A14&lt;S$1,
    "O",
    IF( OFFSET(S$1, COLUMN(S14)-1, 0)="-", "O", IF(MOD($A14, S$1)=0, "X", "O") )
  )
)</f>
        <v>O</v>
      </c>
      <c r="T14" s="45" t="str">
        <f ca="1">IF(
  $A14=T$1,
  IF( ROW(T14)=2, "+", IF(COUNTIF($B14:S14,"X")=0, "+", "-") ),
  IF(
    $A14&lt;T$1,
    "O",
    IF( OFFSET(T$1, COLUMN(T14)-1, 0)="-", "O", IF(MOD($A14, T$1)=0, "X", "O") )
  )
)</f>
        <v>O</v>
      </c>
      <c r="U14" s="45" t="str">
        <f ca="1">IF(
  $A14=U$1,
  IF( ROW(U14)=2, "+", IF(COUNTIF($B14:T14,"X")=0, "+", "-") ),
  IF(
    $A14&lt;U$1,
    "O",
    IF( OFFSET(U$1, COLUMN(U14)-1, 0)="-", "O", IF(MOD($A14, U$1)=0, "X", "O") )
  )
)</f>
        <v>O</v>
      </c>
      <c r="V14" s="45" t="str">
        <f ca="1">IF(
  $A14=V$1,
  IF( ROW(V14)=2, "+", IF(COUNTIF($B14:U14,"X")=0, "+", "-") ),
  IF(
    $A14&lt;V$1,
    "O",
    IF( OFFSET(V$1, COLUMN(V14)-1, 0)="-", "O", IF(MOD($A14, V$1)=0, "X", "O") )
  )
)</f>
        <v>O</v>
      </c>
      <c r="W14" s="45" t="str">
        <f ca="1">IF(
  $A14=W$1,
  IF( ROW(W14)=2, "+", IF(COUNTIF($B14:V14,"X")=0, "+", "-") ),
  IF(
    $A14&lt;W$1,
    "O",
    IF( OFFSET(W$1, COLUMN(W14)-1, 0)="-", "O", IF(MOD($A14, W$1)=0, "X", "O") )
  )
)</f>
        <v>O</v>
      </c>
      <c r="X14" s="45" t="str">
        <f ca="1">IF(
  $A14=X$1,
  IF( ROW(X14)=2, "+", IF(COUNTIF($B14:W14,"X")=0, "+", "-") ),
  IF(
    $A14&lt;X$1,
    "O",
    IF( OFFSET(X$1, COLUMN(X14)-1, 0)="-", "O", IF(MOD($A14, X$1)=0, "X", "O") )
  )
)</f>
        <v>O</v>
      </c>
      <c r="Y14" s="45" t="str">
        <f ca="1">IF(
  $A14=Y$1,
  IF( ROW(Y14)=2, "+", IF(COUNTIF($B14:X14,"X")=0, "+", "-") ),
  IF(
    $A14&lt;Y$1,
    "O",
    IF( OFFSET(Y$1, COLUMN(Y14)-1, 0)="-", "O", IF(MOD($A14, Y$1)=0, "X", "O") )
  )
)</f>
        <v>O</v>
      </c>
      <c r="Z14" s="45" t="str">
        <f ca="1">IF(
  $A14=Z$1,
  IF( ROW(Z14)=2, "+", IF(COUNTIF($B14:Y14,"X")=0, "+", "-") ),
  IF(
    $A14&lt;Z$1,
    "O",
    IF( OFFSET(Z$1, COLUMN(Z14)-1, 0)="-", "O", IF(MOD($A14, Z$1)=0, "X", "O") )
  )
)</f>
        <v>O</v>
      </c>
      <c r="AA14" s="45" t="str">
        <f ca="1">IF(
  $A14=AA$1,
  IF( ROW(AA14)=2, "+", IF(COUNTIF($B14:Z14,"X")=0, "+", "-") ),
  IF(
    $A14&lt;AA$1,
    "O",
    IF( OFFSET(AA$1, COLUMN(AA14)-1, 0)="-", "O", IF(MOD($A14, AA$1)=0, "X", "O") )
  )
)</f>
        <v>O</v>
      </c>
      <c r="AB14" s="45" t="str">
        <f ca="1">IF(
  $A14=AB$1,
  IF( ROW(AB14)=2, "+", IF(COUNTIF($B14:AA14,"X")=0, "+", "-") ),
  IF(
    $A14&lt;AB$1,
    "O",
    IF( OFFSET(AB$1, COLUMN(AB14)-1, 0)="-", "O", IF(MOD($A14, AB$1)=0, "X", "O") )
  )
)</f>
        <v>O</v>
      </c>
      <c r="AC14" s="45" t="str">
        <f ca="1">IF(
  $A14=AC$1,
  IF( ROW(AC14)=2, "+", IF(COUNTIF($B14:AB14,"X")=0, "+", "-") ),
  IF(
    $A14&lt;AC$1,
    "O",
    IF( OFFSET(AC$1, COLUMN(AC14)-1, 0)="-", "O", IF(MOD($A14, AC$1)=0, "X", "O") )
  )
)</f>
        <v>O</v>
      </c>
      <c r="AD14" s="45" t="str">
        <f ca="1">IF(
  $A14=AD$1,
  IF( ROW(AD14)=2, "+", IF(COUNTIF($B14:AC14,"X")=0, "+", "-") ),
  IF(
    $A14&lt;AD$1,
    "O",
    IF( OFFSET(AD$1, COLUMN(AD14)-1, 0)="-", "O", IF(MOD($A14, AD$1)=0, "X", "O") )
  )
)</f>
        <v>O</v>
      </c>
      <c r="AE14" s="45" t="str">
        <f ca="1">IF(
  $A14=AE$1,
  IF( ROW(AE14)=2, "+", IF(COUNTIF($B14:AD14,"X")=0, "+", "-") ),
  IF(
    $A14&lt;AE$1,
    "O",
    IF( OFFSET(AE$1, COLUMN(AE14)-1, 0)="-", "O", IF(MOD($A14, AE$1)=0, "X", "O") )
  )
)</f>
        <v>O</v>
      </c>
      <c r="AF14" s="45" t="str">
        <f ca="1">IF(
  $A14=AF$1,
  IF( ROW(AF14)=2, "+", IF(COUNTIF($B14:AE14,"X")=0, "+", "-") ),
  IF(
    $A14&lt;AF$1,
    "O",
    IF( OFFSET(AF$1, COLUMN(AF14)-1, 0)="-", "O", IF(MOD($A14, AF$1)=0, "X", "O") )
  )
)</f>
        <v>O</v>
      </c>
      <c r="AG14" s="45" t="str">
        <f ca="1">IF(
  $A14=AG$1,
  IF( ROW(AG14)=2, "+", IF(COUNTIF($B14:AF14,"X")=0, "+", "-") ),
  IF(
    $A14&lt;AG$1,
    "O",
    IF( OFFSET(AG$1, COLUMN(AG14)-1, 0)="-", "O", IF(MOD($A14, AG$1)=0, "X", "O") )
  )
)</f>
        <v>O</v>
      </c>
      <c r="AH14" s="45" t="str">
        <f ca="1">IF(
  $A14=AH$1,
  IF( ROW(AH14)=2, "+", IF(COUNTIF($B14:AG14,"X")=0, "+", "-") ),
  IF(
    $A14&lt;AH$1,
    "O",
    IF( OFFSET(AH$1, COLUMN(AH14)-1, 0)="-", "O", IF(MOD($A14, AH$1)=0, "X", "O") )
  )
)</f>
        <v>O</v>
      </c>
      <c r="AI14" s="45" t="str">
        <f ca="1">IF(
  $A14=AI$1,
  IF( ROW(AI14)=2, "+", IF(COUNTIF($B14:AH14,"X")=0, "+", "-") ),
  IF(
    $A14&lt;AI$1,
    "O",
    IF( OFFSET(AI$1, COLUMN(AI14)-1, 0)="-", "O", IF(MOD($A14, AI$1)=0, "X", "O") )
  )
)</f>
        <v>O</v>
      </c>
      <c r="AJ14" s="45" t="str">
        <f ca="1">IF(
  $A14=AJ$1,
  IF( ROW(AJ14)=2, "+", IF(COUNTIF($B14:AI14,"X")=0, "+", "-") ),
  IF(
    $A14&lt;AJ$1,
    "O",
    IF( OFFSET(AJ$1, COLUMN(AJ14)-1, 0)="-", "O", IF(MOD($A14, AJ$1)=0, "X", "O") )
  )
)</f>
        <v>O</v>
      </c>
      <c r="AK14" s="45" t="str">
        <f ca="1">IF(
  $A14=AK$1,
  IF( ROW(AK14)=2, "+", IF(COUNTIF($B14:AJ14,"X")=0, "+", "-") ),
  IF(
    $A14&lt;AK$1,
    "O",
    IF( OFFSET(AK$1, COLUMN(AK14)-1, 0)="-", "O", IF(MOD($A14, AK$1)=0, "X", "O") )
  )
)</f>
        <v>O</v>
      </c>
      <c r="AL14" s="45" t="str">
        <f ca="1">IF(
  $A14=AL$1,
  IF( ROW(AL14)=2, "+", IF(COUNTIF($B14:AK14,"X")=0, "+", "-") ),
  IF(
    $A14&lt;AL$1,
    "O",
    IF( OFFSET(AL$1, COLUMN(AL14)-1, 0)="-", "O", IF(MOD($A14, AL$1)=0, "X", "O") )
  )
)</f>
        <v>O</v>
      </c>
      <c r="AM14" s="45" t="str">
        <f ca="1">IF(
  $A14=AM$1,
  IF( ROW(AM14)=2, "+", IF(COUNTIF($B14:AL14,"X")=0, "+", "-") ),
  IF(
    $A14&lt;AM$1,
    "O",
    IF( OFFSET(AM$1, COLUMN(AM14)-1, 0)="-", "O", IF(MOD($A14, AM$1)=0, "X", "O") )
  )
)</f>
        <v>O</v>
      </c>
      <c r="AN14" s="45" t="str">
        <f ca="1">IF(
  $A14=AN$1,
  IF( ROW(AN14)=2, "+", IF(COUNTIF($B14:AM14,"X")=0, "+", "-") ),
  IF(
    $A14&lt;AN$1,
    "O",
    IF( OFFSET(AN$1, COLUMN(AN14)-1, 0)="-", "O", IF(MOD($A14, AN$1)=0, "X", "O") )
  )
)</f>
        <v>O</v>
      </c>
      <c r="AO14" s="45" t="str">
        <f ca="1">IF(
  $A14=AO$1,
  IF( ROW(AO14)=2, "+", IF(COUNTIF($B14:AN14,"X")=0, "+", "-") ),
  IF(
    $A14&lt;AO$1,
    "O",
    IF( OFFSET(AO$1, COLUMN(AO14)-1, 0)="-", "O", IF(MOD($A14, AO$1)=0, "X", "O") )
  )
)</f>
        <v>O</v>
      </c>
      <c r="AP14" s="45" t="str">
        <f ca="1">IF(
  $A14=AP$1,
  IF( ROW(AP14)=2, "+", IF(COUNTIF($B14:AO14,"X")=0, "+", "-") ),
  IF(
    $A14&lt;AP$1,
    "O",
    IF( OFFSET(AP$1, COLUMN(AP14)-1, 0)="-", "O", IF(MOD($A14, AP$1)=0, "X", "O") )
  )
)</f>
        <v>O</v>
      </c>
      <c r="AQ14" s="45" t="str">
        <f ca="1">IF(
  $A14=AQ$1,
  IF( ROW(AQ14)=2, "+", IF(COUNTIF($B14:AP14,"X")=0, "+", "-") ),
  IF(
    $A14&lt;AQ$1,
    "O",
    IF( OFFSET(AQ$1, COLUMN(AQ14)-1, 0)="-", "O", IF(MOD($A14, AQ$1)=0, "X", "O") )
  )
)</f>
        <v>O</v>
      </c>
      <c r="AR14" s="45" t="str">
        <f ca="1">IF(
  $A14=AR$1,
  IF( ROW(AR14)=2, "+", IF(COUNTIF($B14:AQ14,"X")=0, "+", "-") ),
  IF(
    $A14&lt;AR$1,
    "O",
    IF( OFFSET(AR$1, COLUMN(AR14)-1, 0)="-", "O", IF(MOD($A14, AR$1)=0, "X", "O") )
  )
)</f>
        <v>O</v>
      </c>
      <c r="AS14" s="45" t="str">
        <f ca="1">IF(
  $A14=AS$1,
  IF( ROW(AS14)=2, "+", IF(COUNTIF($B14:AR14,"X")=0, "+", "-") ),
  IF(
    $A14&lt;AS$1,
    "O",
    IF( OFFSET(AS$1, COLUMN(AS14)-1, 0)="-", "O", IF(MOD($A14, AS$1)=0, "X", "O") )
  )
)</f>
        <v>O</v>
      </c>
      <c r="AT14" s="45" t="str">
        <f ca="1">IF(
  $A14=AT$1,
  IF( ROW(AT14)=2, "+", IF(COUNTIF($B14:AS14,"X")=0, "+", "-") ),
  IF(
    $A14&lt;AT$1,
    "O",
    IF( OFFSET(AT$1, COLUMN(AT14)-1, 0)="-", "O", IF(MOD($A14, AT$1)=0, "X", "O") )
  )
)</f>
        <v>O</v>
      </c>
      <c r="AU14" s="45" t="str">
        <f ca="1">IF(
  $A14=AU$1,
  IF( ROW(AU14)=2, "+", IF(COUNTIF($B14:AT14,"X")=0, "+", "-") ),
  IF(
    $A14&lt;AU$1,
    "O",
    IF( OFFSET(AU$1, COLUMN(AU14)-1, 0)="-", "O", IF(MOD($A14, AU$1)=0, "X", "O") )
  )
)</f>
        <v>O</v>
      </c>
      <c r="AV14" s="45" t="str">
        <f ca="1">IF(
  $A14=AV$1,
  IF( ROW(AV14)=2, "+", IF(COUNTIF($B14:AU14,"X")=0, "+", "-") ),
  IF(
    $A14&lt;AV$1,
    "O",
    IF( OFFSET(AV$1, COLUMN(AV14)-1, 0)="-", "O", IF(MOD($A14, AV$1)=0, "X", "O") )
  )
)</f>
        <v>O</v>
      </c>
      <c r="AW14" s="45" t="str">
        <f ca="1">IF(
  $A14=AW$1,
  IF( ROW(AW14)=2, "+", IF(COUNTIF($B14:AV14,"X")=0, "+", "-") ),
  IF(
    $A14&lt;AW$1,
    "O",
    IF( OFFSET(AW$1, COLUMN(AW14)-1, 0)="-", "O", IF(MOD($A14, AW$1)=0, "X", "O") )
  )
)</f>
        <v>O</v>
      </c>
      <c r="AX14" s="45" t="str">
        <f ca="1">IF(
  $A14=AX$1,
  IF( ROW(AX14)=2, "+", IF(COUNTIF($B14:AW14,"X")=0, "+", "-") ),
  IF(
    $A14&lt;AX$1,
    "O",
    IF( OFFSET(AX$1, COLUMN(AX14)-1, 0)="-", "O", IF(MOD($A14, AX$1)=0, "X", "O") )
  )
)</f>
        <v>O</v>
      </c>
      <c r="AY14" s="45" t="str">
        <f ca="1">IF(
  $A14=AY$1,
  IF( ROW(AY14)=2, "+", IF(COUNTIF($B14:AX14,"X")=0, "+", "-") ),
  IF(
    $A14&lt;AY$1,
    "O",
    IF( OFFSET(AY$1, COLUMN(AY14)-1, 0)="-", "O", IF(MOD($A14, AY$1)=0, "X", "O") )
  )
)</f>
        <v>O</v>
      </c>
      <c r="AZ14" s="45" t="str">
        <f ca="1">IF(
  $A14=AZ$1,
  IF( ROW(AZ14)=2, "+", IF(COUNTIF($B14:AY14,"X")=0, "+", "-") ),
  IF(
    $A14&lt;AZ$1,
    "O",
    IF( OFFSET(AZ$1, COLUMN(AZ14)-1, 0)="-", "O", IF(MOD($A14, AZ$1)=0, "X", "O") )
  )
)</f>
        <v>O</v>
      </c>
      <c r="BA14" s="45" t="str">
        <f ca="1">IF(
  $A14=BA$1,
  IF( ROW(BA14)=2, "+", IF(COUNTIF($B14:AZ14,"X")=0, "+", "-") ),
  IF(
    $A14&lt;BA$1,
    "O",
    IF( OFFSET(BA$1, COLUMN(BA14)-1, 0)="-", "O", IF(MOD($A14, BA$1)=0, "X", "O") )
  )
)</f>
        <v>O</v>
      </c>
      <c r="BB14" s="45" t="str">
        <f ca="1">IF(
  $A14=BB$1,
  IF( ROW(BB14)=2, "+", IF(COUNTIF($B14:BA14,"X")=0, "+", "-") ),
  IF(
    $A14&lt;BB$1,
    "O",
    IF( OFFSET(BB$1, COLUMN(BB14)-1, 0)="-", "O", IF(MOD($A14, BB$1)=0, "X", "O") )
  )
)</f>
        <v>O</v>
      </c>
      <c r="BC14" s="45" t="str">
        <f ca="1">IF(
  $A14=BC$1,
  IF( ROW(BC14)=2, "+", IF(COUNTIF($B14:BB14,"X")=0, "+", "-") ),
  IF(
    $A14&lt;BC$1,
    "O",
    IF( OFFSET(BC$1, COLUMN(BC14)-1, 0)="-", "O", IF(MOD($A14, BC$1)=0, "X", "O") )
  )
)</f>
        <v>O</v>
      </c>
      <c r="BD14" s="45" t="str">
        <f ca="1">IF(
  $A14=BD$1,
  IF( ROW(BD14)=2, "+", IF(COUNTIF($B14:BC14,"X")=0, "+", "-") ),
  IF(
    $A14&lt;BD$1,
    "O",
    IF( OFFSET(BD$1, COLUMN(BD14)-1, 0)="-", "O", IF(MOD($A14, BD$1)=0, "X", "O") )
  )
)</f>
        <v>O</v>
      </c>
      <c r="BE14" s="45" t="str">
        <f ca="1">IF(
  $A14=BE$1,
  IF( ROW(BE14)=2, "+", IF(COUNTIF($B14:BD14,"X")=0, "+", "-") ),
  IF(
    $A14&lt;BE$1,
    "O",
    IF( OFFSET(BE$1, COLUMN(BE14)-1, 0)="-", "O", IF(MOD($A14, BE$1)=0, "X", "O") )
  )
)</f>
        <v>O</v>
      </c>
      <c r="BF14" s="45" t="str">
        <f ca="1">IF(
  $A14=BF$1,
  IF( ROW(BF14)=2, "+", IF(COUNTIF($B14:BE14,"X")=0, "+", "-") ),
  IF(
    $A14&lt;BF$1,
    "O",
    IF( OFFSET(BF$1, COLUMN(BF14)-1, 0)="-", "O", IF(MOD($A14, BF$1)=0, "X", "O") )
  )
)</f>
        <v>O</v>
      </c>
      <c r="BG14" s="45" t="str">
        <f ca="1">IF(
  $A14=BG$1,
  IF( ROW(BG14)=2, "+", IF(COUNTIF($B14:BF14,"X")=0, "+", "-") ),
  IF(
    $A14&lt;BG$1,
    "O",
    IF( OFFSET(BG$1, COLUMN(BG14)-1, 0)="-", "O", IF(MOD($A14, BG$1)=0, "X", "O") )
  )
)</f>
        <v>O</v>
      </c>
      <c r="BH14" s="45" t="str">
        <f ca="1">IF(
  $A14=BH$1,
  IF( ROW(BH14)=2, "+", IF(COUNTIF($B14:BG14,"X")=0, "+", "-") ),
  IF(
    $A14&lt;BH$1,
    "O",
    IF( OFFSET(BH$1, COLUMN(BH14)-1, 0)="-", "O", IF(MOD($A14, BH$1)=0, "X", "O") )
  )
)</f>
        <v>O</v>
      </c>
    </row>
    <row r="15" spans="1:62" s="46" customFormat="1" x14ac:dyDescent="0.25">
      <c r="A15">
        <v>15</v>
      </c>
      <c r="B15" s="44" t="str">
        <f ca="1">IF(
  $A15=B$1,
  IF( ROW(B15)=2, "+", IF(COUNTIF(A15:$B15,"X")=0, "+", "-") ),
  IF(
    $A15&lt;B$1,
    "O",
    IF( OFFSET(B$1, COLUMN(B15)-1, 0)="-", "O", IF(MOD($A15, B$1)=0, "X", "O") )
  )
)</f>
        <v>O</v>
      </c>
      <c r="C15" s="44" t="str">
        <f ca="1">IF(
  $A15=C$1,
  IF( ROW(C15)=2, "+", IF(COUNTIF(B15:$B15,"X")=0, "+", "-") ),
  IF(
    $A15&lt;C$1,
    "O",
    IF( OFFSET(C$1, COLUMN(C15)-1, 0)="-", "O", IF(MOD($A15, C$1)=0, "X", "O") )
  )
)</f>
        <v>X</v>
      </c>
      <c r="D15" s="45" t="str">
        <f ca="1">IF(
  $A15=D$1,
  IF( ROW(D15)=2, "+", IF(COUNTIF($B15:C15,"X")=0, "+", "-") ),
  IF(
    $A15&lt;D$1,
    "O",
    IF( OFFSET(D$1, COLUMN(D15)-1, 0)="-", "O", IF(MOD($A15, D$1)=0, "X", "O") )
  )
)</f>
        <v>O</v>
      </c>
      <c r="E15" s="44" t="str">
        <f ca="1">IF(
  $A15=E$1,
  IF( ROW(E15)=2, "+", IF(COUNTIF($B15:D15,"X")=0, "+", "-") ),
  IF(
    $A15&lt;E$1,
    "O",
    IF( OFFSET(E$1, COLUMN(E15)-1, 0)="-", "O", IF(MOD($A15, E$1)=0, "X", "O") )
  )
)</f>
        <v>X</v>
      </c>
      <c r="F15" s="45" t="str">
        <f ca="1">IF(
  $A15=F$1,
  IF( ROW(F15)=2, "+", IF(COUNTIF($B15:E15,"X")=0, "+", "-") ),
  IF(
    $A15&lt;F$1,
    "O",
    IF( OFFSET(F$1, COLUMN(F15)-1, 0)="-", "O", IF(MOD($A15, F$1)=0, "X", "O") )
  )
)</f>
        <v>O</v>
      </c>
      <c r="G15" s="44" t="str">
        <f ca="1">IF(
  $A15=G$1,
  IF( ROW(G15)=2, "+", IF(COUNTIF($B15:F15,"X")=0, "+", "-") ),
  IF(
    $A15&lt;G$1,
    "O",
    IF( OFFSET(G$1, COLUMN(G15)-1, 0)="-", "O", IF(MOD($A15, G$1)=0, "X", "O") )
  )
)</f>
        <v>O</v>
      </c>
      <c r="H15" s="45" t="str">
        <f ca="1">IF(
  $A15=H$1,
  IF( ROW(H15)=2, "+", IF(COUNTIF($B15:G15,"X")=0, "+", "-") ),
  IF(
    $A15&lt;H$1,
    "O",
    IF( OFFSET(H$1, COLUMN(H15)-1, 0)="-", "O", IF(MOD($A15, H$1)=0, "X", "O") )
  )
)</f>
        <v>O</v>
      </c>
      <c r="I15" s="45" t="str">
        <f ca="1">IF(
  $A15=I$1,
  IF( ROW(I15)=2, "+", IF(COUNTIF($B15:H15,"X")=0, "+", "-") ),
  IF(
    $A15&lt;I$1,
    "O",
    IF( OFFSET(I$1, COLUMN(I15)-1, 0)="-", "O", IF(MOD($A15, I$1)=0, "X", "O") )
  )
)</f>
        <v>O</v>
      </c>
      <c r="J15" s="45" t="str">
        <f ca="1">IF(
  $A15=J$1,
  IF( ROW(J15)=2, "+", IF(COUNTIF($B15:I15,"X")=0, "+", "-") ),
  IF(
    $A15&lt;J$1,
    "O",
    IF( OFFSET(J$1, COLUMN(J15)-1, 0)="-", "O", IF(MOD($A15, J$1)=0, "X", "O") )
  )
)</f>
        <v>O</v>
      </c>
      <c r="K15" s="44" t="str">
        <f ca="1">IF(
  $A15=K$1,
  IF( ROW(K15)=2, "+", IF(COUNTIF($B15:J15,"X")=0, "+", "-") ),
  IF(
    $A15&lt;K$1,
    "O",
    IF( OFFSET(K$1, COLUMN(K15)-1, 0)="-", "O", IF(MOD($A15, K$1)=0, "X", "O") )
  )
)</f>
        <v>O</v>
      </c>
      <c r="L15" s="45" t="str">
        <f ca="1">IF(
  $A15=L$1,
  IF( ROW(L15)=2, "+", IF(COUNTIF($B15:K15,"X")=0, "+", "-") ),
  IF(
    $A15&lt;L$1,
    "O",
    IF( OFFSET(L$1, COLUMN(L15)-1, 0)="-", "O", IF(MOD($A15, L$1)=0, "X", "O") )
  )
)</f>
        <v>O</v>
      </c>
      <c r="M15" s="44" t="str">
        <f ca="1">IF(
  $A15=M$1,
  IF( ROW(M15)=2, "+", IF(COUNTIF($B15:L15,"X")=0, "+", "-") ),
  IF(
    $A15&lt;M$1,
    "O",
    IF( OFFSET(M$1, COLUMN(M15)-1, 0)="-", "O", IF(MOD($A15, M$1)=0, "X", "O") )
  )
)</f>
        <v>O</v>
      </c>
      <c r="N15" s="45" t="str">
        <f ca="1">IF(
  $A15=N$1,
  IF( ROW(N15)=2, "+", IF(COUNTIF($B15:M15,"X")=0, "+", "-") ),
  IF(
    $A15&lt;N$1,
    "O",
    IF( OFFSET(N$1, COLUMN(N15)-1, 0)="-", "O", IF(MOD($A15, N$1)=0, "X", "O") )
  )
)</f>
        <v>O</v>
      </c>
      <c r="O15" s="45" t="str">
        <f ca="1">IF(
  $A15=O$1,
  IF( ROW(O15)=2, "+", IF(COUNTIF($B15:N15,"X")=0, "+", "-") ),
  IF(
    $A15&lt;O$1,
    "O",
    IF( OFFSET(O$1, COLUMN(O15)-1, 0)="-", "O", IF(MOD($A15, O$1)=0, "X", "O") )
  )
)</f>
        <v>-</v>
      </c>
      <c r="P15" s="45" t="str">
        <f ca="1">IF(
  $A15=P$1,
  IF( ROW(P15)=2, "+", IF(COUNTIF($B15:O15,"X")=0, "+", "-") ),
  IF(
    $A15&lt;P$1,
    "O",
    IF( OFFSET(P$1, COLUMN(P15)-1, 0)="-", "O", IF(MOD($A15, P$1)=0, "X", "O") )
  )
)</f>
        <v>O</v>
      </c>
      <c r="Q15" s="45" t="str">
        <f ca="1">IF(
  $A15=Q$1,
  IF( ROW(Q15)=2, "+", IF(COUNTIF($B15:P15,"X")=0, "+", "-") ),
  IF(
    $A15&lt;Q$1,
    "O",
    IF( OFFSET(Q$1, COLUMN(Q15)-1, 0)="-", "O", IF(MOD($A15, Q$1)=0, "X", "O") )
  )
)</f>
        <v>O</v>
      </c>
      <c r="R15" s="45" t="str">
        <f ca="1">IF(
  $A15=R$1,
  IF( ROW(R15)=2, "+", IF(COUNTIF($B15:Q15,"X")=0, "+", "-") ),
  IF(
    $A15&lt;R$1,
    "O",
    IF( OFFSET(R$1, COLUMN(R15)-1, 0)="-", "O", IF(MOD($A15, R$1)=0, "X", "O") )
  )
)</f>
        <v>O</v>
      </c>
      <c r="S15" s="45" t="str">
        <f ca="1">IF(
  $A15=S$1,
  IF( ROW(S15)=2, "+", IF(COUNTIF($B15:R15,"X")=0, "+", "-") ),
  IF(
    $A15&lt;S$1,
    "O",
    IF( OFFSET(S$1, COLUMN(S15)-1, 0)="-", "O", IF(MOD($A15, S$1)=0, "X", "O") )
  )
)</f>
        <v>O</v>
      </c>
      <c r="T15" s="45" t="str">
        <f ca="1">IF(
  $A15=T$1,
  IF( ROW(T15)=2, "+", IF(COUNTIF($B15:S15,"X")=0, "+", "-") ),
  IF(
    $A15&lt;T$1,
    "O",
    IF( OFFSET(T$1, COLUMN(T15)-1, 0)="-", "O", IF(MOD($A15, T$1)=0, "X", "O") )
  )
)</f>
        <v>O</v>
      </c>
      <c r="U15" s="45" t="str">
        <f ca="1">IF(
  $A15=U$1,
  IF( ROW(U15)=2, "+", IF(COUNTIF($B15:T15,"X")=0, "+", "-") ),
  IF(
    $A15&lt;U$1,
    "O",
    IF( OFFSET(U$1, COLUMN(U15)-1, 0)="-", "O", IF(MOD($A15, U$1)=0, "X", "O") )
  )
)</f>
        <v>O</v>
      </c>
      <c r="V15" s="45" t="str">
        <f ca="1">IF(
  $A15=V$1,
  IF( ROW(V15)=2, "+", IF(COUNTIF($B15:U15,"X")=0, "+", "-") ),
  IF(
    $A15&lt;V$1,
    "O",
    IF( OFFSET(V$1, COLUMN(V15)-1, 0)="-", "O", IF(MOD($A15, V$1)=0, "X", "O") )
  )
)</f>
        <v>O</v>
      </c>
      <c r="W15" s="45" t="str">
        <f ca="1">IF(
  $A15=W$1,
  IF( ROW(W15)=2, "+", IF(COUNTIF($B15:V15,"X")=0, "+", "-") ),
  IF(
    $A15&lt;W$1,
    "O",
    IF( OFFSET(W$1, COLUMN(W15)-1, 0)="-", "O", IF(MOD($A15, W$1)=0, "X", "O") )
  )
)</f>
        <v>O</v>
      </c>
      <c r="X15" s="45" t="str">
        <f ca="1">IF(
  $A15=X$1,
  IF( ROW(X15)=2, "+", IF(COUNTIF($B15:W15,"X")=0, "+", "-") ),
  IF(
    $A15&lt;X$1,
    "O",
    IF( OFFSET(X$1, COLUMN(X15)-1, 0)="-", "O", IF(MOD($A15, X$1)=0, "X", "O") )
  )
)</f>
        <v>O</v>
      </c>
      <c r="Y15" s="45" t="str">
        <f ca="1">IF(
  $A15=Y$1,
  IF( ROW(Y15)=2, "+", IF(COUNTIF($B15:X15,"X")=0, "+", "-") ),
  IF(
    $A15&lt;Y$1,
    "O",
    IF( OFFSET(Y$1, COLUMN(Y15)-1, 0)="-", "O", IF(MOD($A15, Y$1)=0, "X", "O") )
  )
)</f>
        <v>O</v>
      </c>
      <c r="Z15" s="45" t="str">
        <f ca="1">IF(
  $A15=Z$1,
  IF( ROW(Z15)=2, "+", IF(COUNTIF($B15:Y15,"X")=0, "+", "-") ),
  IF(
    $A15&lt;Z$1,
    "O",
    IF( OFFSET(Z$1, COLUMN(Z15)-1, 0)="-", "O", IF(MOD($A15, Z$1)=0, "X", "O") )
  )
)</f>
        <v>O</v>
      </c>
      <c r="AA15" s="45" t="str">
        <f ca="1">IF(
  $A15=AA$1,
  IF( ROW(AA15)=2, "+", IF(COUNTIF($B15:Z15,"X")=0, "+", "-") ),
  IF(
    $A15&lt;AA$1,
    "O",
    IF( OFFSET(AA$1, COLUMN(AA15)-1, 0)="-", "O", IF(MOD($A15, AA$1)=0, "X", "O") )
  )
)</f>
        <v>O</v>
      </c>
      <c r="AB15" s="45" t="str">
        <f ca="1">IF(
  $A15=AB$1,
  IF( ROW(AB15)=2, "+", IF(COUNTIF($B15:AA15,"X")=0, "+", "-") ),
  IF(
    $A15&lt;AB$1,
    "O",
    IF( OFFSET(AB$1, COLUMN(AB15)-1, 0)="-", "O", IF(MOD($A15, AB$1)=0, "X", "O") )
  )
)</f>
        <v>O</v>
      </c>
      <c r="AC15" s="45" t="str">
        <f ca="1">IF(
  $A15=AC$1,
  IF( ROW(AC15)=2, "+", IF(COUNTIF($B15:AB15,"X")=0, "+", "-") ),
  IF(
    $A15&lt;AC$1,
    "O",
    IF( OFFSET(AC$1, COLUMN(AC15)-1, 0)="-", "O", IF(MOD($A15, AC$1)=0, "X", "O") )
  )
)</f>
        <v>O</v>
      </c>
      <c r="AD15" s="45" t="str">
        <f ca="1">IF(
  $A15=AD$1,
  IF( ROW(AD15)=2, "+", IF(COUNTIF($B15:AC15,"X")=0, "+", "-") ),
  IF(
    $A15&lt;AD$1,
    "O",
    IF( OFFSET(AD$1, COLUMN(AD15)-1, 0)="-", "O", IF(MOD($A15, AD$1)=0, "X", "O") )
  )
)</f>
        <v>O</v>
      </c>
      <c r="AE15" s="45" t="str">
        <f ca="1">IF(
  $A15=AE$1,
  IF( ROW(AE15)=2, "+", IF(COUNTIF($B15:AD15,"X")=0, "+", "-") ),
  IF(
    $A15&lt;AE$1,
    "O",
    IF( OFFSET(AE$1, COLUMN(AE15)-1, 0)="-", "O", IF(MOD($A15, AE$1)=0, "X", "O") )
  )
)</f>
        <v>O</v>
      </c>
      <c r="AF15" s="45" t="str">
        <f ca="1">IF(
  $A15=AF$1,
  IF( ROW(AF15)=2, "+", IF(COUNTIF($B15:AE15,"X")=0, "+", "-") ),
  IF(
    $A15&lt;AF$1,
    "O",
    IF( OFFSET(AF$1, COLUMN(AF15)-1, 0)="-", "O", IF(MOD($A15, AF$1)=0, "X", "O") )
  )
)</f>
        <v>O</v>
      </c>
      <c r="AG15" s="45" t="str">
        <f ca="1">IF(
  $A15=AG$1,
  IF( ROW(AG15)=2, "+", IF(COUNTIF($B15:AF15,"X")=0, "+", "-") ),
  IF(
    $A15&lt;AG$1,
    "O",
    IF( OFFSET(AG$1, COLUMN(AG15)-1, 0)="-", "O", IF(MOD($A15, AG$1)=0, "X", "O") )
  )
)</f>
        <v>O</v>
      </c>
      <c r="AH15" s="45" t="str">
        <f ca="1">IF(
  $A15=AH$1,
  IF( ROW(AH15)=2, "+", IF(COUNTIF($B15:AG15,"X")=0, "+", "-") ),
  IF(
    $A15&lt;AH$1,
    "O",
    IF( OFFSET(AH$1, COLUMN(AH15)-1, 0)="-", "O", IF(MOD($A15, AH$1)=0, "X", "O") )
  )
)</f>
        <v>O</v>
      </c>
      <c r="AI15" s="45" t="str">
        <f ca="1">IF(
  $A15=AI$1,
  IF( ROW(AI15)=2, "+", IF(COUNTIF($B15:AH15,"X")=0, "+", "-") ),
  IF(
    $A15&lt;AI$1,
    "O",
    IF( OFFSET(AI$1, COLUMN(AI15)-1, 0)="-", "O", IF(MOD($A15, AI$1)=0, "X", "O") )
  )
)</f>
        <v>O</v>
      </c>
      <c r="AJ15" s="45" t="str">
        <f ca="1">IF(
  $A15=AJ$1,
  IF( ROW(AJ15)=2, "+", IF(COUNTIF($B15:AI15,"X")=0, "+", "-") ),
  IF(
    $A15&lt;AJ$1,
    "O",
    IF( OFFSET(AJ$1, COLUMN(AJ15)-1, 0)="-", "O", IF(MOD($A15, AJ$1)=0, "X", "O") )
  )
)</f>
        <v>O</v>
      </c>
      <c r="AK15" s="45" t="str">
        <f ca="1">IF(
  $A15=AK$1,
  IF( ROW(AK15)=2, "+", IF(COUNTIF($B15:AJ15,"X")=0, "+", "-") ),
  IF(
    $A15&lt;AK$1,
    "O",
    IF( OFFSET(AK$1, COLUMN(AK15)-1, 0)="-", "O", IF(MOD($A15, AK$1)=0, "X", "O") )
  )
)</f>
        <v>O</v>
      </c>
      <c r="AL15" s="45" t="str">
        <f ca="1">IF(
  $A15=AL$1,
  IF( ROW(AL15)=2, "+", IF(COUNTIF($B15:AK15,"X")=0, "+", "-") ),
  IF(
    $A15&lt;AL$1,
    "O",
    IF( OFFSET(AL$1, COLUMN(AL15)-1, 0)="-", "O", IF(MOD($A15, AL$1)=0, "X", "O") )
  )
)</f>
        <v>O</v>
      </c>
      <c r="AM15" s="45" t="str">
        <f ca="1">IF(
  $A15=AM$1,
  IF( ROW(AM15)=2, "+", IF(COUNTIF($B15:AL15,"X")=0, "+", "-") ),
  IF(
    $A15&lt;AM$1,
    "O",
    IF( OFFSET(AM$1, COLUMN(AM15)-1, 0)="-", "O", IF(MOD($A15, AM$1)=0, "X", "O") )
  )
)</f>
        <v>O</v>
      </c>
      <c r="AN15" s="45" t="str">
        <f ca="1">IF(
  $A15=AN$1,
  IF( ROW(AN15)=2, "+", IF(COUNTIF($B15:AM15,"X")=0, "+", "-") ),
  IF(
    $A15&lt;AN$1,
    "O",
    IF( OFFSET(AN$1, COLUMN(AN15)-1, 0)="-", "O", IF(MOD($A15, AN$1)=0, "X", "O") )
  )
)</f>
        <v>O</v>
      </c>
      <c r="AO15" s="45" t="str">
        <f ca="1">IF(
  $A15=AO$1,
  IF( ROW(AO15)=2, "+", IF(COUNTIF($B15:AN15,"X")=0, "+", "-") ),
  IF(
    $A15&lt;AO$1,
    "O",
    IF( OFFSET(AO$1, COLUMN(AO15)-1, 0)="-", "O", IF(MOD($A15, AO$1)=0, "X", "O") )
  )
)</f>
        <v>O</v>
      </c>
      <c r="AP15" s="45" t="str">
        <f ca="1">IF(
  $A15=AP$1,
  IF( ROW(AP15)=2, "+", IF(COUNTIF($B15:AO15,"X")=0, "+", "-") ),
  IF(
    $A15&lt;AP$1,
    "O",
    IF( OFFSET(AP$1, COLUMN(AP15)-1, 0)="-", "O", IF(MOD($A15, AP$1)=0, "X", "O") )
  )
)</f>
        <v>O</v>
      </c>
      <c r="AQ15" s="45" t="str">
        <f ca="1">IF(
  $A15=AQ$1,
  IF( ROW(AQ15)=2, "+", IF(COUNTIF($B15:AP15,"X")=0, "+", "-") ),
  IF(
    $A15&lt;AQ$1,
    "O",
    IF( OFFSET(AQ$1, COLUMN(AQ15)-1, 0)="-", "O", IF(MOD($A15, AQ$1)=0, "X", "O") )
  )
)</f>
        <v>O</v>
      </c>
      <c r="AR15" s="45" t="str">
        <f ca="1">IF(
  $A15=AR$1,
  IF( ROW(AR15)=2, "+", IF(COUNTIF($B15:AQ15,"X")=0, "+", "-") ),
  IF(
    $A15&lt;AR$1,
    "O",
    IF( OFFSET(AR$1, COLUMN(AR15)-1, 0)="-", "O", IF(MOD($A15, AR$1)=0, "X", "O") )
  )
)</f>
        <v>O</v>
      </c>
      <c r="AS15" s="45" t="str">
        <f ca="1">IF(
  $A15=AS$1,
  IF( ROW(AS15)=2, "+", IF(COUNTIF($B15:AR15,"X")=0, "+", "-") ),
  IF(
    $A15&lt;AS$1,
    "O",
    IF( OFFSET(AS$1, COLUMN(AS15)-1, 0)="-", "O", IF(MOD($A15, AS$1)=0, "X", "O") )
  )
)</f>
        <v>O</v>
      </c>
      <c r="AT15" s="45" t="str">
        <f ca="1">IF(
  $A15=AT$1,
  IF( ROW(AT15)=2, "+", IF(COUNTIF($B15:AS15,"X")=0, "+", "-") ),
  IF(
    $A15&lt;AT$1,
    "O",
    IF( OFFSET(AT$1, COLUMN(AT15)-1, 0)="-", "O", IF(MOD($A15, AT$1)=0, "X", "O") )
  )
)</f>
        <v>O</v>
      </c>
      <c r="AU15" s="45" t="str">
        <f ca="1">IF(
  $A15=AU$1,
  IF( ROW(AU15)=2, "+", IF(COUNTIF($B15:AT15,"X")=0, "+", "-") ),
  IF(
    $A15&lt;AU$1,
    "O",
    IF( OFFSET(AU$1, COLUMN(AU15)-1, 0)="-", "O", IF(MOD($A15, AU$1)=0, "X", "O") )
  )
)</f>
        <v>O</v>
      </c>
      <c r="AV15" s="45" t="str">
        <f ca="1">IF(
  $A15=AV$1,
  IF( ROW(AV15)=2, "+", IF(COUNTIF($B15:AU15,"X")=0, "+", "-") ),
  IF(
    $A15&lt;AV$1,
    "O",
    IF( OFFSET(AV$1, COLUMN(AV15)-1, 0)="-", "O", IF(MOD($A15, AV$1)=0, "X", "O") )
  )
)</f>
        <v>O</v>
      </c>
      <c r="AW15" s="45" t="str">
        <f ca="1">IF(
  $A15=AW$1,
  IF( ROW(AW15)=2, "+", IF(COUNTIF($B15:AV15,"X")=0, "+", "-") ),
  IF(
    $A15&lt;AW$1,
    "O",
    IF( OFFSET(AW$1, COLUMN(AW15)-1, 0)="-", "O", IF(MOD($A15, AW$1)=0, "X", "O") )
  )
)</f>
        <v>O</v>
      </c>
      <c r="AX15" s="45" t="str">
        <f ca="1">IF(
  $A15=AX$1,
  IF( ROW(AX15)=2, "+", IF(COUNTIF($B15:AW15,"X")=0, "+", "-") ),
  IF(
    $A15&lt;AX$1,
    "O",
    IF( OFFSET(AX$1, COLUMN(AX15)-1, 0)="-", "O", IF(MOD($A15, AX$1)=0, "X", "O") )
  )
)</f>
        <v>O</v>
      </c>
      <c r="AY15" s="45" t="str">
        <f ca="1">IF(
  $A15=AY$1,
  IF( ROW(AY15)=2, "+", IF(COUNTIF($B15:AX15,"X")=0, "+", "-") ),
  IF(
    $A15&lt;AY$1,
    "O",
    IF( OFFSET(AY$1, COLUMN(AY15)-1, 0)="-", "O", IF(MOD($A15, AY$1)=0, "X", "O") )
  )
)</f>
        <v>O</v>
      </c>
      <c r="AZ15" s="45" t="str">
        <f ca="1">IF(
  $A15=AZ$1,
  IF( ROW(AZ15)=2, "+", IF(COUNTIF($B15:AY15,"X")=0, "+", "-") ),
  IF(
    $A15&lt;AZ$1,
    "O",
    IF( OFFSET(AZ$1, COLUMN(AZ15)-1, 0)="-", "O", IF(MOD($A15, AZ$1)=0, "X", "O") )
  )
)</f>
        <v>O</v>
      </c>
      <c r="BA15" s="45" t="str">
        <f ca="1">IF(
  $A15=BA$1,
  IF( ROW(BA15)=2, "+", IF(COUNTIF($B15:AZ15,"X")=0, "+", "-") ),
  IF(
    $A15&lt;BA$1,
    "O",
    IF( OFFSET(BA$1, COLUMN(BA15)-1, 0)="-", "O", IF(MOD($A15, BA$1)=0, "X", "O") )
  )
)</f>
        <v>O</v>
      </c>
      <c r="BB15" s="45" t="str">
        <f ca="1">IF(
  $A15=BB$1,
  IF( ROW(BB15)=2, "+", IF(COUNTIF($B15:BA15,"X")=0, "+", "-") ),
  IF(
    $A15&lt;BB$1,
    "O",
    IF( OFFSET(BB$1, COLUMN(BB15)-1, 0)="-", "O", IF(MOD($A15, BB$1)=0, "X", "O") )
  )
)</f>
        <v>O</v>
      </c>
      <c r="BC15" s="45" t="str">
        <f ca="1">IF(
  $A15=BC$1,
  IF( ROW(BC15)=2, "+", IF(COUNTIF($B15:BB15,"X")=0, "+", "-") ),
  IF(
    $A15&lt;BC$1,
    "O",
    IF( OFFSET(BC$1, COLUMN(BC15)-1, 0)="-", "O", IF(MOD($A15, BC$1)=0, "X", "O") )
  )
)</f>
        <v>O</v>
      </c>
      <c r="BD15" s="45" t="str">
        <f ca="1">IF(
  $A15=BD$1,
  IF( ROW(BD15)=2, "+", IF(COUNTIF($B15:BC15,"X")=0, "+", "-") ),
  IF(
    $A15&lt;BD$1,
    "O",
    IF( OFFSET(BD$1, COLUMN(BD15)-1, 0)="-", "O", IF(MOD($A15, BD$1)=0, "X", "O") )
  )
)</f>
        <v>O</v>
      </c>
      <c r="BE15" s="45" t="str">
        <f ca="1">IF(
  $A15=BE$1,
  IF( ROW(BE15)=2, "+", IF(COUNTIF($B15:BD15,"X")=0, "+", "-") ),
  IF(
    $A15&lt;BE$1,
    "O",
    IF( OFFSET(BE$1, COLUMN(BE15)-1, 0)="-", "O", IF(MOD($A15, BE$1)=0, "X", "O") )
  )
)</f>
        <v>O</v>
      </c>
      <c r="BF15" s="45" t="str">
        <f ca="1">IF(
  $A15=BF$1,
  IF( ROW(BF15)=2, "+", IF(COUNTIF($B15:BE15,"X")=0, "+", "-") ),
  IF(
    $A15&lt;BF$1,
    "O",
    IF( OFFSET(BF$1, COLUMN(BF15)-1, 0)="-", "O", IF(MOD($A15, BF$1)=0, "X", "O") )
  )
)</f>
        <v>O</v>
      </c>
      <c r="BG15" s="45" t="str">
        <f ca="1">IF(
  $A15=BG$1,
  IF( ROW(BG15)=2, "+", IF(COUNTIF($B15:BF15,"X")=0, "+", "-") ),
  IF(
    $A15&lt;BG$1,
    "O",
    IF( OFFSET(BG$1, COLUMN(BG15)-1, 0)="-", "O", IF(MOD($A15, BG$1)=0, "X", "O") )
  )
)</f>
        <v>O</v>
      </c>
      <c r="BH15" s="45" t="str">
        <f ca="1">IF(
  $A15=BH$1,
  IF( ROW(BH15)=2, "+", IF(COUNTIF($B15:BG15,"X")=0, "+", "-") ),
  IF(
    $A15&lt;BH$1,
    "O",
    IF( OFFSET(BH$1, COLUMN(BH15)-1, 0)="-", "O", IF(MOD($A15, BH$1)=0, "X", "O") )
  )
)</f>
        <v>O</v>
      </c>
    </row>
    <row r="16" spans="1:62" s="46" customFormat="1" x14ac:dyDescent="0.25">
      <c r="A16">
        <v>16</v>
      </c>
      <c r="B16" s="44" t="str">
        <f ca="1">IF(
  $A16=B$1,
  IF( ROW(B16)=2, "+", IF(COUNTIF(A16:$B16,"X")=0, "+", "-") ),
  IF(
    $A16&lt;B$1,
    "O",
    IF( OFFSET(B$1, COLUMN(B16)-1, 0)="-", "O", IF(MOD($A16, B$1)=0, "X", "O") )
  )
)</f>
        <v>X</v>
      </c>
      <c r="C16" s="44" t="str">
        <f ca="1">IF(
  $A16=C$1,
  IF( ROW(C16)=2, "+", IF(COUNTIF(B16:$B16,"X")=0, "+", "-") ),
  IF(
    $A16&lt;C$1,
    "O",
    IF( OFFSET(C$1, COLUMN(C16)-1, 0)="-", "O", IF(MOD($A16, C$1)=0, "X", "O") )
  )
)</f>
        <v>O</v>
      </c>
      <c r="D16" s="45" t="str">
        <f ca="1">IF(
  $A16=D$1,
  IF( ROW(D16)=2, "+", IF(COUNTIF($B16:C16,"X")=0, "+", "-") ),
  IF(
    $A16&lt;D$1,
    "O",
    IF( OFFSET(D$1, COLUMN(D16)-1, 0)="-", "O", IF(MOD($A16, D$1)=0, "X", "O") )
  )
)</f>
        <v>O</v>
      </c>
      <c r="E16" s="44" t="str">
        <f ca="1">IF(
  $A16=E$1,
  IF( ROW(E16)=2, "+", IF(COUNTIF($B16:D16,"X")=0, "+", "-") ),
  IF(
    $A16&lt;E$1,
    "O",
    IF( OFFSET(E$1, COLUMN(E16)-1, 0)="-", "O", IF(MOD($A16, E$1)=0, "X", "O") )
  )
)</f>
        <v>O</v>
      </c>
      <c r="F16" s="45" t="str">
        <f ca="1">IF(
  $A16=F$1,
  IF( ROW(F16)=2, "+", IF(COUNTIF($B16:E16,"X")=0, "+", "-") ),
  IF(
    $A16&lt;F$1,
    "O",
    IF( OFFSET(F$1, COLUMN(F16)-1, 0)="-", "O", IF(MOD($A16, F$1)=0, "X", "O") )
  )
)</f>
        <v>O</v>
      </c>
      <c r="G16" s="44" t="str">
        <f ca="1">IF(
  $A16=G$1,
  IF( ROW(G16)=2, "+", IF(COUNTIF($B16:F16,"X")=0, "+", "-") ),
  IF(
    $A16&lt;G$1,
    "O",
    IF( OFFSET(G$1, COLUMN(G16)-1, 0)="-", "O", IF(MOD($A16, G$1)=0, "X", "O") )
  )
)</f>
        <v>O</v>
      </c>
      <c r="H16" s="45" t="str">
        <f ca="1">IF(
  $A16=H$1,
  IF( ROW(H16)=2, "+", IF(COUNTIF($B16:G16,"X")=0, "+", "-") ),
  IF(
    $A16&lt;H$1,
    "O",
    IF( OFFSET(H$1, COLUMN(H16)-1, 0)="-", "O", IF(MOD($A16, H$1)=0, "X", "O") )
  )
)</f>
        <v>O</v>
      </c>
      <c r="I16" s="45" t="str">
        <f ca="1">IF(
  $A16=I$1,
  IF( ROW(I16)=2, "+", IF(COUNTIF($B16:H16,"X")=0, "+", "-") ),
  IF(
    $A16&lt;I$1,
    "O",
    IF( OFFSET(I$1, COLUMN(I16)-1, 0)="-", "O", IF(MOD($A16, I$1)=0, "X", "O") )
  )
)</f>
        <v>O</v>
      </c>
      <c r="J16" s="45" t="str">
        <f ca="1">IF(
  $A16=J$1,
  IF( ROW(J16)=2, "+", IF(COUNTIF($B16:I16,"X")=0, "+", "-") ),
  IF(
    $A16&lt;J$1,
    "O",
    IF( OFFSET(J$1, COLUMN(J16)-1, 0)="-", "O", IF(MOD($A16, J$1)=0, "X", "O") )
  )
)</f>
        <v>O</v>
      </c>
      <c r="K16" s="44" t="str">
        <f ca="1">IF(
  $A16=K$1,
  IF( ROW(K16)=2, "+", IF(COUNTIF($B16:J16,"X")=0, "+", "-") ),
  IF(
    $A16&lt;K$1,
    "O",
    IF( OFFSET(K$1, COLUMN(K16)-1, 0)="-", "O", IF(MOD($A16, K$1)=0, "X", "O") )
  )
)</f>
        <v>O</v>
      </c>
      <c r="L16" s="45" t="str">
        <f ca="1">IF(
  $A16=L$1,
  IF( ROW(L16)=2, "+", IF(COUNTIF($B16:K16,"X")=0, "+", "-") ),
  IF(
    $A16&lt;L$1,
    "O",
    IF( OFFSET(L$1, COLUMN(L16)-1, 0)="-", "O", IF(MOD($A16, L$1)=0, "X", "O") )
  )
)</f>
        <v>O</v>
      </c>
      <c r="M16" s="44" t="str">
        <f ca="1">IF(
  $A16=M$1,
  IF( ROW(M16)=2, "+", IF(COUNTIF($B16:L16,"X")=0, "+", "-") ),
  IF(
    $A16&lt;M$1,
    "O",
    IF( OFFSET(M$1, COLUMN(M16)-1, 0)="-", "O", IF(MOD($A16, M$1)=0, "X", "O") )
  )
)</f>
        <v>O</v>
      </c>
      <c r="N16" s="45" t="str">
        <f ca="1">IF(
  $A16=N$1,
  IF( ROW(N16)=2, "+", IF(COUNTIF($B16:M16,"X")=0, "+", "-") ),
  IF(
    $A16&lt;N$1,
    "O",
    IF( OFFSET(N$1, COLUMN(N16)-1, 0)="-", "O", IF(MOD($A16, N$1)=0, "X", "O") )
  )
)</f>
        <v>O</v>
      </c>
      <c r="O16" s="45" t="str">
        <f ca="1">IF(
  $A16=O$1,
  IF( ROW(O16)=2, "+", IF(COUNTIF($B16:N16,"X")=0, "+", "-") ),
  IF(
    $A16&lt;O$1,
    "O",
    IF( OFFSET(O$1, COLUMN(O16)-1, 0)="-", "O", IF(MOD($A16, O$1)=0, "X", "O") )
  )
)</f>
        <v>O</v>
      </c>
      <c r="P16" s="45" t="str">
        <f ca="1">IF(
  $A16=P$1,
  IF( ROW(P16)=2, "+", IF(COUNTIF($B16:O16,"X")=0, "+", "-") ),
  IF(
    $A16&lt;P$1,
    "O",
    IF( OFFSET(P$1, COLUMN(P16)-1, 0)="-", "O", IF(MOD($A16, P$1)=0, "X", "O") )
  )
)</f>
        <v>-</v>
      </c>
      <c r="Q16" s="45" t="str">
        <f ca="1">IF(
  $A16=Q$1,
  IF( ROW(Q16)=2, "+", IF(COUNTIF($B16:P16,"X")=0, "+", "-") ),
  IF(
    $A16&lt;Q$1,
    "O",
    IF( OFFSET(Q$1, COLUMN(Q16)-1, 0)="-", "O", IF(MOD($A16, Q$1)=0, "X", "O") )
  )
)</f>
        <v>O</v>
      </c>
      <c r="R16" s="45" t="str">
        <f ca="1">IF(
  $A16=R$1,
  IF( ROW(R16)=2, "+", IF(COUNTIF($B16:Q16,"X")=0, "+", "-") ),
  IF(
    $A16&lt;R$1,
    "O",
    IF( OFFSET(R$1, COLUMN(R16)-1, 0)="-", "O", IF(MOD($A16, R$1)=0, "X", "O") )
  )
)</f>
        <v>O</v>
      </c>
      <c r="S16" s="45" t="str">
        <f ca="1">IF(
  $A16=S$1,
  IF( ROW(S16)=2, "+", IF(COUNTIF($B16:R16,"X")=0, "+", "-") ),
  IF(
    $A16&lt;S$1,
    "O",
    IF( OFFSET(S$1, COLUMN(S16)-1, 0)="-", "O", IF(MOD($A16, S$1)=0, "X", "O") )
  )
)</f>
        <v>O</v>
      </c>
      <c r="T16" s="45" t="str">
        <f ca="1">IF(
  $A16=T$1,
  IF( ROW(T16)=2, "+", IF(COUNTIF($B16:S16,"X")=0, "+", "-") ),
  IF(
    $A16&lt;T$1,
    "O",
    IF( OFFSET(T$1, COLUMN(T16)-1, 0)="-", "O", IF(MOD($A16, T$1)=0, "X", "O") )
  )
)</f>
        <v>O</v>
      </c>
      <c r="U16" s="45" t="str">
        <f ca="1">IF(
  $A16=U$1,
  IF( ROW(U16)=2, "+", IF(COUNTIF($B16:T16,"X")=0, "+", "-") ),
  IF(
    $A16&lt;U$1,
    "O",
    IF( OFFSET(U$1, COLUMN(U16)-1, 0)="-", "O", IF(MOD($A16, U$1)=0, "X", "O") )
  )
)</f>
        <v>O</v>
      </c>
      <c r="V16" s="45" t="str">
        <f ca="1">IF(
  $A16=V$1,
  IF( ROW(V16)=2, "+", IF(COUNTIF($B16:U16,"X")=0, "+", "-") ),
  IF(
    $A16&lt;V$1,
    "O",
    IF( OFFSET(V$1, COLUMN(V16)-1, 0)="-", "O", IF(MOD($A16, V$1)=0, "X", "O") )
  )
)</f>
        <v>O</v>
      </c>
      <c r="W16" s="45" t="str">
        <f ca="1">IF(
  $A16=W$1,
  IF( ROW(W16)=2, "+", IF(COUNTIF($B16:V16,"X")=0, "+", "-") ),
  IF(
    $A16&lt;W$1,
    "O",
    IF( OFFSET(W$1, COLUMN(W16)-1, 0)="-", "O", IF(MOD($A16, W$1)=0, "X", "O") )
  )
)</f>
        <v>O</v>
      </c>
      <c r="X16" s="45" t="str">
        <f ca="1">IF(
  $A16=X$1,
  IF( ROW(X16)=2, "+", IF(COUNTIF($B16:W16,"X")=0, "+", "-") ),
  IF(
    $A16&lt;X$1,
    "O",
    IF( OFFSET(X$1, COLUMN(X16)-1, 0)="-", "O", IF(MOD($A16, X$1)=0, "X", "O") )
  )
)</f>
        <v>O</v>
      </c>
      <c r="Y16" s="45" t="str">
        <f ca="1">IF(
  $A16=Y$1,
  IF( ROW(Y16)=2, "+", IF(COUNTIF($B16:X16,"X")=0, "+", "-") ),
  IF(
    $A16&lt;Y$1,
    "O",
    IF( OFFSET(Y$1, COLUMN(Y16)-1, 0)="-", "O", IF(MOD($A16, Y$1)=0, "X", "O") )
  )
)</f>
        <v>O</v>
      </c>
      <c r="Z16" s="45" t="str">
        <f ca="1">IF(
  $A16=Z$1,
  IF( ROW(Z16)=2, "+", IF(COUNTIF($B16:Y16,"X")=0, "+", "-") ),
  IF(
    $A16&lt;Z$1,
    "O",
    IF( OFFSET(Z$1, COLUMN(Z16)-1, 0)="-", "O", IF(MOD($A16, Z$1)=0, "X", "O") )
  )
)</f>
        <v>O</v>
      </c>
      <c r="AA16" s="45" t="str">
        <f ca="1">IF(
  $A16=AA$1,
  IF( ROW(AA16)=2, "+", IF(COUNTIF($B16:Z16,"X")=0, "+", "-") ),
  IF(
    $A16&lt;AA$1,
    "O",
    IF( OFFSET(AA$1, COLUMN(AA16)-1, 0)="-", "O", IF(MOD($A16, AA$1)=0, "X", "O") )
  )
)</f>
        <v>O</v>
      </c>
      <c r="AB16" s="45" t="str">
        <f ca="1">IF(
  $A16=AB$1,
  IF( ROW(AB16)=2, "+", IF(COUNTIF($B16:AA16,"X")=0, "+", "-") ),
  IF(
    $A16&lt;AB$1,
    "O",
    IF( OFFSET(AB$1, COLUMN(AB16)-1, 0)="-", "O", IF(MOD($A16, AB$1)=0, "X", "O") )
  )
)</f>
        <v>O</v>
      </c>
      <c r="AC16" s="45" t="str">
        <f ca="1">IF(
  $A16=AC$1,
  IF( ROW(AC16)=2, "+", IF(COUNTIF($B16:AB16,"X")=0, "+", "-") ),
  IF(
    $A16&lt;AC$1,
    "O",
    IF( OFFSET(AC$1, COLUMN(AC16)-1, 0)="-", "O", IF(MOD($A16, AC$1)=0, "X", "O") )
  )
)</f>
        <v>O</v>
      </c>
      <c r="AD16" s="45" t="str">
        <f ca="1">IF(
  $A16=AD$1,
  IF( ROW(AD16)=2, "+", IF(COUNTIF($B16:AC16,"X")=0, "+", "-") ),
  IF(
    $A16&lt;AD$1,
    "O",
    IF( OFFSET(AD$1, COLUMN(AD16)-1, 0)="-", "O", IF(MOD($A16, AD$1)=0, "X", "O") )
  )
)</f>
        <v>O</v>
      </c>
      <c r="AE16" s="45" t="str">
        <f ca="1">IF(
  $A16=AE$1,
  IF( ROW(AE16)=2, "+", IF(COUNTIF($B16:AD16,"X")=0, "+", "-") ),
  IF(
    $A16&lt;AE$1,
    "O",
    IF( OFFSET(AE$1, COLUMN(AE16)-1, 0)="-", "O", IF(MOD($A16, AE$1)=0, "X", "O") )
  )
)</f>
        <v>O</v>
      </c>
      <c r="AF16" s="45" t="str">
        <f ca="1">IF(
  $A16=AF$1,
  IF( ROW(AF16)=2, "+", IF(COUNTIF($B16:AE16,"X")=0, "+", "-") ),
  IF(
    $A16&lt;AF$1,
    "O",
    IF( OFFSET(AF$1, COLUMN(AF16)-1, 0)="-", "O", IF(MOD($A16, AF$1)=0, "X", "O") )
  )
)</f>
        <v>O</v>
      </c>
      <c r="AG16" s="45" t="str">
        <f ca="1">IF(
  $A16=AG$1,
  IF( ROW(AG16)=2, "+", IF(COUNTIF($B16:AF16,"X")=0, "+", "-") ),
  IF(
    $A16&lt;AG$1,
    "O",
    IF( OFFSET(AG$1, COLUMN(AG16)-1, 0)="-", "O", IF(MOD($A16, AG$1)=0, "X", "O") )
  )
)</f>
        <v>O</v>
      </c>
      <c r="AH16" s="45" t="str">
        <f ca="1">IF(
  $A16=AH$1,
  IF( ROW(AH16)=2, "+", IF(COUNTIF($B16:AG16,"X")=0, "+", "-") ),
  IF(
    $A16&lt;AH$1,
    "O",
    IF( OFFSET(AH$1, COLUMN(AH16)-1, 0)="-", "O", IF(MOD($A16, AH$1)=0, "X", "O") )
  )
)</f>
        <v>O</v>
      </c>
      <c r="AI16" s="45" t="str">
        <f ca="1">IF(
  $A16=AI$1,
  IF( ROW(AI16)=2, "+", IF(COUNTIF($B16:AH16,"X")=0, "+", "-") ),
  IF(
    $A16&lt;AI$1,
    "O",
    IF( OFFSET(AI$1, COLUMN(AI16)-1, 0)="-", "O", IF(MOD($A16, AI$1)=0, "X", "O") )
  )
)</f>
        <v>O</v>
      </c>
      <c r="AJ16" s="45" t="str">
        <f ca="1">IF(
  $A16=AJ$1,
  IF( ROW(AJ16)=2, "+", IF(COUNTIF($B16:AI16,"X")=0, "+", "-") ),
  IF(
    $A16&lt;AJ$1,
    "O",
    IF( OFFSET(AJ$1, COLUMN(AJ16)-1, 0)="-", "O", IF(MOD($A16, AJ$1)=0, "X", "O") )
  )
)</f>
        <v>O</v>
      </c>
      <c r="AK16" s="45" t="str">
        <f ca="1">IF(
  $A16=AK$1,
  IF( ROW(AK16)=2, "+", IF(COUNTIF($B16:AJ16,"X")=0, "+", "-") ),
  IF(
    $A16&lt;AK$1,
    "O",
    IF( OFFSET(AK$1, COLUMN(AK16)-1, 0)="-", "O", IF(MOD($A16, AK$1)=0, "X", "O") )
  )
)</f>
        <v>O</v>
      </c>
      <c r="AL16" s="45" t="str">
        <f ca="1">IF(
  $A16=AL$1,
  IF( ROW(AL16)=2, "+", IF(COUNTIF($B16:AK16,"X")=0, "+", "-") ),
  IF(
    $A16&lt;AL$1,
    "O",
    IF( OFFSET(AL$1, COLUMN(AL16)-1, 0)="-", "O", IF(MOD($A16, AL$1)=0, "X", "O") )
  )
)</f>
        <v>O</v>
      </c>
      <c r="AM16" s="45" t="str">
        <f ca="1">IF(
  $A16=AM$1,
  IF( ROW(AM16)=2, "+", IF(COUNTIF($B16:AL16,"X")=0, "+", "-") ),
  IF(
    $A16&lt;AM$1,
    "O",
    IF( OFFSET(AM$1, COLUMN(AM16)-1, 0)="-", "O", IF(MOD($A16, AM$1)=0, "X", "O") )
  )
)</f>
        <v>O</v>
      </c>
      <c r="AN16" s="45" t="str">
        <f ca="1">IF(
  $A16=AN$1,
  IF( ROW(AN16)=2, "+", IF(COUNTIF($B16:AM16,"X")=0, "+", "-") ),
  IF(
    $A16&lt;AN$1,
    "O",
    IF( OFFSET(AN$1, COLUMN(AN16)-1, 0)="-", "O", IF(MOD($A16, AN$1)=0, "X", "O") )
  )
)</f>
        <v>O</v>
      </c>
      <c r="AO16" s="45" t="str">
        <f ca="1">IF(
  $A16=AO$1,
  IF( ROW(AO16)=2, "+", IF(COUNTIF($B16:AN16,"X")=0, "+", "-") ),
  IF(
    $A16&lt;AO$1,
    "O",
    IF( OFFSET(AO$1, COLUMN(AO16)-1, 0)="-", "O", IF(MOD($A16, AO$1)=0, "X", "O") )
  )
)</f>
        <v>O</v>
      </c>
      <c r="AP16" s="45" t="str">
        <f ca="1">IF(
  $A16=AP$1,
  IF( ROW(AP16)=2, "+", IF(COUNTIF($B16:AO16,"X")=0, "+", "-") ),
  IF(
    $A16&lt;AP$1,
    "O",
    IF( OFFSET(AP$1, COLUMN(AP16)-1, 0)="-", "O", IF(MOD($A16, AP$1)=0, "X", "O") )
  )
)</f>
        <v>O</v>
      </c>
      <c r="AQ16" s="45" t="str">
        <f ca="1">IF(
  $A16=AQ$1,
  IF( ROW(AQ16)=2, "+", IF(COUNTIF($B16:AP16,"X")=0, "+", "-") ),
  IF(
    $A16&lt;AQ$1,
    "O",
    IF( OFFSET(AQ$1, COLUMN(AQ16)-1, 0)="-", "O", IF(MOD($A16, AQ$1)=0, "X", "O") )
  )
)</f>
        <v>O</v>
      </c>
      <c r="AR16" s="45" t="str">
        <f ca="1">IF(
  $A16=AR$1,
  IF( ROW(AR16)=2, "+", IF(COUNTIF($B16:AQ16,"X")=0, "+", "-") ),
  IF(
    $A16&lt;AR$1,
    "O",
    IF( OFFSET(AR$1, COLUMN(AR16)-1, 0)="-", "O", IF(MOD($A16, AR$1)=0, "X", "O") )
  )
)</f>
        <v>O</v>
      </c>
      <c r="AS16" s="45" t="str">
        <f ca="1">IF(
  $A16=AS$1,
  IF( ROW(AS16)=2, "+", IF(COUNTIF($B16:AR16,"X")=0, "+", "-") ),
  IF(
    $A16&lt;AS$1,
    "O",
    IF( OFFSET(AS$1, COLUMN(AS16)-1, 0)="-", "O", IF(MOD($A16, AS$1)=0, "X", "O") )
  )
)</f>
        <v>O</v>
      </c>
      <c r="AT16" s="45" t="str">
        <f ca="1">IF(
  $A16=AT$1,
  IF( ROW(AT16)=2, "+", IF(COUNTIF($B16:AS16,"X")=0, "+", "-") ),
  IF(
    $A16&lt;AT$1,
    "O",
    IF( OFFSET(AT$1, COLUMN(AT16)-1, 0)="-", "O", IF(MOD($A16, AT$1)=0, "X", "O") )
  )
)</f>
        <v>O</v>
      </c>
      <c r="AU16" s="45" t="str">
        <f ca="1">IF(
  $A16=AU$1,
  IF( ROW(AU16)=2, "+", IF(COUNTIF($B16:AT16,"X")=0, "+", "-") ),
  IF(
    $A16&lt;AU$1,
    "O",
    IF( OFFSET(AU$1, COLUMN(AU16)-1, 0)="-", "O", IF(MOD($A16, AU$1)=0, "X", "O") )
  )
)</f>
        <v>O</v>
      </c>
      <c r="AV16" s="45" t="str">
        <f ca="1">IF(
  $A16=AV$1,
  IF( ROW(AV16)=2, "+", IF(COUNTIF($B16:AU16,"X")=0, "+", "-") ),
  IF(
    $A16&lt;AV$1,
    "O",
    IF( OFFSET(AV$1, COLUMN(AV16)-1, 0)="-", "O", IF(MOD($A16, AV$1)=0, "X", "O") )
  )
)</f>
        <v>O</v>
      </c>
      <c r="AW16" s="45" t="str">
        <f ca="1">IF(
  $A16=AW$1,
  IF( ROW(AW16)=2, "+", IF(COUNTIF($B16:AV16,"X")=0, "+", "-") ),
  IF(
    $A16&lt;AW$1,
    "O",
    IF( OFFSET(AW$1, COLUMN(AW16)-1, 0)="-", "O", IF(MOD($A16, AW$1)=0, "X", "O") )
  )
)</f>
        <v>O</v>
      </c>
      <c r="AX16" s="45" t="str">
        <f ca="1">IF(
  $A16=AX$1,
  IF( ROW(AX16)=2, "+", IF(COUNTIF($B16:AW16,"X")=0, "+", "-") ),
  IF(
    $A16&lt;AX$1,
    "O",
    IF( OFFSET(AX$1, COLUMN(AX16)-1, 0)="-", "O", IF(MOD($A16, AX$1)=0, "X", "O") )
  )
)</f>
        <v>O</v>
      </c>
      <c r="AY16" s="45" t="str">
        <f ca="1">IF(
  $A16=AY$1,
  IF( ROW(AY16)=2, "+", IF(COUNTIF($B16:AX16,"X")=0, "+", "-") ),
  IF(
    $A16&lt;AY$1,
    "O",
    IF( OFFSET(AY$1, COLUMN(AY16)-1, 0)="-", "O", IF(MOD($A16, AY$1)=0, "X", "O") )
  )
)</f>
        <v>O</v>
      </c>
      <c r="AZ16" s="45" t="str">
        <f ca="1">IF(
  $A16=AZ$1,
  IF( ROW(AZ16)=2, "+", IF(COUNTIF($B16:AY16,"X")=0, "+", "-") ),
  IF(
    $A16&lt;AZ$1,
    "O",
    IF( OFFSET(AZ$1, COLUMN(AZ16)-1, 0)="-", "O", IF(MOD($A16, AZ$1)=0, "X", "O") )
  )
)</f>
        <v>O</v>
      </c>
      <c r="BA16" s="45" t="str">
        <f ca="1">IF(
  $A16=BA$1,
  IF( ROW(BA16)=2, "+", IF(COUNTIF($B16:AZ16,"X")=0, "+", "-") ),
  IF(
    $A16&lt;BA$1,
    "O",
    IF( OFFSET(BA$1, COLUMN(BA16)-1, 0)="-", "O", IF(MOD($A16, BA$1)=0, "X", "O") )
  )
)</f>
        <v>O</v>
      </c>
      <c r="BB16" s="45" t="str">
        <f ca="1">IF(
  $A16=BB$1,
  IF( ROW(BB16)=2, "+", IF(COUNTIF($B16:BA16,"X")=0, "+", "-") ),
  IF(
    $A16&lt;BB$1,
    "O",
    IF( OFFSET(BB$1, COLUMN(BB16)-1, 0)="-", "O", IF(MOD($A16, BB$1)=0, "X", "O") )
  )
)</f>
        <v>O</v>
      </c>
      <c r="BC16" s="45" t="str">
        <f ca="1">IF(
  $A16=BC$1,
  IF( ROW(BC16)=2, "+", IF(COUNTIF($B16:BB16,"X")=0, "+", "-") ),
  IF(
    $A16&lt;BC$1,
    "O",
    IF( OFFSET(BC$1, COLUMN(BC16)-1, 0)="-", "O", IF(MOD($A16, BC$1)=0, "X", "O") )
  )
)</f>
        <v>O</v>
      </c>
      <c r="BD16" s="45" t="str">
        <f ca="1">IF(
  $A16=BD$1,
  IF( ROW(BD16)=2, "+", IF(COUNTIF($B16:BC16,"X")=0, "+", "-") ),
  IF(
    $A16&lt;BD$1,
    "O",
    IF( OFFSET(BD$1, COLUMN(BD16)-1, 0)="-", "O", IF(MOD($A16, BD$1)=0, "X", "O") )
  )
)</f>
        <v>O</v>
      </c>
      <c r="BE16" s="45" t="str">
        <f ca="1">IF(
  $A16=BE$1,
  IF( ROW(BE16)=2, "+", IF(COUNTIF($B16:BD16,"X")=0, "+", "-") ),
  IF(
    $A16&lt;BE$1,
    "O",
    IF( OFFSET(BE$1, COLUMN(BE16)-1, 0)="-", "O", IF(MOD($A16, BE$1)=0, "X", "O") )
  )
)</f>
        <v>O</v>
      </c>
      <c r="BF16" s="45" t="str">
        <f ca="1">IF(
  $A16=BF$1,
  IF( ROW(BF16)=2, "+", IF(COUNTIF($B16:BE16,"X")=0, "+", "-") ),
  IF(
    $A16&lt;BF$1,
    "O",
    IF( OFFSET(BF$1, COLUMN(BF16)-1, 0)="-", "O", IF(MOD($A16, BF$1)=0, "X", "O") )
  )
)</f>
        <v>O</v>
      </c>
      <c r="BG16" s="45" t="str">
        <f ca="1">IF(
  $A16=BG$1,
  IF( ROW(BG16)=2, "+", IF(COUNTIF($B16:BF16,"X")=0, "+", "-") ),
  IF(
    $A16&lt;BG$1,
    "O",
    IF( OFFSET(BG$1, COLUMN(BG16)-1, 0)="-", "O", IF(MOD($A16, BG$1)=0, "X", "O") )
  )
)</f>
        <v>O</v>
      </c>
      <c r="BH16" s="45" t="str">
        <f ca="1">IF(
  $A16=BH$1,
  IF( ROW(BH16)=2, "+", IF(COUNTIF($B16:BG16,"X")=0, "+", "-") ),
  IF(
    $A16&lt;BH$1,
    "O",
    IF( OFFSET(BH$1, COLUMN(BH16)-1, 0)="-", "O", IF(MOD($A16, BH$1)=0, "X", "O") )
  )
)</f>
        <v>O</v>
      </c>
    </row>
    <row r="17" spans="1:60" s="46" customFormat="1" x14ac:dyDescent="0.25">
      <c r="A17">
        <v>17</v>
      </c>
      <c r="B17" s="44" t="str">
        <f ca="1">IF(
  $A17=B$1,
  IF( ROW(B17)=2, "+", IF(COUNTIF(A17:$B17,"X")=0, "+", "-") ),
  IF(
    $A17&lt;B$1,
    "O",
    IF( OFFSET(B$1, COLUMN(B17)-1, 0)="-", "O", IF(MOD($A17, B$1)=0, "X", "O") )
  )
)</f>
        <v>O</v>
      </c>
      <c r="C17" s="44" t="str">
        <f ca="1">IF(
  $A17=C$1,
  IF( ROW(C17)=2, "+", IF(COUNTIF(B17:$B17,"X")=0, "+", "-") ),
  IF(
    $A17&lt;C$1,
    "O",
    IF( OFFSET(C$1, COLUMN(C17)-1, 0)="-", "O", IF(MOD($A17, C$1)=0, "X", "O") )
  )
)</f>
        <v>O</v>
      </c>
      <c r="D17" s="45" t="str">
        <f ca="1">IF(
  $A17=D$1,
  IF( ROW(D17)=2, "+", IF(COUNTIF($B17:C17,"X")=0, "+", "-") ),
  IF(
    $A17&lt;D$1,
    "O",
    IF( OFFSET(D$1, COLUMN(D17)-1, 0)="-", "O", IF(MOD($A17, D$1)=0, "X", "O") )
  )
)</f>
        <v>O</v>
      </c>
      <c r="E17" s="44" t="str">
        <f ca="1">IF(
  $A17=E$1,
  IF( ROW(E17)=2, "+", IF(COUNTIF($B17:D17,"X")=0, "+", "-") ),
  IF(
    $A17&lt;E$1,
    "O",
    IF( OFFSET(E$1, COLUMN(E17)-1, 0)="-", "O", IF(MOD($A17, E$1)=0, "X", "O") )
  )
)</f>
        <v>O</v>
      </c>
      <c r="F17" s="45" t="str">
        <f ca="1">IF(
  $A17=F$1,
  IF( ROW(F17)=2, "+", IF(COUNTIF($B17:E17,"X")=0, "+", "-") ),
  IF(
    $A17&lt;F$1,
    "O",
    IF( OFFSET(F$1, COLUMN(F17)-1, 0)="-", "O", IF(MOD($A17, F$1)=0, "X", "O") )
  )
)</f>
        <v>O</v>
      </c>
      <c r="G17" s="44" t="str">
        <f ca="1">IF(
  $A17=G$1,
  IF( ROW(G17)=2, "+", IF(COUNTIF($B17:F17,"X")=0, "+", "-") ),
  IF(
    $A17&lt;G$1,
    "O",
    IF( OFFSET(G$1, COLUMN(G17)-1, 0)="-", "O", IF(MOD($A17, G$1)=0, "X", "O") )
  )
)</f>
        <v>O</v>
      </c>
      <c r="H17" s="45" t="str">
        <f ca="1">IF(
  $A17=H$1,
  IF( ROW(H17)=2, "+", IF(COUNTIF($B17:G17,"X")=0, "+", "-") ),
  IF(
    $A17&lt;H$1,
    "O",
    IF( OFFSET(H$1, COLUMN(H17)-1, 0)="-", "O", IF(MOD($A17, H$1)=0, "X", "O") )
  )
)</f>
        <v>O</v>
      </c>
      <c r="I17" s="45" t="str">
        <f ca="1">IF(
  $A17=I$1,
  IF( ROW(I17)=2, "+", IF(COUNTIF($B17:H17,"X")=0, "+", "-") ),
  IF(
    $A17&lt;I$1,
    "O",
    IF( OFFSET(I$1, COLUMN(I17)-1, 0)="-", "O", IF(MOD($A17, I$1)=0, "X", "O") )
  )
)</f>
        <v>O</v>
      </c>
      <c r="J17" s="45" t="str">
        <f ca="1">IF(
  $A17=J$1,
  IF( ROW(J17)=2, "+", IF(COUNTIF($B17:I17,"X")=0, "+", "-") ),
  IF(
    $A17&lt;J$1,
    "O",
    IF( OFFSET(J$1, COLUMN(J17)-1, 0)="-", "O", IF(MOD($A17, J$1)=0, "X", "O") )
  )
)</f>
        <v>O</v>
      </c>
      <c r="K17" s="44" t="str">
        <f ca="1">IF(
  $A17=K$1,
  IF( ROW(K17)=2, "+", IF(COUNTIF($B17:J17,"X")=0, "+", "-") ),
  IF(
    $A17&lt;K$1,
    "O",
    IF( OFFSET(K$1, COLUMN(K17)-1, 0)="-", "O", IF(MOD($A17, K$1)=0, "X", "O") )
  )
)</f>
        <v>O</v>
      </c>
      <c r="L17" s="45" t="str">
        <f ca="1">IF(
  $A17=L$1,
  IF( ROW(L17)=2, "+", IF(COUNTIF($B17:K17,"X")=0, "+", "-") ),
  IF(
    $A17&lt;L$1,
    "O",
    IF( OFFSET(L$1, COLUMN(L17)-1, 0)="-", "O", IF(MOD($A17, L$1)=0, "X", "O") )
  )
)</f>
        <v>O</v>
      </c>
      <c r="M17" s="44" t="str">
        <f ca="1">IF(
  $A17=M$1,
  IF( ROW(M17)=2, "+", IF(COUNTIF($B17:L17,"X")=0, "+", "-") ),
  IF(
    $A17&lt;M$1,
    "O",
    IF( OFFSET(M$1, COLUMN(M17)-1, 0)="-", "O", IF(MOD($A17, M$1)=0, "X", "O") )
  )
)</f>
        <v>O</v>
      </c>
      <c r="N17" s="45" t="str">
        <f ca="1">IF(
  $A17=N$1,
  IF( ROW(N17)=2, "+", IF(COUNTIF($B17:M17,"X")=0, "+", "-") ),
  IF(
    $A17&lt;N$1,
    "O",
    IF( OFFSET(N$1, COLUMN(N17)-1, 0)="-", "O", IF(MOD($A17, N$1)=0, "X", "O") )
  )
)</f>
        <v>O</v>
      </c>
      <c r="O17" s="45" t="str">
        <f ca="1">IF(
  $A17=O$1,
  IF( ROW(O17)=2, "+", IF(COUNTIF($B17:N17,"X")=0, "+", "-") ),
  IF(
    $A17&lt;O$1,
    "O",
    IF( OFFSET(O$1, COLUMN(O17)-1, 0)="-", "O", IF(MOD($A17, O$1)=0, "X", "O") )
  )
)</f>
        <v>O</v>
      </c>
      <c r="P17" s="45" t="str">
        <f ca="1">IF(
  $A17=P$1,
  IF( ROW(P17)=2, "+", IF(COUNTIF($B17:O17,"X")=0, "+", "-") ),
  IF(
    $A17&lt;P$1,
    "O",
    IF( OFFSET(P$1, COLUMN(P17)-1, 0)="-", "O", IF(MOD($A17, P$1)=0, "X", "O") )
  )
)</f>
        <v>O</v>
      </c>
      <c r="Q17" s="44" t="str">
        <f ca="1">IF(
  $A17=Q$1,
  IF( ROW(Q17)=2, "+", IF(COUNTIF($B17:P17,"X")=0, "+", "-") ),
  IF(
    $A17&lt;Q$1,
    "O",
    IF( OFFSET(Q$1, COLUMN(Q17)-1, 0)="-", "O", IF(MOD($A17, Q$1)=0, "X", "O") )
  )
)</f>
        <v>+</v>
      </c>
      <c r="R17" s="45" t="str">
        <f ca="1">IF(
  $A17=R$1,
  IF( ROW(R17)=2, "+", IF(COUNTIF($B17:Q17,"X")=0, "+", "-") ),
  IF(
    $A17&lt;R$1,
    "O",
    IF( OFFSET(R$1, COLUMN(R17)-1, 0)="-", "O", IF(MOD($A17, R$1)=0, "X", "O") )
  )
)</f>
        <v>O</v>
      </c>
      <c r="S17" s="45" t="str">
        <f ca="1">IF(
  $A17=S$1,
  IF( ROW(S17)=2, "+", IF(COUNTIF($B17:R17,"X")=0, "+", "-") ),
  IF(
    $A17&lt;S$1,
    "O",
    IF( OFFSET(S$1, COLUMN(S17)-1, 0)="-", "O", IF(MOD($A17, S$1)=0, "X", "O") )
  )
)</f>
        <v>O</v>
      </c>
      <c r="T17" s="45" t="str">
        <f ca="1">IF(
  $A17=T$1,
  IF( ROW(T17)=2, "+", IF(COUNTIF($B17:S17,"X")=0, "+", "-") ),
  IF(
    $A17&lt;T$1,
    "O",
    IF( OFFSET(T$1, COLUMN(T17)-1, 0)="-", "O", IF(MOD($A17, T$1)=0, "X", "O") )
  )
)</f>
        <v>O</v>
      </c>
      <c r="U17" s="45" t="str">
        <f ca="1">IF(
  $A17=U$1,
  IF( ROW(U17)=2, "+", IF(COUNTIF($B17:T17,"X")=0, "+", "-") ),
  IF(
    $A17&lt;U$1,
    "O",
    IF( OFFSET(U$1, COLUMN(U17)-1, 0)="-", "O", IF(MOD($A17, U$1)=0, "X", "O") )
  )
)</f>
        <v>O</v>
      </c>
      <c r="V17" s="45" t="str">
        <f ca="1">IF(
  $A17=V$1,
  IF( ROW(V17)=2, "+", IF(COUNTIF($B17:U17,"X")=0, "+", "-") ),
  IF(
    $A17&lt;V$1,
    "O",
    IF( OFFSET(V$1, COLUMN(V17)-1, 0)="-", "O", IF(MOD($A17, V$1)=0, "X", "O") )
  )
)</f>
        <v>O</v>
      </c>
      <c r="W17" s="45" t="str">
        <f ca="1">IF(
  $A17=W$1,
  IF( ROW(W17)=2, "+", IF(COUNTIF($B17:V17,"X")=0, "+", "-") ),
  IF(
    $A17&lt;W$1,
    "O",
    IF( OFFSET(W$1, COLUMN(W17)-1, 0)="-", "O", IF(MOD($A17, W$1)=0, "X", "O") )
  )
)</f>
        <v>O</v>
      </c>
      <c r="X17" s="45" t="str">
        <f ca="1">IF(
  $A17=X$1,
  IF( ROW(X17)=2, "+", IF(COUNTIF($B17:W17,"X")=0, "+", "-") ),
  IF(
    $A17&lt;X$1,
    "O",
    IF( OFFSET(X$1, COLUMN(X17)-1, 0)="-", "O", IF(MOD($A17, X$1)=0, "X", "O") )
  )
)</f>
        <v>O</v>
      </c>
      <c r="Y17" s="45" t="str">
        <f ca="1">IF(
  $A17=Y$1,
  IF( ROW(Y17)=2, "+", IF(COUNTIF($B17:X17,"X")=0, "+", "-") ),
  IF(
    $A17&lt;Y$1,
    "O",
    IF( OFFSET(Y$1, COLUMN(Y17)-1, 0)="-", "O", IF(MOD($A17, Y$1)=0, "X", "O") )
  )
)</f>
        <v>O</v>
      </c>
      <c r="Z17" s="45" t="str">
        <f ca="1">IF(
  $A17=Z$1,
  IF( ROW(Z17)=2, "+", IF(COUNTIF($B17:Y17,"X")=0, "+", "-") ),
  IF(
    $A17&lt;Z$1,
    "O",
    IF( OFFSET(Z$1, COLUMN(Z17)-1, 0)="-", "O", IF(MOD($A17, Z$1)=0, "X", "O") )
  )
)</f>
        <v>O</v>
      </c>
      <c r="AA17" s="45" t="str">
        <f ca="1">IF(
  $A17=AA$1,
  IF( ROW(AA17)=2, "+", IF(COUNTIF($B17:Z17,"X")=0, "+", "-") ),
  IF(
    $A17&lt;AA$1,
    "O",
    IF( OFFSET(AA$1, COLUMN(AA17)-1, 0)="-", "O", IF(MOD($A17, AA$1)=0, "X", "O") )
  )
)</f>
        <v>O</v>
      </c>
      <c r="AB17" s="45" t="str">
        <f ca="1">IF(
  $A17=AB$1,
  IF( ROW(AB17)=2, "+", IF(COUNTIF($B17:AA17,"X")=0, "+", "-") ),
  IF(
    $A17&lt;AB$1,
    "O",
    IF( OFFSET(AB$1, COLUMN(AB17)-1, 0)="-", "O", IF(MOD($A17, AB$1)=0, "X", "O") )
  )
)</f>
        <v>O</v>
      </c>
      <c r="AC17" s="45" t="str">
        <f ca="1">IF(
  $A17=AC$1,
  IF( ROW(AC17)=2, "+", IF(COUNTIF($B17:AB17,"X")=0, "+", "-") ),
  IF(
    $A17&lt;AC$1,
    "O",
    IF( OFFSET(AC$1, COLUMN(AC17)-1, 0)="-", "O", IF(MOD($A17, AC$1)=0, "X", "O") )
  )
)</f>
        <v>O</v>
      </c>
      <c r="AD17" s="45" t="str">
        <f ca="1">IF(
  $A17=AD$1,
  IF( ROW(AD17)=2, "+", IF(COUNTIF($B17:AC17,"X")=0, "+", "-") ),
  IF(
    $A17&lt;AD$1,
    "O",
    IF( OFFSET(AD$1, COLUMN(AD17)-1, 0)="-", "O", IF(MOD($A17, AD$1)=0, "X", "O") )
  )
)</f>
        <v>O</v>
      </c>
      <c r="AE17" s="45" t="str">
        <f ca="1">IF(
  $A17=AE$1,
  IF( ROW(AE17)=2, "+", IF(COUNTIF($B17:AD17,"X")=0, "+", "-") ),
  IF(
    $A17&lt;AE$1,
    "O",
    IF( OFFSET(AE$1, COLUMN(AE17)-1, 0)="-", "O", IF(MOD($A17, AE$1)=0, "X", "O") )
  )
)</f>
        <v>O</v>
      </c>
      <c r="AF17" s="45" t="str">
        <f ca="1">IF(
  $A17=AF$1,
  IF( ROW(AF17)=2, "+", IF(COUNTIF($B17:AE17,"X")=0, "+", "-") ),
  IF(
    $A17&lt;AF$1,
    "O",
    IF( OFFSET(AF$1, COLUMN(AF17)-1, 0)="-", "O", IF(MOD($A17, AF$1)=0, "X", "O") )
  )
)</f>
        <v>O</v>
      </c>
      <c r="AG17" s="45" t="str">
        <f ca="1">IF(
  $A17=AG$1,
  IF( ROW(AG17)=2, "+", IF(COUNTIF($B17:AF17,"X")=0, "+", "-") ),
  IF(
    $A17&lt;AG$1,
    "O",
    IF( OFFSET(AG$1, COLUMN(AG17)-1, 0)="-", "O", IF(MOD($A17, AG$1)=0, "X", "O") )
  )
)</f>
        <v>O</v>
      </c>
      <c r="AH17" s="45" t="str">
        <f ca="1">IF(
  $A17=AH$1,
  IF( ROW(AH17)=2, "+", IF(COUNTIF($B17:AG17,"X")=0, "+", "-") ),
  IF(
    $A17&lt;AH$1,
    "O",
    IF( OFFSET(AH$1, COLUMN(AH17)-1, 0)="-", "O", IF(MOD($A17, AH$1)=0, "X", "O") )
  )
)</f>
        <v>O</v>
      </c>
      <c r="AI17" s="45" t="str">
        <f ca="1">IF(
  $A17=AI$1,
  IF( ROW(AI17)=2, "+", IF(COUNTIF($B17:AH17,"X")=0, "+", "-") ),
  IF(
    $A17&lt;AI$1,
    "O",
    IF( OFFSET(AI$1, COLUMN(AI17)-1, 0)="-", "O", IF(MOD($A17, AI$1)=0, "X", "O") )
  )
)</f>
        <v>O</v>
      </c>
      <c r="AJ17" s="45" t="str">
        <f ca="1">IF(
  $A17=AJ$1,
  IF( ROW(AJ17)=2, "+", IF(COUNTIF($B17:AI17,"X")=0, "+", "-") ),
  IF(
    $A17&lt;AJ$1,
    "O",
    IF( OFFSET(AJ$1, COLUMN(AJ17)-1, 0)="-", "O", IF(MOD($A17, AJ$1)=0, "X", "O") )
  )
)</f>
        <v>O</v>
      </c>
      <c r="AK17" s="45" t="str">
        <f ca="1">IF(
  $A17=AK$1,
  IF( ROW(AK17)=2, "+", IF(COUNTIF($B17:AJ17,"X")=0, "+", "-") ),
  IF(
    $A17&lt;AK$1,
    "O",
    IF( OFFSET(AK$1, COLUMN(AK17)-1, 0)="-", "O", IF(MOD($A17, AK$1)=0, "X", "O") )
  )
)</f>
        <v>O</v>
      </c>
      <c r="AL17" s="45" t="str">
        <f ca="1">IF(
  $A17=AL$1,
  IF( ROW(AL17)=2, "+", IF(COUNTIF($B17:AK17,"X")=0, "+", "-") ),
  IF(
    $A17&lt;AL$1,
    "O",
    IF( OFFSET(AL$1, COLUMN(AL17)-1, 0)="-", "O", IF(MOD($A17, AL$1)=0, "X", "O") )
  )
)</f>
        <v>O</v>
      </c>
      <c r="AM17" s="45" t="str">
        <f ca="1">IF(
  $A17=AM$1,
  IF( ROW(AM17)=2, "+", IF(COUNTIF($B17:AL17,"X")=0, "+", "-") ),
  IF(
    $A17&lt;AM$1,
    "O",
    IF( OFFSET(AM$1, COLUMN(AM17)-1, 0)="-", "O", IF(MOD($A17, AM$1)=0, "X", "O") )
  )
)</f>
        <v>O</v>
      </c>
      <c r="AN17" s="45" t="str">
        <f ca="1">IF(
  $A17=AN$1,
  IF( ROW(AN17)=2, "+", IF(COUNTIF($B17:AM17,"X")=0, "+", "-") ),
  IF(
    $A17&lt;AN$1,
    "O",
    IF( OFFSET(AN$1, COLUMN(AN17)-1, 0)="-", "O", IF(MOD($A17, AN$1)=0, "X", "O") )
  )
)</f>
        <v>O</v>
      </c>
      <c r="AO17" s="45" t="str">
        <f ca="1">IF(
  $A17=AO$1,
  IF( ROW(AO17)=2, "+", IF(COUNTIF($B17:AN17,"X")=0, "+", "-") ),
  IF(
    $A17&lt;AO$1,
    "O",
    IF( OFFSET(AO$1, COLUMN(AO17)-1, 0)="-", "O", IF(MOD($A17, AO$1)=0, "X", "O") )
  )
)</f>
        <v>O</v>
      </c>
      <c r="AP17" s="45" t="str">
        <f ca="1">IF(
  $A17=AP$1,
  IF( ROW(AP17)=2, "+", IF(COUNTIF($B17:AO17,"X")=0, "+", "-") ),
  IF(
    $A17&lt;AP$1,
    "O",
    IF( OFFSET(AP$1, COLUMN(AP17)-1, 0)="-", "O", IF(MOD($A17, AP$1)=0, "X", "O") )
  )
)</f>
        <v>O</v>
      </c>
      <c r="AQ17" s="45" t="str">
        <f ca="1">IF(
  $A17=AQ$1,
  IF( ROW(AQ17)=2, "+", IF(COUNTIF($B17:AP17,"X")=0, "+", "-") ),
  IF(
    $A17&lt;AQ$1,
    "O",
    IF( OFFSET(AQ$1, COLUMN(AQ17)-1, 0)="-", "O", IF(MOD($A17, AQ$1)=0, "X", "O") )
  )
)</f>
        <v>O</v>
      </c>
      <c r="AR17" s="45" t="str">
        <f ca="1">IF(
  $A17=AR$1,
  IF( ROW(AR17)=2, "+", IF(COUNTIF($B17:AQ17,"X")=0, "+", "-") ),
  IF(
    $A17&lt;AR$1,
    "O",
    IF( OFFSET(AR$1, COLUMN(AR17)-1, 0)="-", "O", IF(MOD($A17, AR$1)=0, "X", "O") )
  )
)</f>
        <v>O</v>
      </c>
      <c r="AS17" s="45" t="str">
        <f ca="1">IF(
  $A17=AS$1,
  IF( ROW(AS17)=2, "+", IF(COUNTIF($B17:AR17,"X")=0, "+", "-") ),
  IF(
    $A17&lt;AS$1,
    "O",
    IF( OFFSET(AS$1, COLUMN(AS17)-1, 0)="-", "O", IF(MOD($A17, AS$1)=0, "X", "O") )
  )
)</f>
        <v>O</v>
      </c>
      <c r="AT17" s="45" t="str">
        <f ca="1">IF(
  $A17=AT$1,
  IF( ROW(AT17)=2, "+", IF(COUNTIF($B17:AS17,"X")=0, "+", "-") ),
  IF(
    $A17&lt;AT$1,
    "O",
    IF( OFFSET(AT$1, COLUMN(AT17)-1, 0)="-", "O", IF(MOD($A17, AT$1)=0, "X", "O") )
  )
)</f>
        <v>O</v>
      </c>
      <c r="AU17" s="45" t="str">
        <f ca="1">IF(
  $A17=AU$1,
  IF( ROW(AU17)=2, "+", IF(COUNTIF($B17:AT17,"X")=0, "+", "-") ),
  IF(
    $A17&lt;AU$1,
    "O",
    IF( OFFSET(AU$1, COLUMN(AU17)-1, 0)="-", "O", IF(MOD($A17, AU$1)=0, "X", "O") )
  )
)</f>
        <v>O</v>
      </c>
      <c r="AV17" s="45" t="str">
        <f ca="1">IF(
  $A17=AV$1,
  IF( ROW(AV17)=2, "+", IF(COUNTIF($B17:AU17,"X")=0, "+", "-") ),
  IF(
    $A17&lt;AV$1,
    "O",
    IF( OFFSET(AV$1, COLUMN(AV17)-1, 0)="-", "O", IF(MOD($A17, AV$1)=0, "X", "O") )
  )
)</f>
        <v>O</v>
      </c>
      <c r="AW17" s="45" t="str">
        <f ca="1">IF(
  $A17=AW$1,
  IF( ROW(AW17)=2, "+", IF(COUNTIF($B17:AV17,"X")=0, "+", "-") ),
  IF(
    $A17&lt;AW$1,
    "O",
    IF( OFFSET(AW$1, COLUMN(AW17)-1, 0)="-", "O", IF(MOD($A17, AW$1)=0, "X", "O") )
  )
)</f>
        <v>O</v>
      </c>
      <c r="AX17" s="45" t="str">
        <f ca="1">IF(
  $A17=AX$1,
  IF( ROW(AX17)=2, "+", IF(COUNTIF($B17:AW17,"X")=0, "+", "-") ),
  IF(
    $A17&lt;AX$1,
    "O",
    IF( OFFSET(AX$1, COLUMN(AX17)-1, 0)="-", "O", IF(MOD($A17, AX$1)=0, "X", "O") )
  )
)</f>
        <v>O</v>
      </c>
      <c r="AY17" s="45" t="str">
        <f ca="1">IF(
  $A17=AY$1,
  IF( ROW(AY17)=2, "+", IF(COUNTIF($B17:AX17,"X")=0, "+", "-") ),
  IF(
    $A17&lt;AY$1,
    "O",
    IF( OFFSET(AY$1, COLUMN(AY17)-1, 0)="-", "O", IF(MOD($A17, AY$1)=0, "X", "O") )
  )
)</f>
        <v>O</v>
      </c>
      <c r="AZ17" s="45" t="str">
        <f ca="1">IF(
  $A17=AZ$1,
  IF( ROW(AZ17)=2, "+", IF(COUNTIF($B17:AY17,"X")=0, "+", "-") ),
  IF(
    $A17&lt;AZ$1,
    "O",
    IF( OFFSET(AZ$1, COLUMN(AZ17)-1, 0)="-", "O", IF(MOD($A17, AZ$1)=0, "X", "O") )
  )
)</f>
        <v>O</v>
      </c>
      <c r="BA17" s="45" t="str">
        <f ca="1">IF(
  $A17=BA$1,
  IF( ROW(BA17)=2, "+", IF(COUNTIF($B17:AZ17,"X")=0, "+", "-") ),
  IF(
    $A17&lt;BA$1,
    "O",
    IF( OFFSET(BA$1, COLUMN(BA17)-1, 0)="-", "O", IF(MOD($A17, BA$1)=0, "X", "O") )
  )
)</f>
        <v>O</v>
      </c>
      <c r="BB17" s="45" t="str">
        <f ca="1">IF(
  $A17=BB$1,
  IF( ROW(BB17)=2, "+", IF(COUNTIF($B17:BA17,"X")=0, "+", "-") ),
  IF(
    $A17&lt;BB$1,
    "O",
    IF( OFFSET(BB$1, COLUMN(BB17)-1, 0)="-", "O", IF(MOD($A17, BB$1)=0, "X", "O") )
  )
)</f>
        <v>O</v>
      </c>
      <c r="BC17" s="45" t="str">
        <f ca="1">IF(
  $A17=BC$1,
  IF( ROW(BC17)=2, "+", IF(COUNTIF($B17:BB17,"X")=0, "+", "-") ),
  IF(
    $A17&lt;BC$1,
    "O",
    IF( OFFSET(BC$1, COLUMN(BC17)-1, 0)="-", "O", IF(MOD($A17, BC$1)=0, "X", "O") )
  )
)</f>
        <v>O</v>
      </c>
      <c r="BD17" s="45" t="str">
        <f ca="1">IF(
  $A17=BD$1,
  IF( ROW(BD17)=2, "+", IF(COUNTIF($B17:BC17,"X")=0, "+", "-") ),
  IF(
    $A17&lt;BD$1,
    "O",
    IF( OFFSET(BD$1, COLUMN(BD17)-1, 0)="-", "O", IF(MOD($A17, BD$1)=0, "X", "O") )
  )
)</f>
        <v>O</v>
      </c>
      <c r="BE17" s="45" t="str">
        <f ca="1">IF(
  $A17=BE$1,
  IF( ROW(BE17)=2, "+", IF(COUNTIF($B17:BD17,"X")=0, "+", "-") ),
  IF(
    $A17&lt;BE$1,
    "O",
    IF( OFFSET(BE$1, COLUMN(BE17)-1, 0)="-", "O", IF(MOD($A17, BE$1)=0, "X", "O") )
  )
)</f>
        <v>O</v>
      </c>
      <c r="BF17" s="45" t="str">
        <f ca="1">IF(
  $A17=BF$1,
  IF( ROW(BF17)=2, "+", IF(COUNTIF($B17:BE17,"X")=0, "+", "-") ),
  IF(
    $A17&lt;BF$1,
    "O",
    IF( OFFSET(BF$1, COLUMN(BF17)-1, 0)="-", "O", IF(MOD($A17, BF$1)=0, "X", "O") )
  )
)</f>
        <v>O</v>
      </c>
      <c r="BG17" s="45" t="str">
        <f ca="1">IF(
  $A17=BG$1,
  IF( ROW(BG17)=2, "+", IF(COUNTIF($B17:BF17,"X")=0, "+", "-") ),
  IF(
    $A17&lt;BG$1,
    "O",
    IF( OFFSET(BG$1, COLUMN(BG17)-1, 0)="-", "O", IF(MOD($A17, BG$1)=0, "X", "O") )
  )
)</f>
        <v>O</v>
      </c>
      <c r="BH17" s="45" t="str">
        <f ca="1">IF(
  $A17=BH$1,
  IF( ROW(BH17)=2, "+", IF(COUNTIF($B17:BG17,"X")=0, "+", "-") ),
  IF(
    $A17&lt;BH$1,
    "O",
    IF( OFFSET(BH$1, COLUMN(BH17)-1, 0)="-", "O", IF(MOD($A17, BH$1)=0, "X", "O") )
  )
)</f>
        <v>O</v>
      </c>
    </row>
    <row r="18" spans="1:60" s="46" customFormat="1" x14ac:dyDescent="0.25">
      <c r="A18">
        <v>18</v>
      </c>
      <c r="B18" s="44" t="str">
        <f ca="1">IF(
  $A18=B$1,
  IF( ROW(B18)=2, "+", IF(COUNTIF(A18:$B18,"X")=0, "+", "-") ),
  IF(
    $A18&lt;B$1,
    "O",
    IF( OFFSET(B$1, COLUMN(B18)-1, 0)="-", "O", IF(MOD($A18, B$1)=0, "X", "O") )
  )
)</f>
        <v>X</v>
      </c>
      <c r="C18" s="44" t="str">
        <f ca="1">IF(
  $A18=C$1,
  IF( ROW(C18)=2, "+", IF(COUNTIF(B18:$B18,"X")=0, "+", "-") ),
  IF(
    $A18&lt;C$1,
    "O",
    IF( OFFSET(C$1, COLUMN(C18)-1, 0)="-", "O", IF(MOD($A18, C$1)=0, "X", "O") )
  )
)</f>
        <v>X</v>
      </c>
      <c r="D18" s="45" t="str">
        <f ca="1">IF(
  $A18=D$1,
  IF( ROW(D18)=2, "+", IF(COUNTIF($B18:C18,"X")=0, "+", "-") ),
  IF(
    $A18&lt;D$1,
    "O",
    IF( OFFSET(D$1, COLUMN(D18)-1, 0)="-", "O", IF(MOD($A18, D$1)=0, "X", "O") )
  )
)</f>
        <v>O</v>
      </c>
      <c r="E18" s="44" t="str">
        <f ca="1">IF(
  $A18=E$1,
  IF( ROW(E18)=2, "+", IF(COUNTIF($B18:D18,"X")=0, "+", "-") ),
  IF(
    $A18&lt;E$1,
    "O",
    IF( OFFSET(E$1, COLUMN(E18)-1, 0)="-", "O", IF(MOD($A18, E$1)=0, "X", "O") )
  )
)</f>
        <v>O</v>
      </c>
      <c r="F18" s="45" t="str">
        <f ca="1">IF(
  $A18=F$1,
  IF( ROW(F18)=2, "+", IF(COUNTIF($B18:E18,"X")=0, "+", "-") ),
  IF(
    $A18&lt;F$1,
    "O",
    IF( OFFSET(F$1, COLUMN(F18)-1, 0)="-", "O", IF(MOD($A18, F$1)=0, "X", "O") )
  )
)</f>
        <v>O</v>
      </c>
      <c r="G18" s="44" t="str">
        <f ca="1">IF(
  $A18=G$1,
  IF( ROW(G18)=2, "+", IF(COUNTIF($B18:F18,"X")=0, "+", "-") ),
  IF(
    $A18&lt;G$1,
    "O",
    IF( OFFSET(G$1, COLUMN(G18)-1, 0)="-", "O", IF(MOD($A18, G$1)=0, "X", "O") )
  )
)</f>
        <v>O</v>
      </c>
      <c r="H18" s="45" t="str">
        <f ca="1">IF(
  $A18=H$1,
  IF( ROW(H18)=2, "+", IF(COUNTIF($B18:G18,"X")=0, "+", "-") ),
  IF(
    $A18&lt;H$1,
    "O",
    IF( OFFSET(H$1, COLUMN(H18)-1, 0)="-", "O", IF(MOD($A18, H$1)=0, "X", "O") )
  )
)</f>
        <v>O</v>
      </c>
      <c r="I18" s="45" t="str">
        <f ca="1">IF(
  $A18=I$1,
  IF( ROW(I18)=2, "+", IF(COUNTIF($B18:H18,"X")=0, "+", "-") ),
  IF(
    $A18&lt;I$1,
    "O",
    IF( OFFSET(I$1, COLUMN(I18)-1, 0)="-", "O", IF(MOD($A18, I$1)=0, "X", "O") )
  )
)</f>
        <v>O</v>
      </c>
      <c r="J18" s="45" t="str">
        <f ca="1">IF(
  $A18=J$1,
  IF( ROW(J18)=2, "+", IF(COUNTIF($B18:I18,"X")=0, "+", "-") ),
  IF(
    $A18&lt;J$1,
    "O",
    IF( OFFSET(J$1, COLUMN(J18)-1, 0)="-", "O", IF(MOD($A18, J$1)=0, "X", "O") )
  )
)</f>
        <v>O</v>
      </c>
      <c r="K18" s="44" t="str">
        <f ca="1">IF(
  $A18=K$1,
  IF( ROW(K18)=2, "+", IF(COUNTIF($B18:J18,"X")=0, "+", "-") ),
  IF(
    $A18&lt;K$1,
    "O",
    IF( OFFSET(K$1, COLUMN(K18)-1, 0)="-", "O", IF(MOD($A18, K$1)=0, "X", "O") )
  )
)</f>
        <v>O</v>
      </c>
      <c r="L18" s="45" t="str">
        <f ca="1">IF(
  $A18=L$1,
  IF( ROW(L18)=2, "+", IF(COUNTIF($B18:K18,"X")=0, "+", "-") ),
  IF(
    $A18&lt;L$1,
    "O",
    IF( OFFSET(L$1, COLUMN(L18)-1, 0)="-", "O", IF(MOD($A18, L$1)=0, "X", "O") )
  )
)</f>
        <v>O</v>
      </c>
      <c r="M18" s="44" t="str">
        <f ca="1">IF(
  $A18=M$1,
  IF( ROW(M18)=2, "+", IF(COUNTIF($B18:L18,"X")=0, "+", "-") ),
  IF(
    $A18&lt;M$1,
    "O",
    IF( OFFSET(M$1, COLUMN(M18)-1, 0)="-", "O", IF(MOD($A18, M$1)=0, "X", "O") )
  )
)</f>
        <v>O</v>
      </c>
      <c r="N18" s="45" t="str">
        <f ca="1">IF(
  $A18=N$1,
  IF( ROW(N18)=2, "+", IF(COUNTIF($B18:M18,"X")=0, "+", "-") ),
  IF(
    $A18&lt;N$1,
    "O",
    IF( OFFSET(N$1, COLUMN(N18)-1, 0)="-", "O", IF(MOD($A18, N$1)=0, "X", "O") )
  )
)</f>
        <v>O</v>
      </c>
      <c r="O18" s="45" t="str">
        <f ca="1">IF(
  $A18=O$1,
  IF( ROW(O18)=2, "+", IF(COUNTIF($B18:N18,"X")=0, "+", "-") ),
  IF(
    $A18&lt;O$1,
    "O",
    IF( OFFSET(O$1, COLUMN(O18)-1, 0)="-", "O", IF(MOD($A18, O$1)=0, "X", "O") )
  )
)</f>
        <v>O</v>
      </c>
      <c r="P18" s="45" t="str">
        <f ca="1">IF(
  $A18=P$1,
  IF( ROW(P18)=2, "+", IF(COUNTIF($B18:O18,"X")=0, "+", "-") ),
  IF(
    $A18&lt;P$1,
    "O",
    IF( OFFSET(P$1, COLUMN(P18)-1, 0)="-", "O", IF(MOD($A18, P$1)=0, "X", "O") )
  )
)</f>
        <v>O</v>
      </c>
      <c r="Q18" s="44" t="str">
        <f ca="1">IF(
  $A18=Q$1,
  IF( ROW(Q18)=2, "+", IF(COUNTIF($B18:P18,"X")=0, "+", "-") ),
  IF(
    $A18&lt;Q$1,
    "O",
    IF( OFFSET(Q$1, COLUMN(Q18)-1, 0)="-", "O", IF(MOD($A18, Q$1)=0, "X", "O") )
  )
)</f>
        <v>O</v>
      </c>
      <c r="R18" s="45" t="str">
        <f ca="1">IF(
  $A18=R$1,
  IF( ROW(R18)=2, "+", IF(COUNTIF($B18:Q18,"X")=0, "+", "-") ),
  IF(
    $A18&lt;R$1,
    "O",
    IF( OFFSET(R$1, COLUMN(R18)-1, 0)="-", "O", IF(MOD($A18, R$1)=0, "X", "O") )
  )
)</f>
        <v>-</v>
      </c>
      <c r="S18" s="45" t="str">
        <f ca="1">IF(
  $A18=S$1,
  IF( ROW(S18)=2, "+", IF(COUNTIF($B18:R18,"X")=0, "+", "-") ),
  IF(
    $A18&lt;S$1,
    "O",
    IF( OFFSET(S$1, COLUMN(S18)-1, 0)="-", "O", IF(MOD($A18, S$1)=0, "X", "O") )
  )
)</f>
        <v>O</v>
      </c>
      <c r="T18" s="45" t="str">
        <f ca="1">IF(
  $A18=T$1,
  IF( ROW(T18)=2, "+", IF(COUNTIF($B18:S18,"X")=0, "+", "-") ),
  IF(
    $A18&lt;T$1,
    "O",
    IF( OFFSET(T$1, COLUMN(T18)-1, 0)="-", "O", IF(MOD($A18, T$1)=0, "X", "O") )
  )
)</f>
        <v>O</v>
      </c>
      <c r="U18" s="45" t="str">
        <f ca="1">IF(
  $A18=U$1,
  IF( ROW(U18)=2, "+", IF(COUNTIF($B18:T18,"X")=0, "+", "-") ),
  IF(
    $A18&lt;U$1,
    "O",
    IF( OFFSET(U$1, COLUMN(U18)-1, 0)="-", "O", IF(MOD($A18, U$1)=0, "X", "O") )
  )
)</f>
        <v>O</v>
      </c>
      <c r="V18" s="45" t="str">
        <f ca="1">IF(
  $A18=V$1,
  IF( ROW(V18)=2, "+", IF(COUNTIF($B18:U18,"X")=0, "+", "-") ),
  IF(
    $A18&lt;V$1,
    "O",
    IF( OFFSET(V$1, COLUMN(V18)-1, 0)="-", "O", IF(MOD($A18, V$1)=0, "X", "O") )
  )
)</f>
        <v>O</v>
      </c>
      <c r="W18" s="45" t="str">
        <f ca="1">IF(
  $A18=W$1,
  IF( ROW(W18)=2, "+", IF(COUNTIF($B18:V18,"X")=0, "+", "-") ),
  IF(
    $A18&lt;W$1,
    "O",
    IF( OFFSET(W$1, COLUMN(W18)-1, 0)="-", "O", IF(MOD($A18, W$1)=0, "X", "O") )
  )
)</f>
        <v>O</v>
      </c>
      <c r="X18" s="45" t="str">
        <f ca="1">IF(
  $A18=X$1,
  IF( ROW(X18)=2, "+", IF(COUNTIF($B18:W18,"X")=0, "+", "-") ),
  IF(
    $A18&lt;X$1,
    "O",
    IF( OFFSET(X$1, COLUMN(X18)-1, 0)="-", "O", IF(MOD($A18, X$1)=0, "X", "O") )
  )
)</f>
        <v>O</v>
      </c>
      <c r="Y18" s="45" t="str">
        <f ca="1">IF(
  $A18=Y$1,
  IF( ROW(Y18)=2, "+", IF(COUNTIF($B18:X18,"X")=0, "+", "-") ),
  IF(
    $A18&lt;Y$1,
    "O",
    IF( OFFSET(Y$1, COLUMN(Y18)-1, 0)="-", "O", IF(MOD($A18, Y$1)=0, "X", "O") )
  )
)</f>
        <v>O</v>
      </c>
      <c r="Z18" s="45" t="str">
        <f ca="1">IF(
  $A18=Z$1,
  IF( ROW(Z18)=2, "+", IF(COUNTIF($B18:Y18,"X")=0, "+", "-") ),
  IF(
    $A18&lt;Z$1,
    "O",
    IF( OFFSET(Z$1, COLUMN(Z18)-1, 0)="-", "O", IF(MOD($A18, Z$1)=0, "X", "O") )
  )
)</f>
        <v>O</v>
      </c>
      <c r="AA18" s="45" t="str">
        <f ca="1">IF(
  $A18=AA$1,
  IF( ROW(AA18)=2, "+", IF(COUNTIF($B18:Z18,"X")=0, "+", "-") ),
  IF(
    $A18&lt;AA$1,
    "O",
    IF( OFFSET(AA$1, COLUMN(AA18)-1, 0)="-", "O", IF(MOD($A18, AA$1)=0, "X", "O") )
  )
)</f>
        <v>O</v>
      </c>
      <c r="AB18" s="45" t="str">
        <f ca="1">IF(
  $A18=AB$1,
  IF( ROW(AB18)=2, "+", IF(COUNTIF($B18:AA18,"X")=0, "+", "-") ),
  IF(
    $A18&lt;AB$1,
    "O",
    IF( OFFSET(AB$1, COLUMN(AB18)-1, 0)="-", "O", IF(MOD($A18, AB$1)=0, "X", "O") )
  )
)</f>
        <v>O</v>
      </c>
      <c r="AC18" s="45" t="str">
        <f ca="1">IF(
  $A18=AC$1,
  IF( ROW(AC18)=2, "+", IF(COUNTIF($B18:AB18,"X")=0, "+", "-") ),
  IF(
    $A18&lt;AC$1,
    "O",
    IF( OFFSET(AC$1, COLUMN(AC18)-1, 0)="-", "O", IF(MOD($A18, AC$1)=0, "X", "O") )
  )
)</f>
        <v>O</v>
      </c>
      <c r="AD18" s="45" t="str">
        <f ca="1">IF(
  $A18=AD$1,
  IF( ROW(AD18)=2, "+", IF(COUNTIF($B18:AC18,"X")=0, "+", "-") ),
  IF(
    $A18&lt;AD$1,
    "O",
    IF( OFFSET(AD$1, COLUMN(AD18)-1, 0)="-", "O", IF(MOD($A18, AD$1)=0, "X", "O") )
  )
)</f>
        <v>O</v>
      </c>
      <c r="AE18" s="45" t="str">
        <f ca="1">IF(
  $A18=AE$1,
  IF( ROW(AE18)=2, "+", IF(COUNTIF($B18:AD18,"X")=0, "+", "-") ),
  IF(
    $A18&lt;AE$1,
    "O",
    IF( OFFSET(AE$1, COLUMN(AE18)-1, 0)="-", "O", IF(MOD($A18, AE$1)=0, "X", "O") )
  )
)</f>
        <v>O</v>
      </c>
      <c r="AF18" s="45" t="str">
        <f ca="1">IF(
  $A18=AF$1,
  IF( ROW(AF18)=2, "+", IF(COUNTIF($B18:AE18,"X")=0, "+", "-") ),
  IF(
    $A18&lt;AF$1,
    "O",
    IF( OFFSET(AF$1, COLUMN(AF18)-1, 0)="-", "O", IF(MOD($A18, AF$1)=0, "X", "O") )
  )
)</f>
        <v>O</v>
      </c>
      <c r="AG18" s="45" t="str">
        <f ca="1">IF(
  $A18=AG$1,
  IF( ROW(AG18)=2, "+", IF(COUNTIF($B18:AF18,"X")=0, "+", "-") ),
  IF(
    $A18&lt;AG$1,
    "O",
    IF( OFFSET(AG$1, COLUMN(AG18)-1, 0)="-", "O", IF(MOD($A18, AG$1)=0, "X", "O") )
  )
)</f>
        <v>O</v>
      </c>
      <c r="AH18" s="45" t="str">
        <f ca="1">IF(
  $A18=AH$1,
  IF( ROW(AH18)=2, "+", IF(COUNTIF($B18:AG18,"X")=0, "+", "-") ),
  IF(
    $A18&lt;AH$1,
    "O",
    IF( OFFSET(AH$1, COLUMN(AH18)-1, 0)="-", "O", IF(MOD($A18, AH$1)=0, "X", "O") )
  )
)</f>
        <v>O</v>
      </c>
      <c r="AI18" s="45" t="str">
        <f ca="1">IF(
  $A18=AI$1,
  IF( ROW(AI18)=2, "+", IF(COUNTIF($B18:AH18,"X")=0, "+", "-") ),
  IF(
    $A18&lt;AI$1,
    "O",
    IF( OFFSET(AI$1, COLUMN(AI18)-1, 0)="-", "O", IF(MOD($A18, AI$1)=0, "X", "O") )
  )
)</f>
        <v>O</v>
      </c>
      <c r="AJ18" s="45" t="str">
        <f ca="1">IF(
  $A18=AJ$1,
  IF( ROW(AJ18)=2, "+", IF(COUNTIF($B18:AI18,"X")=0, "+", "-") ),
  IF(
    $A18&lt;AJ$1,
    "O",
    IF( OFFSET(AJ$1, COLUMN(AJ18)-1, 0)="-", "O", IF(MOD($A18, AJ$1)=0, "X", "O") )
  )
)</f>
        <v>O</v>
      </c>
      <c r="AK18" s="45" t="str">
        <f ca="1">IF(
  $A18=AK$1,
  IF( ROW(AK18)=2, "+", IF(COUNTIF($B18:AJ18,"X")=0, "+", "-") ),
  IF(
    $A18&lt;AK$1,
    "O",
    IF( OFFSET(AK$1, COLUMN(AK18)-1, 0)="-", "O", IF(MOD($A18, AK$1)=0, "X", "O") )
  )
)</f>
        <v>O</v>
      </c>
      <c r="AL18" s="45" t="str">
        <f ca="1">IF(
  $A18=AL$1,
  IF( ROW(AL18)=2, "+", IF(COUNTIF($B18:AK18,"X")=0, "+", "-") ),
  IF(
    $A18&lt;AL$1,
    "O",
    IF( OFFSET(AL$1, COLUMN(AL18)-1, 0)="-", "O", IF(MOD($A18, AL$1)=0, "X", "O") )
  )
)</f>
        <v>O</v>
      </c>
      <c r="AM18" s="45" t="str">
        <f ca="1">IF(
  $A18=AM$1,
  IF( ROW(AM18)=2, "+", IF(COUNTIF($B18:AL18,"X")=0, "+", "-") ),
  IF(
    $A18&lt;AM$1,
    "O",
    IF( OFFSET(AM$1, COLUMN(AM18)-1, 0)="-", "O", IF(MOD($A18, AM$1)=0, "X", "O") )
  )
)</f>
        <v>O</v>
      </c>
      <c r="AN18" s="45" t="str">
        <f ca="1">IF(
  $A18=AN$1,
  IF( ROW(AN18)=2, "+", IF(COUNTIF($B18:AM18,"X")=0, "+", "-") ),
  IF(
    $A18&lt;AN$1,
    "O",
    IF( OFFSET(AN$1, COLUMN(AN18)-1, 0)="-", "O", IF(MOD($A18, AN$1)=0, "X", "O") )
  )
)</f>
        <v>O</v>
      </c>
      <c r="AO18" s="45" t="str">
        <f ca="1">IF(
  $A18=AO$1,
  IF( ROW(AO18)=2, "+", IF(COUNTIF($B18:AN18,"X")=0, "+", "-") ),
  IF(
    $A18&lt;AO$1,
    "O",
    IF( OFFSET(AO$1, COLUMN(AO18)-1, 0)="-", "O", IF(MOD($A18, AO$1)=0, "X", "O") )
  )
)</f>
        <v>O</v>
      </c>
      <c r="AP18" s="45" t="str">
        <f ca="1">IF(
  $A18=AP$1,
  IF( ROW(AP18)=2, "+", IF(COUNTIF($B18:AO18,"X")=0, "+", "-") ),
  IF(
    $A18&lt;AP$1,
    "O",
    IF( OFFSET(AP$1, COLUMN(AP18)-1, 0)="-", "O", IF(MOD($A18, AP$1)=0, "X", "O") )
  )
)</f>
        <v>O</v>
      </c>
      <c r="AQ18" s="45" t="str">
        <f ca="1">IF(
  $A18=AQ$1,
  IF( ROW(AQ18)=2, "+", IF(COUNTIF($B18:AP18,"X")=0, "+", "-") ),
  IF(
    $A18&lt;AQ$1,
    "O",
    IF( OFFSET(AQ$1, COLUMN(AQ18)-1, 0)="-", "O", IF(MOD($A18, AQ$1)=0, "X", "O") )
  )
)</f>
        <v>O</v>
      </c>
      <c r="AR18" s="45" t="str">
        <f ca="1">IF(
  $A18=AR$1,
  IF( ROW(AR18)=2, "+", IF(COUNTIF($B18:AQ18,"X")=0, "+", "-") ),
  IF(
    $A18&lt;AR$1,
    "O",
    IF( OFFSET(AR$1, COLUMN(AR18)-1, 0)="-", "O", IF(MOD($A18, AR$1)=0, "X", "O") )
  )
)</f>
        <v>O</v>
      </c>
      <c r="AS18" s="45" t="str">
        <f ca="1">IF(
  $A18=AS$1,
  IF( ROW(AS18)=2, "+", IF(COUNTIF($B18:AR18,"X")=0, "+", "-") ),
  IF(
    $A18&lt;AS$1,
    "O",
    IF( OFFSET(AS$1, COLUMN(AS18)-1, 0)="-", "O", IF(MOD($A18, AS$1)=0, "X", "O") )
  )
)</f>
        <v>O</v>
      </c>
      <c r="AT18" s="45" t="str">
        <f ca="1">IF(
  $A18=AT$1,
  IF( ROW(AT18)=2, "+", IF(COUNTIF($B18:AS18,"X")=0, "+", "-") ),
  IF(
    $A18&lt;AT$1,
    "O",
    IF( OFFSET(AT$1, COLUMN(AT18)-1, 0)="-", "O", IF(MOD($A18, AT$1)=0, "X", "O") )
  )
)</f>
        <v>O</v>
      </c>
      <c r="AU18" s="45" t="str">
        <f ca="1">IF(
  $A18=AU$1,
  IF( ROW(AU18)=2, "+", IF(COUNTIF($B18:AT18,"X")=0, "+", "-") ),
  IF(
    $A18&lt;AU$1,
    "O",
    IF( OFFSET(AU$1, COLUMN(AU18)-1, 0)="-", "O", IF(MOD($A18, AU$1)=0, "X", "O") )
  )
)</f>
        <v>O</v>
      </c>
      <c r="AV18" s="45" t="str">
        <f ca="1">IF(
  $A18=AV$1,
  IF( ROW(AV18)=2, "+", IF(COUNTIF($B18:AU18,"X")=0, "+", "-") ),
  IF(
    $A18&lt;AV$1,
    "O",
    IF( OFFSET(AV$1, COLUMN(AV18)-1, 0)="-", "O", IF(MOD($A18, AV$1)=0, "X", "O") )
  )
)</f>
        <v>O</v>
      </c>
      <c r="AW18" s="45" t="str">
        <f ca="1">IF(
  $A18=AW$1,
  IF( ROW(AW18)=2, "+", IF(COUNTIF($B18:AV18,"X")=0, "+", "-") ),
  IF(
    $A18&lt;AW$1,
    "O",
    IF( OFFSET(AW$1, COLUMN(AW18)-1, 0)="-", "O", IF(MOD($A18, AW$1)=0, "X", "O") )
  )
)</f>
        <v>O</v>
      </c>
      <c r="AX18" s="45" t="str">
        <f ca="1">IF(
  $A18=AX$1,
  IF( ROW(AX18)=2, "+", IF(COUNTIF($B18:AW18,"X")=0, "+", "-") ),
  IF(
    $A18&lt;AX$1,
    "O",
    IF( OFFSET(AX$1, COLUMN(AX18)-1, 0)="-", "O", IF(MOD($A18, AX$1)=0, "X", "O") )
  )
)</f>
        <v>O</v>
      </c>
      <c r="AY18" s="45" t="str">
        <f ca="1">IF(
  $A18=AY$1,
  IF( ROW(AY18)=2, "+", IF(COUNTIF($B18:AX18,"X")=0, "+", "-") ),
  IF(
    $A18&lt;AY$1,
    "O",
    IF( OFFSET(AY$1, COLUMN(AY18)-1, 0)="-", "O", IF(MOD($A18, AY$1)=0, "X", "O") )
  )
)</f>
        <v>O</v>
      </c>
      <c r="AZ18" s="45" t="str">
        <f ca="1">IF(
  $A18=AZ$1,
  IF( ROW(AZ18)=2, "+", IF(COUNTIF($B18:AY18,"X")=0, "+", "-") ),
  IF(
    $A18&lt;AZ$1,
    "O",
    IF( OFFSET(AZ$1, COLUMN(AZ18)-1, 0)="-", "O", IF(MOD($A18, AZ$1)=0, "X", "O") )
  )
)</f>
        <v>O</v>
      </c>
      <c r="BA18" s="45" t="str">
        <f ca="1">IF(
  $A18=BA$1,
  IF( ROW(BA18)=2, "+", IF(COUNTIF($B18:AZ18,"X")=0, "+", "-") ),
  IF(
    $A18&lt;BA$1,
    "O",
    IF( OFFSET(BA$1, COLUMN(BA18)-1, 0)="-", "O", IF(MOD($A18, BA$1)=0, "X", "O") )
  )
)</f>
        <v>O</v>
      </c>
      <c r="BB18" s="45" t="str">
        <f ca="1">IF(
  $A18=BB$1,
  IF( ROW(BB18)=2, "+", IF(COUNTIF($B18:BA18,"X")=0, "+", "-") ),
  IF(
    $A18&lt;BB$1,
    "O",
    IF( OFFSET(BB$1, COLUMN(BB18)-1, 0)="-", "O", IF(MOD($A18, BB$1)=0, "X", "O") )
  )
)</f>
        <v>O</v>
      </c>
      <c r="BC18" s="45" t="str">
        <f ca="1">IF(
  $A18=BC$1,
  IF( ROW(BC18)=2, "+", IF(COUNTIF($B18:BB18,"X")=0, "+", "-") ),
  IF(
    $A18&lt;BC$1,
    "O",
    IF( OFFSET(BC$1, COLUMN(BC18)-1, 0)="-", "O", IF(MOD($A18, BC$1)=0, "X", "O") )
  )
)</f>
        <v>O</v>
      </c>
      <c r="BD18" s="45" t="str">
        <f ca="1">IF(
  $A18=BD$1,
  IF( ROW(BD18)=2, "+", IF(COUNTIF($B18:BC18,"X")=0, "+", "-") ),
  IF(
    $A18&lt;BD$1,
    "O",
    IF( OFFSET(BD$1, COLUMN(BD18)-1, 0)="-", "O", IF(MOD($A18, BD$1)=0, "X", "O") )
  )
)</f>
        <v>O</v>
      </c>
      <c r="BE18" s="45" t="str">
        <f ca="1">IF(
  $A18=BE$1,
  IF( ROW(BE18)=2, "+", IF(COUNTIF($B18:BD18,"X")=0, "+", "-") ),
  IF(
    $A18&lt;BE$1,
    "O",
    IF( OFFSET(BE$1, COLUMN(BE18)-1, 0)="-", "O", IF(MOD($A18, BE$1)=0, "X", "O") )
  )
)</f>
        <v>O</v>
      </c>
      <c r="BF18" s="45" t="str">
        <f ca="1">IF(
  $A18=BF$1,
  IF( ROW(BF18)=2, "+", IF(COUNTIF($B18:BE18,"X")=0, "+", "-") ),
  IF(
    $A18&lt;BF$1,
    "O",
    IF( OFFSET(BF$1, COLUMN(BF18)-1, 0)="-", "O", IF(MOD($A18, BF$1)=0, "X", "O") )
  )
)</f>
        <v>O</v>
      </c>
      <c r="BG18" s="45" t="str">
        <f ca="1">IF(
  $A18=BG$1,
  IF( ROW(BG18)=2, "+", IF(COUNTIF($B18:BF18,"X")=0, "+", "-") ),
  IF(
    $A18&lt;BG$1,
    "O",
    IF( OFFSET(BG$1, COLUMN(BG18)-1, 0)="-", "O", IF(MOD($A18, BG$1)=0, "X", "O") )
  )
)</f>
        <v>O</v>
      </c>
      <c r="BH18" s="45" t="str">
        <f ca="1">IF(
  $A18=BH$1,
  IF( ROW(BH18)=2, "+", IF(COUNTIF($B18:BG18,"X")=0, "+", "-") ),
  IF(
    $A18&lt;BH$1,
    "O",
    IF( OFFSET(BH$1, COLUMN(BH18)-1, 0)="-", "O", IF(MOD($A18, BH$1)=0, "X", "O") )
  )
)</f>
        <v>O</v>
      </c>
    </row>
    <row r="19" spans="1:60" s="46" customFormat="1" x14ac:dyDescent="0.25">
      <c r="A19">
        <v>19</v>
      </c>
      <c r="B19" s="44" t="str">
        <f ca="1">IF(
  $A19=B$1,
  IF( ROW(B19)=2, "+", IF(COUNTIF(A19:$B19,"X")=0, "+", "-") ),
  IF(
    $A19&lt;B$1,
    "O",
    IF( OFFSET(B$1, COLUMN(B19)-1, 0)="-", "O", IF(MOD($A19, B$1)=0, "X", "O") )
  )
)</f>
        <v>O</v>
      </c>
      <c r="C19" s="44" t="str">
        <f ca="1">IF(
  $A19=C$1,
  IF( ROW(C19)=2, "+", IF(COUNTIF(B19:$B19,"X")=0, "+", "-") ),
  IF(
    $A19&lt;C$1,
    "O",
    IF( OFFSET(C$1, COLUMN(C19)-1, 0)="-", "O", IF(MOD($A19, C$1)=0, "X", "O") )
  )
)</f>
        <v>O</v>
      </c>
      <c r="D19" s="45" t="str">
        <f ca="1">IF(
  $A19=D$1,
  IF( ROW(D19)=2, "+", IF(COUNTIF($B19:C19,"X")=0, "+", "-") ),
  IF(
    $A19&lt;D$1,
    "O",
    IF( OFFSET(D$1, COLUMN(D19)-1, 0)="-", "O", IF(MOD($A19, D$1)=0, "X", "O") )
  )
)</f>
        <v>O</v>
      </c>
      <c r="E19" s="44" t="str">
        <f ca="1">IF(
  $A19=E$1,
  IF( ROW(E19)=2, "+", IF(COUNTIF($B19:D19,"X")=0, "+", "-") ),
  IF(
    $A19&lt;E$1,
    "O",
    IF( OFFSET(E$1, COLUMN(E19)-1, 0)="-", "O", IF(MOD($A19, E$1)=0, "X", "O") )
  )
)</f>
        <v>O</v>
      </c>
      <c r="F19" s="45" t="str">
        <f ca="1">IF(
  $A19=F$1,
  IF( ROW(F19)=2, "+", IF(COUNTIF($B19:E19,"X")=0, "+", "-") ),
  IF(
    $A19&lt;F$1,
    "O",
    IF( OFFSET(F$1, COLUMN(F19)-1, 0)="-", "O", IF(MOD($A19, F$1)=0, "X", "O") )
  )
)</f>
        <v>O</v>
      </c>
      <c r="G19" s="44" t="str">
        <f ca="1">IF(
  $A19=G$1,
  IF( ROW(G19)=2, "+", IF(COUNTIF($B19:F19,"X")=0, "+", "-") ),
  IF(
    $A19&lt;G$1,
    "O",
    IF( OFFSET(G$1, COLUMN(G19)-1, 0)="-", "O", IF(MOD($A19, G$1)=0, "X", "O") )
  )
)</f>
        <v>O</v>
      </c>
      <c r="H19" s="45" t="str">
        <f ca="1">IF(
  $A19=H$1,
  IF( ROW(H19)=2, "+", IF(COUNTIF($B19:G19,"X")=0, "+", "-") ),
  IF(
    $A19&lt;H$1,
    "O",
    IF( OFFSET(H$1, COLUMN(H19)-1, 0)="-", "O", IF(MOD($A19, H$1)=0, "X", "O") )
  )
)</f>
        <v>O</v>
      </c>
      <c r="I19" s="45" t="str">
        <f ca="1">IF(
  $A19=I$1,
  IF( ROW(I19)=2, "+", IF(COUNTIF($B19:H19,"X")=0, "+", "-") ),
  IF(
    $A19&lt;I$1,
    "O",
    IF( OFFSET(I$1, COLUMN(I19)-1, 0)="-", "O", IF(MOD($A19, I$1)=0, "X", "O") )
  )
)</f>
        <v>O</v>
      </c>
      <c r="J19" s="45" t="str">
        <f ca="1">IF(
  $A19=J$1,
  IF( ROW(J19)=2, "+", IF(COUNTIF($B19:I19,"X")=0, "+", "-") ),
  IF(
    $A19&lt;J$1,
    "O",
    IF( OFFSET(J$1, COLUMN(J19)-1, 0)="-", "O", IF(MOD($A19, J$1)=0, "X", "O") )
  )
)</f>
        <v>O</v>
      </c>
      <c r="K19" s="44" t="str">
        <f ca="1">IF(
  $A19=K$1,
  IF( ROW(K19)=2, "+", IF(COUNTIF($B19:J19,"X")=0, "+", "-") ),
  IF(
    $A19&lt;K$1,
    "O",
    IF( OFFSET(K$1, COLUMN(K19)-1, 0)="-", "O", IF(MOD($A19, K$1)=0, "X", "O") )
  )
)</f>
        <v>O</v>
      </c>
      <c r="L19" s="45" t="str">
        <f ca="1">IF(
  $A19=L$1,
  IF( ROW(L19)=2, "+", IF(COUNTIF($B19:K19,"X")=0, "+", "-") ),
  IF(
    $A19&lt;L$1,
    "O",
    IF( OFFSET(L$1, COLUMN(L19)-1, 0)="-", "O", IF(MOD($A19, L$1)=0, "X", "O") )
  )
)</f>
        <v>O</v>
      </c>
      <c r="M19" s="44" t="str">
        <f ca="1">IF(
  $A19=M$1,
  IF( ROW(M19)=2, "+", IF(COUNTIF($B19:L19,"X")=0, "+", "-") ),
  IF(
    $A19&lt;M$1,
    "O",
    IF( OFFSET(M$1, COLUMN(M19)-1, 0)="-", "O", IF(MOD($A19, M$1)=0, "X", "O") )
  )
)</f>
        <v>O</v>
      </c>
      <c r="N19" s="45" t="str">
        <f ca="1">IF(
  $A19=N$1,
  IF( ROW(N19)=2, "+", IF(COUNTIF($B19:M19,"X")=0, "+", "-") ),
  IF(
    $A19&lt;N$1,
    "O",
    IF( OFFSET(N$1, COLUMN(N19)-1, 0)="-", "O", IF(MOD($A19, N$1)=0, "X", "O") )
  )
)</f>
        <v>O</v>
      </c>
      <c r="O19" s="45" t="str">
        <f ca="1">IF(
  $A19=O$1,
  IF( ROW(O19)=2, "+", IF(COUNTIF($B19:N19,"X")=0, "+", "-") ),
  IF(
    $A19&lt;O$1,
    "O",
    IF( OFFSET(O$1, COLUMN(O19)-1, 0)="-", "O", IF(MOD($A19, O$1)=0, "X", "O") )
  )
)</f>
        <v>O</v>
      </c>
      <c r="P19" s="45" t="str">
        <f ca="1">IF(
  $A19=P$1,
  IF( ROW(P19)=2, "+", IF(COUNTIF($B19:O19,"X")=0, "+", "-") ),
  IF(
    $A19&lt;P$1,
    "O",
    IF( OFFSET(P$1, COLUMN(P19)-1, 0)="-", "O", IF(MOD($A19, P$1)=0, "X", "O") )
  )
)</f>
        <v>O</v>
      </c>
      <c r="Q19" s="44" t="str">
        <f ca="1">IF(
  $A19=Q$1,
  IF( ROW(Q19)=2, "+", IF(COUNTIF($B19:P19,"X")=0, "+", "-") ),
  IF(
    $A19&lt;Q$1,
    "O",
    IF( OFFSET(Q$1, COLUMN(Q19)-1, 0)="-", "O", IF(MOD($A19, Q$1)=0, "X", "O") )
  )
)</f>
        <v>O</v>
      </c>
      <c r="R19" s="45" t="str">
        <f ca="1">IF(
  $A19=R$1,
  IF( ROW(R19)=2, "+", IF(COUNTIF($B19:Q19,"X")=0, "+", "-") ),
  IF(
    $A19&lt;R$1,
    "O",
    IF( OFFSET(R$1, COLUMN(R19)-1, 0)="-", "O", IF(MOD($A19, R$1)=0, "X", "O") )
  )
)</f>
        <v>O</v>
      </c>
      <c r="S19" s="44" t="str">
        <f ca="1">IF(
  $A19=S$1,
  IF( ROW(S19)=2, "+", IF(COUNTIF($B19:R19,"X")=0, "+", "-") ),
  IF(
    $A19&lt;S$1,
    "O",
    IF( OFFSET(S$1, COLUMN(S19)-1, 0)="-", "O", IF(MOD($A19, S$1)=0, "X", "O") )
  )
)</f>
        <v>+</v>
      </c>
      <c r="T19" s="45" t="str">
        <f ca="1">IF(
  $A19=T$1,
  IF( ROW(T19)=2, "+", IF(COUNTIF($B19:S19,"X")=0, "+", "-") ),
  IF(
    $A19&lt;T$1,
    "O",
    IF( OFFSET(T$1, COLUMN(T19)-1, 0)="-", "O", IF(MOD($A19, T$1)=0, "X", "O") )
  )
)</f>
        <v>O</v>
      </c>
      <c r="U19" s="45" t="str">
        <f ca="1">IF(
  $A19=U$1,
  IF( ROW(U19)=2, "+", IF(COUNTIF($B19:T19,"X")=0, "+", "-") ),
  IF(
    $A19&lt;U$1,
    "O",
    IF( OFFSET(U$1, COLUMN(U19)-1, 0)="-", "O", IF(MOD($A19, U$1)=0, "X", "O") )
  )
)</f>
        <v>O</v>
      </c>
      <c r="V19" s="45" t="str">
        <f ca="1">IF(
  $A19=V$1,
  IF( ROW(V19)=2, "+", IF(COUNTIF($B19:U19,"X")=0, "+", "-") ),
  IF(
    $A19&lt;V$1,
    "O",
    IF( OFFSET(V$1, COLUMN(V19)-1, 0)="-", "O", IF(MOD($A19, V$1)=0, "X", "O") )
  )
)</f>
        <v>O</v>
      </c>
      <c r="W19" s="45" t="str">
        <f ca="1">IF(
  $A19=W$1,
  IF( ROW(W19)=2, "+", IF(COUNTIF($B19:V19,"X")=0, "+", "-") ),
  IF(
    $A19&lt;W$1,
    "O",
    IF( OFFSET(W$1, COLUMN(W19)-1, 0)="-", "O", IF(MOD($A19, W$1)=0, "X", "O") )
  )
)</f>
        <v>O</v>
      </c>
      <c r="X19" s="45" t="str">
        <f ca="1">IF(
  $A19=X$1,
  IF( ROW(X19)=2, "+", IF(COUNTIF($B19:W19,"X")=0, "+", "-") ),
  IF(
    $A19&lt;X$1,
    "O",
    IF( OFFSET(X$1, COLUMN(X19)-1, 0)="-", "O", IF(MOD($A19, X$1)=0, "X", "O") )
  )
)</f>
        <v>O</v>
      </c>
      <c r="Y19" s="45" t="str">
        <f ca="1">IF(
  $A19=Y$1,
  IF( ROW(Y19)=2, "+", IF(COUNTIF($B19:X19,"X")=0, "+", "-") ),
  IF(
    $A19&lt;Y$1,
    "O",
    IF( OFFSET(Y$1, COLUMN(Y19)-1, 0)="-", "O", IF(MOD($A19, Y$1)=0, "X", "O") )
  )
)</f>
        <v>O</v>
      </c>
      <c r="Z19" s="45" t="str">
        <f ca="1">IF(
  $A19=Z$1,
  IF( ROW(Z19)=2, "+", IF(COUNTIF($B19:Y19,"X")=0, "+", "-") ),
  IF(
    $A19&lt;Z$1,
    "O",
    IF( OFFSET(Z$1, COLUMN(Z19)-1, 0)="-", "O", IF(MOD($A19, Z$1)=0, "X", "O") )
  )
)</f>
        <v>O</v>
      </c>
      <c r="AA19" s="45" t="str">
        <f ca="1">IF(
  $A19=AA$1,
  IF( ROW(AA19)=2, "+", IF(COUNTIF($B19:Z19,"X")=0, "+", "-") ),
  IF(
    $A19&lt;AA$1,
    "O",
    IF( OFFSET(AA$1, COLUMN(AA19)-1, 0)="-", "O", IF(MOD($A19, AA$1)=0, "X", "O") )
  )
)</f>
        <v>O</v>
      </c>
      <c r="AB19" s="45" t="str">
        <f ca="1">IF(
  $A19=AB$1,
  IF( ROW(AB19)=2, "+", IF(COUNTIF($B19:AA19,"X")=0, "+", "-") ),
  IF(
    $A19&lt;AB$1,
    "O",
    IF( OFFSET(AB$1, COLUMN(AB19)-1, 0)="-", "O", IF(MOD($A19, AB$1)=0, "X", "O") )
  )
)</f>
        <v>O</v>
      </c>
      <c r="AC19" s="45" t="str">
        <f ca="1">IF(
  $A19=AC$1,
  IF( ROW(AC19)=2, "+", IF(COUNTIF($B19:AB19,"X")=0, "+", "-") ),
  IF(
    $A19&lt;AC$1,
    "O",
    IF( OFFSET(AC$1, COLUMN(AC19)-1, 0)="-", "O", IF(MOD($A19, AC$1)=0, "X", "O") )
  )
)</f>
        <v>O</v>
      </c>
      <c r="AD19" s="45" t="str">
        <f ca="1">IF(
  $A19=AD$1,
  IF( ROW(AD19)=2, "+", IF(COUNTIF($B19:AC19,"X")=0, "+", "-") ),
  IF(
    $A19&lt;AD$1,
    "O",
    IF( OFFSET(AD$1, COLUMN(AD19)-1, 0)="-", "O", IF(MOD($A19, AD$1)=0, "X", "O") )
  )
)</f>
        <v>O</v>
      </c>
      <c r="AE19" s="45" t="str">
        <f ca="1">IF(
  $A19=AE$1,
  IF( ROW(AE19)=2, "+", IF(COUNTIF($B19:AD19,"X")=0, "+", "-") ),
  IF(
    $A19&lt;AE$1,
    "O",
    IF( OFFSET(AE$1, COLUMN(AE19)-1, 0)="-", "O", IF(MOD($A19, AE$1)=0, "X", "O") )
  )
)</f>
        <v>O</v>
      </c>
      <c r="AF19" s="45" t="str">
        <f ca="1">IF(
  $A19=AF$1,
  IF( ROW(AF19)=2, "+", IF(COUNTIF($B19:AE19,"X")=0, "+", "-") ),
  IF(
    $A19&lt;AF$1,
    "O",
    IF( OFFSET(AF$1, COLUMN(AF19)-1, 0)="-", "O", IF(MOD($A19, AF$1)=0, "X", "O") )
  )
)</f>
        <v>O</v>
      </c>
      <c r="AG19" s="45" t="str">
        <f ca="1">IF(
  $A19=AG$1,
  IF( ROW(AG19)=2, "+", IF(COUNTIF($B19:AF19,"X")=0, "+", "-") ),
  IF(
    $A19&lt;AG$1,
    "O",
    IF( OFFSET(AG$1, COLUMN(AG19)-1, 0)="-", "O", IF(MOD($A19, AG$1)=0, "X", "O") )
  )
)</f>
        <v>O</v>
      </c>
      <c r="AH19" s="45" t="str">
        <f ca="1">IF(
  $A19=AH$1,
  IF( ROW(AH19)=2, "+", IF(COUNTIF($B19:AG19,"X")=0, "+", "-") ),
  IF(
    $A19&lt;AH$1,
    "O",
    IF( OFFSET(AH$1, COLUMN(AH19)-1, 0)="-", "O", IF(MOD($A19, AH$1)=0, "X", "O") )
  )
)</f>
        <v>O</v>
      </c>
      <c r="AI19" s="45" t="str">
        <f ca="1">IF(
  $A19=AI$1,
  IF( ROW(AI19)=2, "+", IF(COUNTIF($B19:AH19,"X")=0, "+", "-") ),
  IF(
    $A19&lt;AI$1,
    "O",
    IF( OFFSET(AI$1, COLUMN(AI19)-1, 0)="-", "O", IF(MOD($A19, AI$1)=0, "X", "O") )
  )
)</f>
        <v>O</v>
      </c>
      <c r="AJ19" s="45" t="str">
        <f ca="1">IF(
  $A19=AJ$1,
  IF( ROW(AJ19)=2, "+", IF(COUNTIF($B19:AI19,"X")=0, "+", "-") ),
  IF(
    $A19&lt;AJ$1,
    "O",
    IF( OFFSET(AJ$1, COLUMN(AJ19)-1, 0)="-", "O", IF(MOD($A19, AJ$1)=0, "X", "O") )
  )
)</f>
        <v>O</v>
      </c>
      <c r="AK19" s="45" t="str">
        <f ca="1">IF(
  $A19=AK$1,
  IF( ROW(AK19)=2, "+", IF(COUNTIF($B19:AJ19,"X")=0, "+", "-") ),
  IF(
    $A19&lt;AK$1,
    "O",
    IF( OFFSET(AK$1, COLUMN(AK19)-1, 0)="-", "O", IF(MOD($A19, AK$1)=0, "X", "O") )
  )
)</f>
        <v>O</v>
      </c>
      <c r="AL19" s="45" t="str">
        <f ca="1">IF(
  $A19=AL$1,
  IF( ROW(AL19)=2, "+", IF(COUNTIF($B19:AK19,"X")=0, "+", "-") ),
  IF(
    $A19&lt;AL$1,
    "O",
    IF( OFFSET(AL$1, COLUMN(AL19)-1, 0)="-", "O", IF(MOD($A19, AL$1)=0, "X", "O") )
  )
)</f>
        <v>O</v>
      </c>
      <c r="AM19" s="45" t="str">
        <f ca="1">IF(
  $A19=AM$1,
  IF( ROW(AM19)=2, "+", IF(COUNTIF($B19:AL19,"X")=0, "+", "-") ),
  IF(
    $A19&lt;AM$1,
    "O",
    IF( OFFSET(AM$1, COLUMN(AM19)-1, 0)="-", "O", IF(MOD($A19, AM$1)=0, "X", "O") )
  )
)</f>
        <v>O</v>
      </c>
      <c r="AN19" s="45" t="str">
        <f ca="1">IF(
  $A19=AN$1,
  IF( ROW(AN19)=2, "+", IF(COUNTIF($B19:AM19,"X")=0, "+", "-") ),
  IF(
    $A19&lt;AN$1,
    "O",
    IF( OFFSET(AN$1, COLUMN(AN19)-1, 0)="-", "O", IF(MOD($A19, AN$1)=0, "X", "O") )
  )
)</f>
        <v>O</v>
      </c>
      <c r="AO19" s="45" t="str">
        <f ca="1">IF(
  $A19=AO$1,
  IF( ROW(AO19)=2, "+", IF(COUNTIF($B19:AN19,"X")=0, "+", "-") ),
  IF(
    $A19&lt;AO$1,
    "O",
    IF( OFFSET(AO$1, COLUMN(AO19)-1, 0)="-", "O", IF(MOD($A19, AO$1)=0, "X", "O") )
  )
)</f>
        <v>O</v>
      </c>
      <c r="AP19" s="45" t="str">
        <f ca="1">IF(
  $A19=AP$1,
  IF( ROW(AP19)=2, "+", IF(COUNTIF($B19:AO19,"X")=0, "+", "-") ),
  IF(
    $A19&lt;AP$1,
    "O",
    IF( OFFSET(AP$1, COLUMN(AP19)-1, 0)="-", "O", IF(MOD($A19, AP$1)=0, "X", "O") )
  )
)</f>
        <v>O</v>
      </c>
      <c r="AQ19" s="45" t="str">
        <f ca="1">IF(
  $A19=AQ$1,
  IF( ROW(AQ19)=2, "+", IF(COUNTIF($B19:AP19,"X")=0, "+", "-") ),
  IF(
    $A19&lt;AQ$1,
    "O",
    IF( OFFSET(AQ$1, COLUMN(AQ19)-1, 0)="-", "O", IF(MOD($A19, AQ$1)=0, "X", "O") )
  )
)</f>
        <v>O</v>
      </c>
      <c r="AR19" s="45" t="str">
        <f ca="1">IF(
  $A19=AR$1,
  IF( ROW(AR19)=2, "+", IF(COUNTIF($B19:AQ19,"X")=0, "+", "-") ),
  IF(
    $A19&lt;AR$1,
    "O",
    IF( OFFSET(AR$1, COLUMN(AR19)-1, 0)="-", "O", IF(MOD($A19, AR$1)=0, "X", "O") )
  )
)</f>
        <v>O</v>
      </c>
      <c r="AS19" s="45" t="str">
        <f ca="1">IF(
  $A19=AS$1,
  IF( ROW(AS19)=2, "+", IF(COUNTIF($B19:AR19,"X")=0, "+", "-") ),
  IF(
    $A19&lt;AS$1,
    "O",
    IF( OFFSET(AS$1, COLUMN(AS19)-1, 0)="-", "O", IF(MOD($A19, AS$1)=0, "X", "O") )
  )
)</f>
        <v>O</v>
      </c>
      <c r="AT19" s="45" t="str">
        <f ca="1">IF(
  $A19=AT$1,
  IF( ROW(AT19)=2, "+", IF(COUNTIF($B19:AS19,"X")=0, "+", "-") ),
  IF(
    $A19&lt;AT$1,
    "O",
    IF( OFFSET(AT$1, COLUMN(AT19)-1, 0)="-", "O", IF(MOD($A19, AT$1)=0, "X", "O") )
  )
)</f>
        <v>O</v>
      </c>
      <c r="AU19" s="45" t="str">
        <f ca="1">IF(
  $A19=AU$1,
  IF( ROW(AU19)=2, "+", IF(COUNTIF($B19:AT19,"X")=0, "+", "-") ),
  IF(
    $A19&lt;AU$1,
    "O",
    IF( OFFSET(AU$1, COLUMN(AU19)-1, 0)="-", "O", IF(MOD($A19, AU$1)=0, "X", "O") )
  )
)</f>
        <v>O</v>
      </c>
      <c r="AV19" s="45" t="str">
        <f ca="1">IF(
  $A19=AV$1,
  IF( ROW(AV19)=2, "+", IF(COUNTIF($B19:AU19,"X")=0, "+", "-") ),
  IF(
    $A19&lt;AV$1,
    "O",
    IF( OFFSET(AV$1, COLUMN(AV19)-1, 0)="-", "O", IF(MOD($A19, AV$1)=0, "X", "O") )
  )
)</f>
        <v>O</v>
      </c>
      <c r="AW19" s="45" t="str">
        <f ca="1">IF(
  $A19=AW$1,
  IF( ROW(AW19)=2, "+", IF(COUNTIF($B19:AV19,"X")=0, "+", "-") ),
  IF(
    $A19&lt;AW$1,
    "O",
    IF( OFFSET(AW$1, COLUMN(AW19)-1, 0)="-", "O", IF(MOD($A19, AW$1)=0, "X", "O") )
  )
)</f>
        <v>O</v>
      </c>
      <c r="AX19" s="45" t="str">
        <f ca="1">IF(
  $A19=AX$1,
  IF( ROW(AX19)=2, "+", IF(COUNTIF($B19:AW19,"X")=0, "+", "-") ),
  IF(
    $A19&lt;AX$1,
    "O",
    IF( OFFSET(AX$1, COLUMN(AX19)-1, 0)="-", "O", IF(MOD($A19, AX$1)=0, "X", "O") )
  )
)</f>
        <v>O</v>
      </c>
      <c r="AY19" s="45" t="str">
        <f ca="1">IF(
  $A19=AY$1,
  IF( ROW(AY19)=2, "+", IF(COUNTIF($B19:AX19,"X")=0, "+", "-") ),
  IF(
    $A19&lt;AY$1,
    "O",
    IF( OFFSET(AY$1, COLUMN(AY19)-1, 0)="-", "O", IF(MOD($A19, AY$1)=0, "X", "O") )
  )
)</f>
        <v>O</v>
      </c>
      <c r="AZ19" s="45" t="str">
        <f ca="1">IF(
  $A19=AZ$1,
  IF( ROW(AZ19)=2, "+", IF(COUNTIF($B19:AY19,"X")=0, "+", "-") ),
  IF(
    $A19&lt;AZ$1,
    "O",
    IF( OFFSET(AZ$1, COLUMN(AZ19)-1, 0)="-", "O", IF(MOD($A19, AZ$1)=0, "X", "O") )
  )
)</f>
        <v>O</v>
      </c>
      <c r="BA19" s="45" t="str">
        <f ca="1">IF(
  $A19=BA$1,
  IF( ROW(BA19)=2, "+", IF(COUNTIF($B19:AZ19,"X")=0, "+", "-") ),
  IF(
    $A19&lt;BA$1,
    "O",
    IF( OFFSET(BA$1, COLUMN(BA19)-1, 0)="-", "O", IF(MOD($A19, BA$1)=0, "X", "O") )
  )
)</f>
        <v>O</v>
      </c>
      <c r="BB19" s="45" t="str">
        <f ca="1">IF(
  $A19=BB$1,
  IF( ROW(BB19)=2, "+", IF(COUNTIF($B19:BA19,"X")=0, "+", "-") ),
  IF(
    $A19&lt;BB$1,
    "O",
    IF( OFFSET(BB$1, COLUMN(BB19)-1, 0)="-", "O", IF(MOD($A19, BB$1)=0, "X", "O") )
  )
)</f>
        <v>O</v>
      </c>
      <c r="BC19" s="45" t="str">
        <f ca="1">IF(
  $A19=BC$1,
  IF( ROW(BC19)=2, "+", IF(COUNTIF($B19:BB19,"X")=0, "+", "-") ),
  IF(
    $A19&lt;BC$1,
    "O",
    IF( OFFSET(BC$1, COLUMN(BC19)-1, 0)="-", "O", IF(MOD($A19, BC$1)=0, "X", "O") )
  )
)</f>
        <v>O</v>
      </c>
      <c r="BD19" s="45" t="str">
        <f ca="1">IF(
  $A19=BD$1,
  IF( ROW(BD19)=2, "+", IF(COUNTIF($B19:BC19,"X")=0, "+", "-") ),
  IF(
    $A19&lt;BD$1,
    "O",
    IF( OFFSET(BD$1, COLUMN(BD19)-1, 0)="-", "O", IF(MOD($A19, BD$1)=0, "X", "O") )
  )
)</f>
        <v>O</v>
      </c>
      <c r="BE19" s="45" t="str">
        <f ca="1">IF(
  $A19=BE$1,
  IF( ROW(BE19)=2, "+", IF(COUNTIF($B19:BD19,"X")=0, "+", "-") ),
  IF(
    $A19&lt;BE$1,
    "O",
    IF( OFFSET(BE$1, COLUMN(BE19)-1, 0)="-", "O", IF(MOD($A19, BE$1)=0, "X", "O") )
  )
)</f>
        <v>O</v>
      </c>
      <c r="BF19" s="45" t="str">
        <f ca="1">IF(
  $A19=BF$1,
  IF( ROW(BF19)=2, "+", IF(COUNTIF($B19:BE19,"X")=0, "+", "-") ),
  IF(
    $A19&lt;BF$1,
    "O",
    IF( OFFSET(BF$1, COLUMN(BF19)-1, 0)="-", "O", IF(MOD($A19, BF$1)=0, "X", "O") )
  )
)</f>
        <v>O</v>
      </c>
      <c r="BG19" s="45" t="str">
        <f ca="1">IF(
  $A19=BG$1,
  IF( ROW(BG19)=2, "+", IF(COUNTIF($B19:BF19,"X")=0, "+", "-") ),
  IF(
    $A19&lt;BG$1,
    "O",
    IF( OFFSET(BG$1, COLUMN(BG19)-1, 0)="-", "O", IF(MOD($A19, BG$1)=0, "X", "O") )
  )
)</f>
        <v>O</v>
      </c>
      <c r="BH19" s="45" t="str">
        <f ca="1">IF(
  $A19=BH$1,
  IF( ROW(BH19)=2, "+", IF(COUNTIF($B19:BG19,"X")=0, "+", "-") ),
  IF(
    $A19&lt;BH$1,
    "O",
    IF( OFFSET(BH$1, COLUMN(BH19)-1, 0)="-", "O", IF(MOD($A19, BH$1)=0, "X", "O") )
  )
)</f>
        <v>O</v>
      </c>
    </row>
    <row r="20" spans="1:60" s="46" customFormat="1" x14ac:dyDescent="0.25">
      <c r="A20">
        <v>20</v>
      </c>
      <c r="B20" s="44" t="str">
        <f ca="1">IF(
  $A20=B$1,
  IF( ROW(B20)=2, "+", IF(COUNTIF(A20:$B20,"X")=0, "+", "-") ),
  IF(
    $A20&lt;B$1,
    "O",
    IF( OFFSET(B$1, COLUMN(B20)-1, 0)="-", "O", IF(MOD($A20, B$1)=0, "X", "O") )
  )
)</f>
        <v>X</v>
      </c>
      <c r="C20" s="44" t="str">
        <f ca="1">IF(
  $A20=C$1,
  IF( ROW(C20)=2, "+", IF(COUNTIF(B20:$B20,"X")=0, "+", "-") ),
  IF(
    $A20&lt;C$1,
    "O",
    IF( OFFSET(C$1, COLUMN(C20)-1, 0)="-", "O", IF(MOD($A20, C$1)=0, "X", "O") )
  )
)</f>
        <v>O</v>
      </c>
      <c r="D20" s="45" t="str">
        <f ca="1">IF(
  $A20=D$1,
  IF( ROW(D20)=2, "+", IF(COUNTIF($B20:C20,"X")=0, "+", "-") ),
  IF(
    $A20&lt;D$1,
    "O",
    IF( OFFSET(D$1, COLUMN(D20)-1, 0)="-", "O", IF(MOD($A20, D$1)=0, "X", "O") )
  )
)</f>
        <v>O</v>
      </c>
      <c r="E20" s="44" t="str">
        <f ca="1">IF(
  $A20=E$1,
  IF( ROW(E20)=2, "+", IF(COUNTIF($B20:D20,"X")=0, "+", "-") ),
  IF(
    $A20&lt;E$1,
    "O",
    IF( OFFSET(E$1, COLUMN(E20)-1, 0)="-", "O", IF(MOD($A20, E$1)=0, "X", "O") )
  )
)</f>
        <v>X</v>
      </c>
      <c r="F20" s="45" t="str">
        <f ca="1">IF(
  $A20=F$1,
  IF( ROW(F20)=2, "+", IF(COUNTIF($B20:E20,"X")=0, "+", "-") ),
  IF(
    $A20&lt;F$1,
    "O",
    IF( OFFSET(F$1, COLUMN(F20)-1, 0)="-", "O", IF(MOD($A20, F$1)=0, "X", "O") )
  )
)</f>
        <v>O</v>
      </c>
      <c r="G20" s="44" t="str">
        <f ca="1">IF(
  $A20=G$1,
  IF( ROW(G20)=2, "+", IF(COUNTIF($B20:F20,"X")=0, "+", "-") ),
  IF(
    $A20&lt;G$1,
    "O",
    IF( OFFSET(G$1, COLUMN(G20)-1, 0)="-", "O", IF(MOD($A20, G$1)=0, "X", "O") )
  )
)</f>
        <v>O</v>
      </c>
      <c r="H20" s="45" t="str">
        <f ca="1">IF(
  $A20=H$1,
  IF( ROW(H20)=2, "+", IF(COUNTIF($B20:G20,"X")=0, "+", "-") ),
  IF(
    $A20&lt;H$1,
    "O",
    IF( OFFSET(H$1, COLUMN(H20)-1, 0)="-", "O", IF(MOD($A20, H$1)=0, "X", "O") )
  )
)</f>
        <v>O</v>
      </c>
      <c r="I20" s="45" t="str">
        <f ca="1">IF(
  $A20=I$1,
  IF( ROW(I20)=2, "+", IF(COUNTIF($B20:H20,"X")=0, "+", "-") ),
  IF(
    $A20&lt;I$1,
    "O",
    IF( OFFSET(I$1, COLUMN(I20)-1, 0)="-", "O", IF(MOD($A20, I$1)=0, "X", "O") )
  )
)</f>
        <v>O</v>
      </c>
      <c r="J20" s="45" t="str">
        <f ca="1">IF(
  $A20=J$1,
  IF( ROW(J20)=2, "+", IF(COUNTIF($B20:I20,"X")=0, "+", "-") ),
  IF(
    $A20&lt;J$1,
    "O",
    IF( OFFSET(J$1, COLUMN(J20)-1, 0)="-", "O", IF(MOD($A20, J$1)=0, "X", "O") )
  )
)</f>
        <v>O</v>
      </c>
      <c r="K20" s="44" t="str">
        <f ca="1">IF(
  $A20=K$1,
  IF( ROW(K20)=2, "+", IF(COUNTIF($B20:J20,"X")=0, "+", "-") ),
  IF(
    $A20&lt;K$1,
    "O",
    IF( OFFSET(K$1, COLUMN(K20)-1, 0)="-", "O", IF(MOD($A20, K$1)=0, "X", "O") )
  )
)</f>
        <v>O</v>
      </c>
      <c r="L20" s="45" t="str">
        <f ca="1">IF(
  $A20=L$1,
  IF( ROW(L20)=2, "+", IF(COUNTIF($B20:K20,"X")=0, "+", "-") ),
  IF(
    $A20&lt;L$1,
    "O",
    IF( OFFSET(L$1, COLUMN(L20)-1, 0)="-", "O", IF(MOD($A20, L$1)=0, "X", "O") )
  )
)</f>
        <v>O</v>
      </c>
      <c r="M20" s="44" t="str">
        <f ca="1">IF(
  $A20=M$1,
  IF( ROW(M20)=2, "+", IF(COUNTIF($B20:L20,"X")=0, "+", "-") ),
  IF(
    $A20&lt;M$1,
    "O",
    IF( OFFSET(M$1, COLUMN(M20)-1, 0)="-", "O", IF(MOD($A20, M$1)=0, "X", "O") )
  )
)</f>
        <v>O</v>
      </c>
      <c r="N20" s="45" t="str">
        <f ca="1">IF(
  $A20=N$1,
  IF( ROW(N20)=2, "+", IF(COUNTIF($B20:M20,"X")=0, "+", "-") ),
  IF(
    $A20&lt;N$1,
    "O",
    IF( OFFSET(N$1, COLUMN(N20)-1, 0)="-", "O", IF(MOD($A20, N$1)=0, "X", "O") )
  )
)</f>
        <v>O</v>
      </c>
      <c r="O20" s="45" t="str">
        <f ca="1">IF(
  $A20=O$1,
  IF( ROW(O20)=2, "+", IF(COUNTIF($B20:N20,"X")=0, "+", "-") ),
  IF(
    $A20&lt;O$1,
    "O",
    IF( OFFSET(O$1, COLUMN(O20)-1, 0)="-", "O", IF(MOD($A20, O$1)=0, "X", "O") )
  )
)</f>
        <v>O</v>
      </c>
      <c r="P20" s="45" t="str">
        <f ca="1">IF(
  $A20=P$1,
  IF( ROW(P20)=2, "+", IF(COUNTIF($B20:O20,"X")=0, "+", "-") ),
  IF(
    $A20&lt;P$1,
    "O",
    IF( OFFSET(P$1, COLUMN(P20)-1, 0)="-", "O", IF(MOD($A20, P$1)=0, "X", "O") )
  )
)</f>
        <v>O</v>
      </c>
      <c r="Q20" s="44" t="str">
        <f ca="1">IF(
  $A20=Q$1,
  IF( ROW(Q20)=2, "+", IF(COUNTIF($B20:P20,"X")=0, "+", "-") ),
  IF(
    $A20&lt;Q$1,
    "O",
    IF( OFFSET(Q$1, COLUMN(Q20)-1, 0)="-", "O", IF(MOD($A20, Q$1)=0, "X", "O") )
  )
)</f>
        <v>O</v>
      </c>
      <c r="R20" s="45" t="str">
        <f ca="1">IF(
  $A20=R$1,
  IF( ROW(R20)=2, "+", IF(COUNTIF($B20:Q20,"X")=0, "+", "-") ),
  IF(
    $A20&lt;R$1,
    "O",
    IF( OFFSET(R$1, COLUMN(R20)-1, 0)="-", "O", IF(MOD($A20, R$1)=0, "X", "O") )
  )
)</f>
        <v>O</v>
      </c>
      <c r="S20" s="44" t="str">
        <f ca="1">IF(
  $A20=S$1,
  IF( ROW(S20)=2, "+", IF(COUNTIF($B20:R20,"X")=0, "+", "-") ),
  IF(
    $A20&lt;S$1,
    "O",
    IF( OFFSET(S$1, COLUMN(S20)-1, 0)="-", "O", IF(MOD($A20, S$1)=0, "X", "O") )
  )
)</f>
        <v>O</v>
      </c>
      <c r="T20" s="45" t="str">
        <f ca="1">IF(
  $A20=T$1,
  IF( ROW(T20)=2, "+", IF(COUNTIF($B20:S20,"X")=0, "+", "-") ),
  IF(
    $A20&lt;T$1,
    "O",
    IF( OFFSET(T$1, COLUMN(T20)-1, 0)="-", "O", IF(MOD($A20, T$1)=0, "X", "O") )
  )
)</f>
        <v>-</v>
      </c>
      <c r="U20" s="45" t="str">
        <f ca="1">IF(
  $A20=U$1,
  IF( ROW(U20)=2, "+", IF(COUNTIF($B20:T20,"X")=0, "+", "-") ),
  IF(
    $A20&lt;U$1,
    "O",
    IF( OFFSET(U$1, COLUMN(U20)-1, 0)="-", "O", IF(MOD($A20, U$1)=0, "X", "O") )
  )
)</f>
        <v>O</v>
      </c>
      <c r="V20" s="45" t="str">
        <f ca="1">IF(
  $A20=V$1,
  IF( ROW(V20)=2, "+", IF(COUNTIF($B20:U20,"X")=0, "+", "-") ),
  IF(
    $A20&lt;V$1,
    "O",
    IF( OFFSET(V$1, COLUMN(V20)-1, 0)="-", "O", IF(MOD($A20, V$1)=0, "X", "O") )
  )
)</f>
        <v>O</v>
      </c>
      <c r="W20" s="45" t="str">
        <f ca="1">IF(
  $A20=W$1,
  IF( ROW(W20)=2, "+", IF(COUNTIF($B20:V20,"X")=0, "+", "-") ),
  IF(
    $A20&lt;W$1,
    "O",
    IF( OFFSET(W$1, COLUMN(W20)-1, 0)="-", "O", IF(MOD($A20, W$1)=0, "X", "O") )
  )
)</f>
        <v>O</v>
      </c>
      <c r="X20" s="45" t="str">
        <f ca="1">IF(
  $A20=X$1,
  IF( ROW(X20)=2, "+", IF(COUNTIF($B20:W20,"X")=0, "+", "-") ),
  IF(
    $A20&lt;X$1,
    "O",
    IF( OFFSET(X$1, COLUMN(X20)-1, 0)="-", "O", IF(MOD($A20, X$1)=0, "X", "O") )
  )
)</f>
        <v>O</v>
      </c>
      <c r="Y20" s="45" t="str">
        <f ca="1">IF(
  $A20=Y$1,
  IF( ROW(Y20)=2, "+", IF(COUNTIF($B20:X20,"X")=0, "+", "-") ),
  IF(
    $A20&lt;Y$1,
    "O",
    IF( OFFSET(Y$1, COLUMN(Y20)-1, 0)="-", "O", IF(MOD($A20, Y$1)=0, "X", "O") )
  )
)</f>
        <v>O</v>
      </c>
      <c r="Z20" s="45" t="str">
        <f ca="1">IF(
  $A20=Z$1,
  IF( ROW(Z20)=2, "+", IF(COUNTIF($B20:Y20,"X")=0, "+", "-") ),
  IF(
    $A20&lt;Z$1,
    "O",
    IF( OFFSET(Z$1, COLUMN(Z20)-1, 0)="-", "O", IF(MOD($A20, Z$1)=0, "X", "O") )
  )
)</f>
        <v>O</v>
      </c>
      <c r="AA20" s="45" t="str">
        <f ca="1">IF(
  $A20=AA$1,
  IF( ROW(AA20)=2, "+", IF(COUNTIF($B20:Z20,"X")=0, "+", "-") ),
  IF(
    $A20&lt;AA$1,
    "O",
    IF( OFFSET(AA$1, COLUMN(AA20)-1, 0)="-", "O", IF(MOD($A20, AA$1)=0, "X", "O") )
  )
)</f>
        <v>O</v>
      </c>
      <c r="AB20" s="45" t="str">
        <f ca="1">IF(
  $A20=AB$1,
  IF( ROW(AB20)=2, "+", IF(COUNTIF($B20:AA20,"X")=0, "+", "-") ),
  IF(
    $A20&lt;AB$1,
    "O",
    IF( OFFSET(AB$1, COLUMN(AB20)-1, 0)="-", "O", IF(MOD($A20, AB$1)=0, "X", "O") )
  )
)</f>
        <v>O</v>
      </c>
      <c r="AC20" s="45" t="str">
        <f ca="1">IF(
  $A20=AC$1,
  IF( ROW(AC20)=2, "+", IF(COUNTIF($B20:AB20,"X")=0, "+", "-") ),
  IF(
    $A20&lt;AC$1,
    "O",
    IF( OFFSET(AC$1, COLUMN(AC20)-1, 0)="-", "O", IF(MOD($A20, AC$1)=0, "X", "O") )
  )
)</f>
        <v>O</v>
      </c>
      <c r="AD20" s="45" t="str">
        <f ca="1">IF(
  $A20=AD$1,
  IF( ROW(AD20)=2, "+", IF(COUNTIF($B20:AC20,"X")=0, "+", "-") ),
  IF(
    $A20&lt;AD$1,
    "O",
    IF( OFFSET(AD$1, COLUMN(AD20)-1, 0)="-", "O", IF(MOD($A20, AD$1)=0, "X", "O") )
  )
)</f>
        <v>O</v>
      </c>
      <c r="AE20" s="45" t="str">
        <f ca="1">IF(
  $A20=AE$1,
  IF( ROW(AE20)=2, "+", IF(COUNTIF($B20:AD20,"X")=0, "+", "-") ),
  IF(
    $A20&lt;AE$1,
    "O",
    IF( OFFSET(AE$1, COLUMN(AE20)-1, 0)="-", "O", IF(MOD($A20, AE$1)=0, "X", "O") )
  )
)</f>
        <v>O</v>
      </c>
      <c r="AF20" s="45" t="str">
        <f ca="1">IF(
  $A20=AF$1,
  IF( ROW(AF20)=2, "+", IF(COUNTIF($B20:AE20,"X")=0, "+", "-") ),
  IF(
    $A20&lt;AF$1,
    "O",
    IF( OFFSET(AF$1, COLUMN(AF20)-1, 0)="-", "O", IF(MOD($A20, AF$1)=0, "X", "O") )
  )
)</f>
        <v>O</v>
      </c>
      <c r="AG20" s="45" t="str">
        <f ca="1">IF(
  $A20=AG$1,
  IF( ROW(AG20)=2, "+", IF(COUNTIF($B20:AF20,"X")=0, "+", "-") ),
  IF(
    $A20&lt;AG$1,
    "O",
    IF( OFFSET(AG$1, COLUMN(AG20)-1, 0)="-", "O", IF(MOD($A20, AG$1)=0, "X", "O") )
  )
)</f>
        <v>O</v>
      </c>
      <c r="AH20" s="45" t="str">
        <f ca="1">IF(
  $A20=AH$1,
  IF( ROW(AH20)=2, "+", IF(COUNTIF($B20:AG20,"X")=0, "+", "-") ),
  IF(
    $A20&lt;AH$1,
    "O",
    IF( OFFSET(AH$1, COLUMN(AH20)-1, 0)="-", "O", IF(MOD($A20, AH$1)=0, "X", "O") )
  )
)</f>
        <v>O</v>
      </c>
      <c r="AI20" s="45" t="str">
        <f ca="1">IF(
  $A20=AI$1,
  IF( ROW(AI20)=2, "+", IF(COUNTIF($B20:AH20,"X")=0, "+", "-") ),
  IF(
    $A20&lt;AI$1,
    "O",
    IF( OFFSET(AI$1, COLUMN(AI20)-1, 0)="-", "O", IF(MOD($A20, AI$1)=0, "X", "O") )
  )
)</f>
        <v>O</v>
      </c>
      <c r="AJ20" s="45" t="str">
        <f ca="1">IF(
  $A20=AJ$1,
  IF( ROW(AJ20)=2, "+", IF(COUNTIF($B20:AI20,"X")=0, "+", "-") ),
  IF(
    $A20&lt;AJ$1,
    "O",
    IF( OFFSET(AJ$1, COLUMN(AJ20)-1, 0)="-", "O", IF(MOD($A20, AJ$1)=0, "X", "O") )
  )
)</f>
        <v>O</v>
      </c>
      <c r="AK20" s="45" t="str">
        <f ca="1">IF(
  $A20=AK$1,
  IF( ROW(AK20)=2, "+", IF(COUNTIF($B20:AJ20,"X")=0, "+", "-") ),
  IF(
    $A20&lt;AK$1,
    "O",
    IF( OFFSET(AK$1, COLUMN(AK20)-1, 0)="-", "O", IF(MOD($A20, AK$1)=0, "X", "O") )
  )
)</f>
        <v>O</v>
      </c>
      <c r="AL20" s="45" t="str">
        <f ca="1">IF(
  $A20=AL$1,
  IF( ROW(AL20)=2, "+", IF(COUNTIF($B20:AK20,"X")=0, "+", "-") ),
  IF(
    $A20&lt;AL$1,
    "O",
    IF( OFFSET(AL$1, COLUMN(AL20)-1, 0)="-", "O", IF(MOD($A20, AL$1)=0, "X", "O") )
  )
)</f>
        <v>O</v>
      </c>
      <c r="AM20" s="45" t="str">
        <f ca="1">IF(
  $A20=AM$1,
  IF( ROW(AM20)=2, "+", IF(COUNTIF($B20:AL20,"X")=0, "+", "-") ),
  IF(
    $A20&lt;AM$1,
    "O",
    IF( OFFSET(AM$1, COLUMN(AM20)-1, 0)="-", "O", IF(MOD($A20, AM$1)=0, "X", "O") )
  )
)</f>
        <v>O</v>
      </c>
      <c r="AN20" s="45" t="str">
        <f ca="1">IF(
  $A20=AN$1,
  IF( ROW(AN20)=2, "+", IF(COUNTIF($B20:AM20,"X")=0, "+", "-") ),
  IF(
    $A20&lt;AN$1,
    "O",
    IF( OFFSET(AN$1, COLUMN(AN20)-1, 0)="-", "O", IF(MOD($A20, AN$1)=0, "X", "O") )
  )
)</f>
        <v>O</v>
      </c>
      <c r="AO20" s="45" t="str">
        <f ca="1">IF(
  $A20=AO$1,
  IF( ROW(AO20)=2, "+", IF(COUNTIF($B20:AN20,"X")=0, "+", "-") ),
  IF(
    $A20&lt;AO$1,
    "O",
    IF( OFFSET(AO$1, COLUMN(AO20)-1, 0)="-", "O", IF(MOD($A20, AO$1)=0, "X", "O") )
  )
)</f>
        <v>O</v>
      </c>
      <c r="AP20" s="45" t="str">
        <f ca="1">IF(
  $A20=AP$1,
  IF( ROW(AP20)=2, "+", IF(COUNTIF($B20:AO20,"X")=0, "+", "-") ),
  IF(
    $A20&lt;AP$1,
    "O",
    IF( OFFSET(AP$1, COLUMN(AP20)-1, 0)="-", "O", IF(MOD($A20, AP$1)=0, "X", "O") )
  )
)</f>
        <v>O</v>
      </c>
      <c r="AQ20" s="45" t="str">
        <f ca="1">IF(
  $A20=AQ$1,
  IF( ROW(AQ20)=2, "+", IF(COUNTIF($B20:AP20,"X")=0, "+", "-") ),
  IF(
    $A20&lt;AQ$1,
    "O",
    IF( OFFSET(AQ$1, COLUMN(AQ20)-1, 0)="-", "O", IF(MOD($A20, AQ$1)=0, "X", "O") )
  )
)</f>
        <v>O</v>
      </c>
      <c r="AR20" s="45" t="str">
        <f ca="1">IF(
  $A20=AR$1,
  IF( ROW(AR20)=2, "+", IF(COUNTIF($B20:AQ20,"X")=0, "+", "-") ),
  IF(
    $A20&lt;AR$1,
    "O",
    IF( OFFSET(AR$1, COLUMN(AR20)-1, 0)="-", "O", IF(MOD($A20, AR$1)=0, "X", "O") )
  )
)</f>
        <v>O</v>
      </c>
      <c r="AS20" s="45" t="str">
        <f ca="1">IF(
  $A20=AS$1,
  IF( ROW(AS20)=2, "+", IF(COUNTIF($B20:AR20,"X")=0, "+", "-") ),
  IF(
    $A20&lt;AS$1,
    "O",
    IF( OFFSET(AS$1, COLUMN(AS20)-1, 0)="-", "O", IF(MOD($A20, AS$1)=0, "X", "O") )
  )
)</f>
        <v>O</v>
      </c>
      <c r="AT20" s="45" t="str">
        <f ca="1">IF(
  $A20=AT$1,
  IF( ROW(AT20)=2, "+", IF(COUNTIF($B20:AS20,"X")=0, "+", "-") ),
  IF(
    $A20&lt;AT$1,
    "O",
    IF( OFFSET(AT$1, COLUMN(AT20)-1, 0)="-", "O", IF(MOD($A20, AT$1)=0, "X", "O") )
  )
)</f>
        <v>O</v>
      </c>
      <c r="AU20" s="45" t="str">
        <f ca="1">IF(
  $A20=AU$1,
  IF( ROW(AU20)=2, "+", IF(COUNTIF($B20:AT20,"X")=0, "+", "-") ),
  IF(
    $A20&lt;AU$1,
    "O",
    IF( OFFSET(AU$1, COLUMN(AU20)-1, 0)="-", "O", IF(MOD($A20, AU$1)=0, "X", "O") )
  )
)</f>
        <v>O</v>
      </c>
      <c r="AV20" s="45" t="str">
        <f ca="1">IF(
  $A20=AV$1,
  IF( ROW(AV20)=2, "+", IF(COUNTIF($B20:AU20,"X")=0, "+", "-") ),
  IF(
    $A20&lt;AV$1,
    "O",
    IF( OFFSET(AV$1, COLUMN(AV20)-1, 0)="-", "O", IF(MOD($A20, AV$1)=0, "X", "O") )
  )
)</f>
        <v>O</v>
      </c>
      <c r="AW20" s="45" t="str">
        <f ca="1">IF(
  $A20=AW$1,
  IF( ROW(AW20)=2, "+", IF(COUNTIF($B20:AV20,"X")=0, "+", "-") ),
  IF(
    $A20&lt;AW$1,
    "O",
    IF( OFFSET(AW$1, COLUMN(AW20)-1, 0)="-", "O", IF(MOD($A20, AW$1)=0, "X", "O") )
  )
)</f>
        <v>O</v>
      </c>
      <c r="AX20" s="45" t="str">
        <f ca="1">IF(
  $A20=AX$1,
  IF( ROW(AX20)=2, "+", IF(COUNTIF($B20:AW20,"X")=0, "+", "-") ),
  IF(
    $A20&lt;AX$1,
    "O",
    IF( OFFSET(AX$1, COLUMN(AX20)-1, 0)="-", "O", IF(MOD($A20, AX$1)=0, "X", "O") )
  )
)</f>
        <v>O</v>
      </c>
      <c r="AY20" s="45" t="str">
        <f ca="1">IF(
  $A20=AY$1,
  IF( ROW(AY20)=2, "+", IF(COUNTIF($B20:AX20,"X")=0, "+", "-") ),
  IF(
    $A20&lt;AY$1,
    "O",
    IF( OFFSET(AY$1, COLUMN(AY20)-1, 0)="-", "O", IF(MOD($A20, AY$1)=0, "X", "O") )
  )
)</f>
        <v>O</v>
      </c>
      <c r="AZ20" s="45" t="str">
        <f ca="1">IF(
  $A20=AZ$1,
  IF( ROW(AZ20)=2, "+", IF(COUNTIF($B20:AY20,"X")=0, "+", "-") ),
  IF(
    $A20&lt;AZ$1,
    "O",
    IF( OFFSET(AZ$1, COLUMN(AZ20)-1, 0)="-", "O", IF(MOD($A20, AZ$1)=0, "X", "O") )
  )
)</f>
        <v>O</v>
      </c>
      <c r="BA20" s="45" t="str">
        <f ca="1">IF(
  $A20=BA$1,
  IF( ROW(BA20)=2, "+", IF(COUNTIF($B20:AZ20,"X")=0, "+", "-") ),
  IF(
    $A20&lt;BA$1,
    "O",
    IF( OFFSET(BA$1, COLUMN(BA20)-1, 0)="-", "O", IF(MOD($A20, BA$1)=0, "X", "O") )
  )
)</f>
        <v>O</v>
      </c>
      <c r="BB20" s="45" t="str">
        <f ca="1">IF(
  $A20=BB$1,
  IF( ROW(BB20)=2, "+", IF(COUNTIF($B20:BA20,"X")=0, "+", "-") ),
  IF(
    $A20&lt;BB$1,
    "O",
    IF( OFFSET(BB$1, COLUMN(BB20)-1, 0)="-", "O", IF(MOD($A20, BB$1)=0, "X", "O") )
  )
)</f>
        <v>O</v>
      </c>
      <c r="BC20" s="45" t="str">
        <f ca="1">IF(
  $A20=BC$1,
  IF( ROW(BC20)=2, "+", IF(COUNTIF($B20:BB20,"X")=0, "+", "-") ),
  IF(
    $A20&lt;BC$1,
    "O",
    IF( OFFSET(BC$1, COLUMN(BC20)-1, 0)="-", "O", IF(MOD($A20, BC$1)=0, "X", "O") )
  )
)</f>
        <v>O</v>
      </c>
      <c r="BD20" s="45" t="str">
        <f ca="1">IF(
  $A20=BD$1,
  IF( ROW(BD20)=2, "+", IF(COUNTIF($B20:BC20,"X")=0, "+", "-") ),
  IF(
    $A20&lt;BD$1,
    "O",
    IF( OFFSET(BD$1, COLUMN(BD20)-1, 0)="-", "O", IF(MOD($A20, BD$1)=0, "X", "O") )
  )
)</f>
        <v>O</v>
      </c>
      <c r="BE20" s="45" t="str">
        <f ca="1">IF(
  $A20=BE$1,
  IF( ROW(BE20)=2, "+", IF(COUNTIF($B20:BD20,"X")=0, "+", "-") ),
  IF(
    $A20&lt;BE$1,
    "O",
    IF( OFFSET(BE$1, COLUMN(BE20)-1, 0)="-", "O", IF(MOD($A20, BE$1)=0, "X", "O") )
  )
)</f>
        <v>O</v>
      </c>
      <c r="BF20" s="45" t="str">
        <f ca="1">IF(
  $A20=BF$1,
  IF( ROW(BF20)=2, "+", IF(COUNTIF($B20:BE20,"X")=0, "+", "-") ),
  IF(
    $A20&lt;BF$1,
    "O",
    IF( OFFSET(BF$1, COLUMN(BF20)-1, 0)="-", "O", IF(MOD($A20, BF$1)=0, "X", "O") )
  )
)</f>
        <v>O</v>
      </c>
      <c r="BG20" s="45" t="str">
        <f ca="1">IF(
  $A20=BG$1,
  IF( ROW(BG20)=2, "+", IF(COUNTIF($B20:BF20,"X")=0, "+", "-") ),
  IF(
    $A20&lt;BG$1,
    "O",
    IF( OFFSET(BG$1, COLUMN(BG20)-1, 0)="-", "O", IF(MOD($A20, BG$1)=0, "X", "O") )
  )
)</f>
        <v>O</v>
      </c>
      <c r="BH20" s="45" t="str">
        <f ca="1">IF(
  $A20=BH$1,
  IF( ROW(BH20)=2, "+", IF(COUNTIF($B20:BG20,"X")=0, "+", "-") ),
  IF(
    $A20&lt;BH$1,
    "O",
    IF( OFFSET(BH$1, COLUMN(BH20)-1, 0)="-", "O", IF(MOD($A20, BH$1)=0, "X", "O") )
  )
)</f>
        <v>O</v>
      </c>
    </row>
    <row r="21" spans="1:60" s="46" customFormat="1" x14ac:dyDescent="0.25">
      <c r="A21">
        <v>21</v>
      </c>
      <c r="B21" s="44" t="str">
        <f ca="1">IF(
  $A21=B$1,
  IF( ROW(B21)=2, "+", IF(COUNTIF(A21:$B21,"X")=0, "+", "-") ),
  IF(
    $A21&lt;B$1,
    "O",
    IF( OFFSET(B$1, COLUMN(B21)-1, 0)="-", "O", IF(MOD($A21, B$1)=0, "X", "O") )
  )
)</f>
        <v>O</v>
      </c>
      <c r="C21" s="44" t="str">
        <f ca="1">IF(
  $A21=C$1,
  IF( ROW(C21)=2, "+", IF(COUNTIF(B21:$B21,"X")=0, "+", "-") ),
  IF(
    $A21&lt;C$1,
    "O",
    IF( OFFSET(C$1, COLUMN(C21)-1, 0)="-", "O", IF(MOD($A21, C$1)=0, "X", "O") )
  )
)</f>
        <v>X</v>
      </c>
      <c r="D21" s="45" t="str">
        <f ca="1">IF(
  $A21=D$1,
  IF( ROW(D21)=2, "+", IF(COUNTIF($B21:C21,"X")=0, "+", "-") ),
  IF(
    $A21&lt;D$1,
    "O",
    IF( OFFSET(D$1, COLUMN(D21)-1, 0)="-", "O", IF(MOD($A21, D$1)=0, "X", "O") )
  )
)</f>
        <v>O</v>
      </c>
      <c r="E21" s="44" t="str">
        <f ca="1">IF(
  $A21=E$1,
  IF( ROW(E21)=2, "+", IF(COUNTIF($B21:D21,"X")=0, "+", "-") ),
  IF(
    $A21&lt;E$1,
    "O",
    IF( OFFSET(E$1, COLUMN(E21)-1, 0)="-", "O", IF(MOD($A21, E$1)=0, "X", "O") )
  )
)</f>
        <v>O</v>
      </c>
      <c r="F21" s="45" t="str">
        <f ca="1">IF(
  $A21=F$1,
  IF( ROW(F21)=2, "+", IF(COUNTIF($B21:E21,"X")=0, "+", "-") ),
  IF(
    $A21&lt;F$1,
    "O",
    IF( OFFSET(F$1, COLUMN(F21)-1, 0)="-", "O", IF(MOD($A21, F$1)=0, "X", "O") )
  )
)</f>
        <v>O</v>
      </c>
      <c r="G21" s="44" t="str">
        <f ca="1">IF(
  $A21=G$1,
  IF( ROW(G21)=2, "+", IF(COUNTIF($B21:F21,"X")=0, "+", "-") ),
  IF(
    $A21&lt;G$1,
    "O",
    IF( OFFSET(G$1, COLUMN(G21)-1, 0)="-", "O", IF(MOD($A21, G$1)=0, "X", "O") )
  )
)</f>
        <v>X</v>
      </c>
      <c r="H21" s="45" t="str">
        <f ca="1">IF(
  $A21=H$1,
  IF( ROW(H21)=2, "+", IF(COUNTIF($B21:G21,"X")=0, "+", "-") ),
  IF(
    $A21&lt;H$1,
    "O",
    IF( OFFSET(H$1, COLUMN(H21)-1, 0)="-", "O", IF(MOD($A21, H$1)=0, "X", "O") )
  )
)</f>
        <v>O</v>
      </c>
      <c r="I21" s="45" t="str">
        <f ca="1">IF(
  $A21=I$1,
  IF( ROW(I21)=2, "+", IF(COUNTIF($B21:H21,"X")=0, "+", "-") ),
  IF(
    $A21&lt;I$1,
    "O",
    IF( OFFSET(I$1, COLUMN(I21)-1, 0)="-", "O", IF(MOD($A21, I$1)=0, "X", "O") )
  )
)</f>
        <v>O</v>
      </c>
      <c r="J21" s="45" t="str">
        <f ca="1">IF(
  $A21=J$1,
  IF( ROW(J21)=2, "+", IF(COUNTIF($B21:I21,"X")=0, "+", "-") ),
  IF(
    $A21&lt;J$1,
    "O",
    IF( OFFSET(J$1, COLUMN(J21)-1, 0)="-", "O", IF(MOD($A21, J$1)=0, "X", "O") )
  )
)</f>
        <v>O</v>
      </c>
      <c r="K21" s="44" t="str">
        <f ca="1">IF(
  $A21=K$1,
  IF( ROW(K21)=2, "+", IF(COUNTIF($B21:J21,"X")=0, "+", "-") ),
  IF(
    $A21&lt;K$1,
    "O",
    IF( OFFSET(K$1, COLUMN(K21)-1, 0)="-", "O", IF(MOD($A21, K$1)=0, "X", "O") )
  )
)</f>
        <v>O</v>
      </c>
      <c r="L21" s="45" t="str">
        <f ca="1">IF(
  $A21=L$1,
  IF( ROW(L21)=2, "+", IF(COUNTIF($B21:K21,"X")=0, "+", "-") ),
  IF(
    $A21&lt;L$1,
    "O",
    IF( OFFSET(L$1, COLUMN(L21)-1, 0)="-", "O", IF(MOD($A21, L$1)=0, "X", "O") )
  )
)</f>
        <v>O</v>
      </c>
      <c r="M21" s="44" t="str">
        <f ca="1">IF(
  $A21=M$1,
  IF( ROW(M21)=2, "+", IF(COUNTIF($B21:L21,"X")=0, "+", "-") ),
  IF(
    $A21&lt;M$1,
    "O",
    IF( OFFSET(M$1, COLUMN(M21)-1, 0)="-", "O", IF(MOD($A21, M$1)=0, "X", "O") )
  )
)</f>
        <v>O</v>
      </c>
      <c r="N21" s="45" t="str">
        <f ca="1">IF(
  $A21=N$1,
  IF( ROW(N21)=2, "+", IF(COUNTIF($B21:M21,"X")=0, "+", "-") ),
  IF(
    $A21&lt;N$1,
    "O",
    IF( OFFSET(N$1, COLUMN(N21)-1, 0)="-", "O", IF(MOD($A21, N$1)=0, "X", "O") )
  )
)</f>
        <v>O</v>
      </c>
      <c r="O21" s="45" t="str">
        <f ca="1">IF(
  $A21=O$1,
  IF( ROW(O21)=2, "+", IF(COUNTIF($B21:N21,"X")=0, "+", "-") ),
  IF(
    $A21&lt;O$1,
    "O",
    IF( OFFSET(O$1, COLUMN(O21)-1, 0)="-", "O", IF(MOD($A21, O$1)=0, "X", "O") )
  )
)</f>
        <v>O</v>
      </c>
      <c r="P21" s="45" t="str">
        <f ca="1">IF(
  $A21=P$1,
  IF( ROW(P21)=2, "+", IF(COUNTIF($B21:O21,"X")=0, "+", "-") ),
  IF(
    $A21&lt;P$1,
    "O",
    IF( OFFSET(P$1, COLUMN(P21)-1, 0)="-", "O", IF(MOD($A21, P$1)=0, "X", "O") )
  )
)</f>
        <v>O</v>
      </c>
      <c r="Q21" s="44" t="str">
        <f ca="1">IF(
  $A21=Q$1,
  IF( ROW(Q21)=2, "+", IF(COUNTIF($B21:P21,"X")=0, "+", "-") ),
  IF(
    $A21&lt;Q$1,
    "O",
    IF( OFFSET(Q$1, COLUMN(Q21)-1, 0)="-", "O", IF(MOD($A21, Q$1)=0, "X", "O") )
  )
)</f>
        <v>O</v>
      </c>
      <c r="R21" s="45" t="str">
        <f ca="1">IF(
  $A21=R$1,
  IF( ROW(R21)=2, "+", IF(COUNTIF($B21:Q21,"X")=0, "+", "-") ),
  IF(
    $A21&lt;R$1,
    "O",
    IF( OFFSET(R$1, COLUMN(R21)-1, 0)="-", "O", IF(MOD($A21, R$1)=0, "X", "O") )
  )
)</f>
        <v>O</v>
      </c>
      <c r="S21" s="44" t="str">
        <f ca="1">IF(
  $A21=S$1,
  IF( ROW(S21)=2, "+", IF(COUNTIF($B21:R21,"X")=0, "+", "-") ),
  IF(
    $A21&lt;S$1,
    "O",
    IF( OFFSET(S$1, COLUMN(S21)-1, 0)="-", "O", IF(MOD($A21, S$1)=0, "X", "O") )
  )
)</f>
        <v>O</v>
      </c>
      <c r="T21" s="45" t="str">
        <f ca="1">IF(
  $A21=T$1,
  IF( ROW(T21)=2, "+", IF(COUNTIF($B21:S21,"X")=0, "+", "-") ),
  IF(
    $A21&lt;T$1,
    "O",
    IF( OFFSET(T$1, COLUMN(T21)-1, 0)="-", "O", IF(MOD($A21, T$1)=0, "X", "O") )
  )
)</f>
        <v>O</v>
      </c>
      <c r="U21" s="45" t="str">
        <f ca="1">IF(
  $A21=U$1,
  IF( ROW(U21)=2, "+", IF(COUNTIF($B21:T21,"X")=0, "+", "-") ),
  IF(
    $A21&lt;U$1,
    "O",
    IF( OFFSET(U$1, COLUMN(U21)-1, 0)="-", "O", IF(MOD($A21, U$1)=0, "X", "O") )
  )
)</f>
        <v>-</v>
      </c>
      <c r="V21" s="45" t="str">
        <f ca="1">IF(
  $A21=V$1,
  IF( ROW(V21)=2, "+", IF(COUNTIF($B21:U21,"X")=0, "+", "-") ),
  IF(
    $A21&lt;V$1,
    "O",
    IF( OFFSET(V$1, COLUMN(V21)-1, 0)="-", "O", IF(MOD($A21, V$1)=0, "X", "O") )
  )
)</f>
        <v>O</v>
      </c>
      <c r="W21" s="45" t="str">
        <f ca="1">IF(
  $A21=W$1,
  IF( ROW(W21)=2, "+", IF(COUNTIF($B21:V21,"X")=0, "+", "-") ),
  IF(
    $A21&lt;W$1,
    "O",
    IF( OFFSET(W$1, COLUMN(W21)-1, 0)="-", "O", IF(MOD($A21, W$1)=0, "X", "O") )
  )
)</f>
        <v>O</v>
      </c>
      <c r="X21" s="45" t="str">
        <f ca="1">IF(
  $A21=X$1,
  IF( ROW(X21)=2, "+", IF(COUNTIF($B21:W21,"X")=0, "+", "-") ),
  IF(
    $A21&lt;X$1,
    "O",
    IF( OFFSET(X$1, COLUMN(X21)-1, 0)="-", "O", IF(MOD($A21, X$1)=0, "X", "O") )
  )
)</f>
        <v>O</v>
      </c>
      <c r="Y21" s="45" t="str">
        <f ca="1">IF(
  $A21=Y$1,
  IF( ROW(Y21)=2, "+", IF(COUNTIF($B21:X21,"X")=0, "+", "-") ),
  IF(
    $A21&lt;Y$1,
    "O",
    IF( OFFSET(Y$1, COLUMN(Y21)-1, 0)="-", "O", IF(MOD($A21, Y$1)=0, "X", "O") )
  )
)</f>
        <v>O</v>
      </c>
      <c r="Z21" s="45" t="str">
        <f ca="1">IF(
  $A21=Z$1,
  IF( ROW(Z21)=2, "+", IF(COUNTIF($B21:Y21,"X")=0, "+", "-") ),
  IF(
    $A21&lt;Z$1,
    "O",
    IF( OFFSET(Z$1, COLUMN(Z21)-1, 0)="-", "O", IF(MOD($A21, Z$1)=0, "X", "O") )
  )
)</f>
        <v>O</v>
      </c>
      <c r="AA21" s="45" t="str">
        <f ca="1">IF(
  $A21=AA$1,
  IF( ROW(AA21)=2, "+", IF(COUNTIF($B21:Z21,"X")=0, "+", "-") ),
  IF(
    $A21&lt;AA$1,
    "O",
    IF( OFFSET(AA$1, COLUMN(AA21)-1, 0)="-", "O", IF(MOD($A21, AA$1)=0, "X", "O") )
  )
)</f>
        <v>O</v>
      </c>
      <c r="AB21" s="45" t="str">
        <f ca="1">IF(
  $A21=AB$1,
  IF( ROW(AB21)=2, "+", IF(COUNTIF($B21:AA21,"X")=0, "+", "-") ),
  IF(
    $A21&lt;AB$1,
    "O",
    IF( OFFSET(AB$1, COLUMN(AB21)-1, 0)="-", "O", IF(MOD($A21, AB$1)=0, "X", "O") )
  )
)</f>
        <v>O</v>
      </c>
      <c r="AC21" s="45" t="str">
        <f ca="1">IF(
  $A21=AC$1,
  IF( ROW(AC21)=2, "+", IF(COUNTIF($B21:AB21,"X")=0, "+", "-") ),
  IF(
    $A21&lt;AC$1,
    "O",
    IF( OFFSET(AC$1, COLUMN(AC21)-1, 0)="-", "O", IF(MOD($A21, AC$1)=0, "X", "O") )
  )
)</f>
        <v>O</v>
      </c>
      <c r="AD21" s="45" t="str">
        <f ca="1">IF(
  $A21=AD$1,
  IF( ROW(AD21)=2, "+", IF(COUNTIF($B21:AC21,"X")=0, "+", "-") ),
  IF(
    $A21&lt;AD$1,
    "O",
    IF( OFFSET(AD$1, COLUMN(AD21)-1, 0)="-", "O", IF(MOD($A21, AD$1)=0, "X", "O") )
  )
)</f>
        <v>O</v>
      </c>
      <c r="AE21" s="45" t="str">
        <f ca="1">IF(
  $A21=AE$1,
  IF( ROW(AE21)=2, "+", IF(COUNTIF($B21:AD21,"X")=0, "+", "-") ),
  IF(
    $A21&lt;AE$1,
    "O",
    IF( OFFSET(AE$1, COLUMN(AE21)-1, 0)="-", "O", IF(MOD($A21, AE$1)=0, "X", "O") )
  )
)</f>
        <v>O</v>
      </c>
      <c r="AF21" s="45" t="str">
        <f ca="1">IF(
  $A21=AF$1,
  IF( ROW(AF21)=2, "+", IF(COUNTIF($B21:AE21,"X")=0, "+", "-") ),
  IF(
    $A21&lt;AF$1,
    "O",
    IF( OFFSET(AF$1, COLUMN(AF21)-1, 0)="-", "O", IF(MOD($A21, AF$1)=0, "X", "O") )
  )
)</f>
        <v>O</v>
      </c>
      <c r="AG21" s="45" t="str">
        <f ca="1">IF(
  $A21=AG$1,
  IF( ROW(AG21)=2, "+", IF(COUNTIF($B21:AF21,"X")=0, "+", "-") ),
  IF(
    $A21&lt;AG$1,
    "O",
    IF( OFFSET(AG$1, COLUMN(AG21)-1, 0)="-", "O", IF(MOD($A21, AG$1)=0, "X", "O") )
  )
)</f>
        <v>O</v>
      </c>
      <c r="AH21" s="45" t="str">
        <f ca="1">IF(
  $A21=AH$1,
  IF( ROW(AH21)=2, "+", IF(COUNTIF($B21:AG21,"X")=0, "+", "-") ),
  IF(
    $A21&lt;AH$1,
    "O",
    IF( OFFSET(AH$1, COLUMN(AH21)-1, 0)="-", "O", IF(MOD($A21, AH$1)=0, "X", "O") )
  )
)</f>
        <v>O</v>
      </c>
      <c r="AI21" s="45" t="str">
        <f ca="1">IF(
  $A21=AI$1,
  IF( ROW(AI21)=2, "+", IF(COUNTIF($B21:AH21,"X")=0, "+", "-") ),
  IF(
    $A21&lt;AI$1,
    "O",
    IF( OFFSET(AI$1, COLUMN(AI21)-1, 0)="-", "O", IF(MOD($A21, AI$1)=0, "X", "O") )
  )
)</f>
        <v>O</v>
      </c>
      <c r="AJ21" s="45" t="str">
        <f ca="1">IF(
  $A21=AJ$1,
  IF( ROW(AJ21)=2, "+", IF(COUNTIF($B21:AI21,"X")=0, "+", "-") ),
  IF(
    $A21&lt;AJ$1,
    "O",
    IF( OFFSET(AJ$1, COLUMN(AJ21)-1, 0)="-", "O", IF(MOD($A21, AJ$1)=0, "X", "O") )
  )
)</f>
        <v>O</v>
      </c>
      <c r="AK21" s="45" t="str">
        <f ca="1">IF(
  $A21=AK$1,
  IF( ROW(AK21)=2, "+", IF(COUNTIF($B21:AJ21,"X")=0, "+", "-") ),
  IF(
    $A21&lt;AK$1,
    "O",
    IF( OFFSET(AK$1, COLUMN(AK21)-1, 0)="-", "O", IF(MOD($A21, AK$1)=0, "X", "O") )
  )
)</f>
        <v>O</v>
      </c>
      <c r="AL21" s="45" t="str">
        <f ca="1">IF(
  $A21=AL$1,
  IF( ROW(AL21)=2, "+", IF(COUNTIF($B21:AK21,"X")=0, "+", "-") ),
  IF(
    $A21&lt;AL$1,
    "O",
    IF( OFFSET(AL$1, COLUMN(AL21)-1, 0)="-", "O", IF(MOD($A21, AL$1)=0, "X", "O") )
  )
)</f>
        <v>O</v>
      </c>
      <c r="AM21" s="45" t="str">
        <f ca="1">IF(
  $A21=AM$1,
  IF( ROW(AM21)=2, "+", IF(COUNTIF($B21:AL21,"X")=0, "+", "-") ),
  IF(
    $A21&lt;AM$1,
    "O",
    IF( OFFSET(AM$1, COLUMN(AM21)-1, 0)="-", "O", IF(MOD($A21, AM$1)=0, "X", "O") )
  )
)</f>
        <v>O</v>
      </c>
      <c r="AN21" s="45" t="str">
        <f ca="1">IF(
  $A21=AN$1,
  IF( ROW(AN21)=2, "+", IF(COUNTIF($B21:AM21,"X")=0, "+", "-") ),
  IF(
    $A21&lt;AN$1,
    "O",
    IF( OFFSET(AN$1, COLUMN(AN21)-1, 0)="-", "O", IF(MOD($A21, AN$1)=0, "X", "O") )
  )
)</f>
        <v>O</v>
      </c>
      <c r="AO21" s="45" t="str">
        <f ca="1">IF(
  $A21=AO$1,
  IF( ROW(AO21)=2, "+", IF(COUNTIF($B21:AN21,"X")=0, "+", "-") ),
  IF(
    $A21&lt;AO$1,
    "O",
    IF( OFFSET(AO$1, COLUMN(AO21)-1, 0)="-", "O", IF(MOD($A21, AO$1)=0, "X", "O") )
  )
)</f>
        <v>O</v>
      </c>
      <c r="AP21" s="45" t="str">
        <f ca="1">IF(
  $A21=AP$1,
  IF( ROW(AP21)=2, "+", IF(COUNTIF($B21:AO21,"X")=0, "+", "-") ),
  IF(
    $A21&lt;AP$1,
    "O",
    IF( OFFSET(AP$1, COLUMN(AP21)-1, 0)="-", "O", IF(MOD($A21, AP$1)=0, "X", "O") )
  )
)</f>
        <v>O</v>
      </c>
      <c r="AQ21" s="45" t="str">
        <f ca="1">IF(
  $A21=AQ$1,
  IF( ROW(AQ21)=2, "+", IF(COUNTIF($B21:AP21,"X")=0, "+", "-") ),
  IF(
    $A21&lt;AQ$1,
    "O",
    IF( OFFSET(AQ$1, COLUMN(AQ21)-1, 0)="-", "O", IF(MOD($A21, AQ$1)=0, "X", "O") )
  )
)</f>
        <v>O</v>
      </c>
      <c r="AR21" s="45" t="str">
        <f ca="1">IF(
  $A21=AR$1,
  IF( ROW(AR21)=2, "+", IF(COUNTIF($B21:AQ21,"X")=0, "+", "-") ),
  IF(
    $A21&lt;AR$1,
    "O",
    IF( OFFSET(AR$1, COLUMN(AR21)-1, 0)="-", "O", IF(MOD($A21, AR$1)=0, "X", "O") )
  )
)</f>
        <v>O</v>
      </c>
      <c r="AS21" s="45" t="str">
        <f ca="1">IF(
  $A21=AS$1,
  IF( ROW(AS21)=2, "+", IF(COUNTIF($B21:AR21,"X")=0, "+", "-") ),
  IF(
    $A21&lt;AS$1,
    "O",
    IF( OFFSET(AS$1, COLUMN(AS21)-1, 0)="-", "O", IF(MOD($A21, AS$1)=0, "X", "O") )
  )
)</f>
        <v>O</v>
      </c>
      <c r="AT21" s="45" t="str">
        <f ca="1">IF(
  $A21=AT$1,
  IF( ROW(AT21)=2, "+", IF(COUNTIF($B21:AS21,"X")=0, "+", "-") ),
  IF(
    $A21&lt;AT$1,
    "O",
    IF( OFFSET(AT$1, COLUMN(AT21)-1, 0)="-", "O", IF(MOD($A21, AT$1)=0, "X", "O") )
  )
)</f>
        <v>O</v>
      </c>
      <c r="AU21" s="45" t="str">
        <f ca="1">IF(
  $A21=AU$1,
  IF( ROW(AU21)=2, "+", IF(COUNTIF($B21:AT21,"X")=0, "+", "-") ),
  IF(
    $A21&lt;AU$1,
    "O",
    IF( OFFSET(AU$1, COLUMN(AU21)-1, 0)="-", "O", IF(MOD($A21, AU$1)=0, "X", "O") )
  )
)</f>
        <v>O</v>
      </c>
      <c r="AV21" s="45" t="str">
        <f ca="1">IF(
  $A21=AV$1,
  IF( ROW(AV21)=2, "+", IF(COUNTIF($B21:AU21,"X")=0, "+", "-") ),
  IF(
    $A21&lt;AV$1,
    "O",
    IF( OFFSET(AV$1, COLUMN(AV21)-1, 0)="-", "O", IF(MOD($A21, AV$1)=0, "X", "O") )
  )
)</f>
        <v>O</v>
      </c>
      <c r="AW21" s="45" t="str">
        <f ca="1">IF(
  $A21=AW$1,
  IF( ROW(AW21)=2, "+", IF(COUNTIF($B21:AV21,"X")=0, "+", "-") ),
  IF(
    $A21&lt;AW$1,
    "O",
    IF( OFFSET(AW$1, COLUMN(AW21)-1, 0)="-", "O", IF(MOD($A21, AW$1)=0, "X", "O") )
  )
)</f>
        <v>O</v>
      </c>
      <c r="AX21" s="45" t="str">
        <f ca="1">IF(
  $A21=AX$1,
  IF( ROW(AX21)=2, "+", IF(COUNTIF($B21:AW21,"X")=0, "+", "-") ),
  IF(
    $A21&lt;AX$1,
    "O",
    IF( OFFSET(AX$1, COLUMN(AX21)-1, 0)="-", "O", IF(MOD($A21, AX$1)=0, "X", "O") )
  )
)</f>
        <v>O</v>
      </c>
      <c r="AY21" s="45" t="str">
        <f ca="1">IF(
  $A21=AY$1,
  IF( ROW(AY21)=2, "+", IF(COUNTIF($B21:AX21,"X")=0, "+", "-") ),
  IF(
    $A21&lt;AY$1,
    "O",
    IF( OFFSET(AY$1, COLUMN(AY21)-1, 0)="-", "O", IF(MOD($A21, AY$1)=0, "X", "O") )
  )
)</f>
        <v>O</v>
      </c>
      <c r="AZ21" s="45" t="str">
        <f ca="1">IF(
  $A21=AZ$1,
  IF( ROW(AZ21)=2, "+", IF(COUNTIF($B21:AY21,"X")=0, "+", "-") ),
  IF(
    $A21&lt;AZ$1,
    "O",
    IF( OFFSET(AZ$1, COLUMN(AZ21)-1, 0)="-", "O", IF(MOD($A21, AZ$1)=0, "X", "O") )
  )
)</f>
        <v>O</v>
      </c>
      <c r="BA21" s="45" t="str">
        <f ca="1">IF(
  $A21=BA$1,
  IF( ROW(BA21)=2, "+", IF(COUNTIF($B21:AZ21,"X")=0, "+", "-") ),
  IF(
    $A21&lt;BA$1,
    "O",
    IF( OFFSET(BA$1, COLUMN(BA21)-1, 0)="-", "O", IF(MOD($A21, BA$1)=0, "X", "O") )
  )
)</f>
        <v>O</v>
      </c>
      <c r="BB21" s="45" t="str">
        <f ca="1">IF(
  $A21=BB$1,
  IF( ROW(BB21)=2, "+", IF(COUNTIF($B21:BA21,"X")=0, "+", "-") ),
  IF(
    $A21&lt;BB$1,
    "O",
    IF( OFFSET(BB$1, COLUMN(BB21)-1, 0)="-", "O", IF(MOD($A21, BB$1)=0, "X", "O") )
  )
)</f>
        <v>O</v>
      </c>
      <c r="BC21" s="45" t="str">
        <f ca="1">IF(
  $A21=BC$1,
  IF( ROW(BC21)=2, "+", IF(COUNTIF($B21:BB21,"X")=0, "+", "-") ),
  IF(
    $A21&lt;BC$1,
    "O",
    IF( OFFSET(BC$1, COLUMN(BC21)-1, 0)="-", "O", IF(MOD($A21, BC$1)=0, "X", "O") )
  )
)</f>
        <v>O</v>
      </c>
      <c r="BD21" s="45" t="str">
        <f ca="1">IF(
  $A21=BD$1,
  IF( ROW(BD21)=2, "+", IF(COUNTIF($B21:BC21,"X")=0, "+", "-") ),
  IF(
    $A21&lt;BD$1,
    "O",
    IF( OFFSET(BD$1, COLUMN(BD21)-1, 0)="-", "O", IF(MOD($A21, BD$1)=0, "X", "O") )
  )
)</f>
        <v>O</v>
      </c>
      <c r="BE21" s="45" t="str">
        <f ca="1">IF(
  $A21=BE$1,
  IF( ROW(BE21)=2, "+", IF(COUNTIF($B21:BD21,"X")=0, "+", "-") ),
  IF(
    $A21&lt;BE$1,
    "O",
    IF( OFFSET(BE$1, COLUMN(BE21)-1, 0)="-", "O", IF(MOD($A21, BE$1)=0, "X", "O") )
  )
)</f>
        <v>O</v>
      </c>
      <c r="BF21" s="45" t="str">
        <f ca="1">IF(
  $A21=BF$1,
  IF( ROW(BF21)=2, "+", IF(COUNTIF($B21:BE21,"X")=0, "+", "-") ),
  IF(
    $A21&lt;BF$1,
    "O",
    IF( OFFSET(BF$1, COLUMN(BF21)-1, 0)="-", "O", IF(MOD($A21, BF$1)=0, "X", "O") )
  )
)</f>
        <v>O</v>
      </c>
      <c r="BG21" s="45" t="str">
        <f ca="1">IF(
  $A21=BG$1,
  IF( ROW(BG21)=2, "+", IF(COUNTIF($B21:BF21,"X")=0, "+", "-") ),
  IF(
    $A21&lt;BG$1,
    "O",
    IF( OFFSET(BG$1, COLUMN(BG21)-1, 0)="-", "O", IF(MOD($A21, BG$1)=0, "X", "O") )
  )
)</f>
        <v>O</v>
      </c>
      <c r="BH21" s="45" t="str">
        <f ca="1">IF(
  $A21=BH$1,
  IF( ROW(BH21)=2, "+", IF(COUNTIF($B21:BG21,"X")=0, "+", "-") ),
  IF(
    $A21&lt;BH$1,
    "O",
    IF( OFFSET(BH$1, COLUMN(BH21)-1, 0)="-", "O", IF(MOD($A21, BH$1)=0, "X", "O") )
  )
)</f>
        <v>O</v>
      </c>
    </row>
    <row r="22" spans="1:60" s="46" customFormat="1" x14ac:dyDescent="0.25">
      <c r="A22">
        <v>22</v>
      </c>
      <c r="B22" s="44" t="str">
        <f ca="1">IF(
  $A22=B$1,
  IF( ROW(B22)=2, "+", IF(COUNTIF(A22:$B22,"X")=0, "+", "-") ),
  IF(
    $A22&lt;B$1,
    "O",
    IF( OFFSET(B$1, COLUMN(B22)-1, 0)="-", "O", IF(MOD($A22, B$1)=0, "X", "O") )
  )
)</f>
        <v>X</v>
      </c>
      <c r="C22" s="44" t="str">
        <f ca="1">IF(
  $A22=C$1,
  IF( ROW(C22)=2, "+", IF(COUNTIF(B22:$B22,"X")=0, "+", "-") ),
  IF(
    $A22&lt;C$1,
    "O",
    IF( OFFSET(C$1, COLUMN(C22)-1, 0)="-", "O", IF(MOD($A22, C$1)=0, "X", "O") )
  )
)</f>
        <v>O</v>
      </c>
      <c r="D22" s="45" t="str">
        <f ca="1">IF(
  $A22=D$1,
  IF( ROW(D22)=2, "+", IF(COUNTIF($B22:C22,"X")=0, "+", "-") ),
  IF(
    $A22&lt;D$1,
    "O",
    IF( OFFSET(D$1, COLUMN(D22)-1, 0)="-", "O", IF(MOD($A22, D$1)=0, "X", "O") )
  )
)</f>
        <v>O</v>
      </c>
      <c r="E22" s="44" t="str">
        <f ca="1">IF(
  $A22=E$1,
  IF( ROW(E22)=2, "+", IF(COUNTIF($B22:D22,"X")=0, "+", "-") ),
  IF(
    $A22&lt;E$1,
    "O",
    IF( OFFSET(E$1, COLUMN(E22)-1, 0)="-", "O", IF(MOD($A22, E$1)=0, "X", "O") )
  )
)</f>
        <v>O</v>
      </c>
      <c r="F22" s="45" t="str">
        <f ca="1">IF(
  $A22=F$1,
  IF( ROW(F22)=2, "+", IF(COUNTIF($B22:E22,"X")=0, "+", "-") ),
  IF(
    $A22&lt;F$1,
    "O",
    IF( OFFSET(F$1, COLUMN(F22)-1, 0)="-", "O", IF(MOD($A22, F$1)=0, "X", "O") )
  )
)</f>
        <v>O</v>
      </c>
      <c r="G22" s="44" t="str">
        <f ca="1">IF(
  $A22=G$1,
  IF( ROW(G22)=2, "+", IF(COUNTIF($B22:F22,"X")=0, "+", "-") ),
  IF(
    $A22&lt;G$1,
    "O",
    IF( OFFSET(G$1, COLUMN(G22)-1, 0)="-", "O", IF(MOD($A22, G$1)=0, "X", "O") )
  )
)</f>
        <v>O</v>
      </c>
      <c r="H22" s="45" t="str">
        <f ca="1">IF(
  $A22=H$1,
  IF( ROW(H22)=2, "+", IF(COUNTIF($B22:G22,"X")=0, "+", "-") ),
  IF(
    $A22&lt;H$1,
    "O",
    IF( OFFSET(H$1, COLUMN(H22)-1, 0)="-", "O", IF(MOD($A22, H$1)=0, "X", "O") )
  )
)</f>
        <v>O</v>
      </c>
      <c r="I22" s="45" t="str">
        <f ca="1">IF(
  $A22=I$1,
  IF( ROW(I22)=2, "+", IF(COUNTIF($B22:H22,"X")=0, "+", "-") ),
  IF(
    $A22&lt;I$1,
    "O",
    IF( OFFSET(I$1, COLUMN(I22)-1, 0)="-", "O", IF(MOD($A22, I$1)=0, "X", "O") )
  )
)</f>
        <v>O</v>
      </c>
      <c r="J22" s="45" t="str">
        <f ca="1">IF(
  $A22=J$1,
  IF( ROW(J22)=2, "+", IF(COUNTIF($B22:I22,"X")=0, "+", "-") ),
  IF(
    $A22&lt;J$1,
    "O",
    IF( OFFSET(J$1, COLUMN(J22)-1, 0)="-", "O", IF(MOD($A22, J$1)=0, "X", "O") )
  )
)</f>
        <v>O</v>
      </c>
      <c r="K22" s="44" t="str">
        <f ca="1">IF(
  $A22=K$1,
  IF( ROW(K22)=2, "+", IF(COUNTIF($B22:J22,"X")=0, "+", "-") ),
  IF(
    $A22&lt;K$1,
    "O",
    IF( OFFSET(K$1, COLUMN(K22)-1, 0)="-", "O", IF(MOD($A22, K$1)=0, "X", "O") )
  )
)</f>
        <v>X</v>
      </c>
      <c r="L22" s="45" t="str">
        <f ca="1">IF(
  $A22=L$1,
  IF( ROW(L22)=2, "+", IF(COUNTIF($B22:K22,"X")=0, "+", "-") ),
  IF(
    $A22&lt;L$1,
    "O",
    IF( OFFSET(L$1, COLUMN(L22)-1, 0)="-", "O", IF(MOD($A22, L$1)=0, "X", "O") )
  )
)</f>
        <v>O</v>
      </c>
      <c r="M22" s="44" t="str">
        <f ca="1">IF(
  $A22=M$1,
  IF( ROW(M22)=2, "+", IF(COUNTIF($B22:L22,"X")=0, "+", "-") ),
  IF(
    $A22&lt;M$1,
    "O",
    IF( OFFSET(M$1, COLUMN(M22)-1, 0)="-", "O", IF(MOD($A22, M$1)=0, "X", "O") )
  )
)</f>
        <v>O</v>
      </c>
      <c r="N22" s="45" t="str">
        <f ca="1">IF(
  $A22=N$1,
  IF( ROW(N22)=2, "+", IF(COUNTIF($B22:M22,"X")=0, "+", "-") ),
  IF(
    $A22&lt;N$1,
    "O",
    IF( OFFSET(N$1, COLUMN(N22)-1, 0)="-", "O", IF(MOD($A22, N$1)=0, "X", "O") )
  )
)</f>
        <v>O</v>
      </c>
      <c r="O22" s="45" t="str">
        <f ca="1">IF(
  $A22=O$1,
  IF( ROW(O22)=2, "+", IF(COUNTIF($B22:N22,"X")=0, "+", "-") ),
  IF(
    $A22&lt;O$1,
    "O",
    IF( OFFSET(O$1, COLUMN(O22)-1, 0)="-", "O", IF(MOD($A22, O$1)=0, "X", "O") )
  )
)</f>
        <v>O</v>
      </c>
      <c r="P22" s="45" t="str">
        <f ca="1">IF(
  $A22=P$1,
  IF( ROW(P22)=2, "+", IF(COUNTIF($B22:O22,"X")=0, "+", "-") ),
  IF(
    $A22&lt;P$1,
    "O",
    IF( OFFSET(P$1, COLUMN(P22)-1, 0)="-", "O", IF(MOD($A22, P$1)=0, "X", "O") )
  )
)</f>
        <v>O</v>
      </c>
      <c r="Q22" s="44" t="str">
        <f ca="1">IF(
  $A22=Q$1,
  IF( ROW(Q22)=2, "+", IF(COUNTIF($B22:P22,"X")=0, "+", "-") ),
  IF(
    $A22&lt;Q$1,
    "O",
    IF( OFFSET(Q$1, COLUMN(Q22)-1, 0)="-", "O", IF(MOD($A22, Q$1)=0, "X", "O") )
  )
)</f>
        <v>O</v>
      </c>
      <c r="R22" s="45" t="str">
        <f ca="1">IF(
  $A22=R$1,
  IF( ROW(R22)=2, "+", IF(COUNTIF($B22:Q22,"X")=0, "+", "-") ),
  IF(
    $A22&lt;R$1,
    "O",
    IF( OFFSET(R$1, COLUMN(R22)-1, 0)="-", "O", IF(MOD($A22, R$1)=0, "X", "O") )
  )
)</f>
        <v>O</v>
      </c>
      <c r="S22" s="44" t="str">
        <f ca="1">IF(
  $A22=S$1,
  IF( ROW(S22)=2, "+", IF(COUNTIF($B22:R22,"X")=0, "+", "-") ),
  IF(
    $A22&lt;S$1,
    "O",
    IF( OFFSET(S$1, COLUMN(S22)-1, 0)="-", "O", IF(MOD($A22, S$1)=0, "X", "O") )
  )
)</f>
        <v>O</v>
      </c>
      <c r="T22" s="45" t="str">
        <f ca="1">IF(
  $A22=T$1,
  IF( ROW(T22)=2, "+", IF(COUNTIF($B22:S22,"X")=0, "+", "-") ),
  IF(
    $A22&lt;T$1,
    "O",
    IF( OFFSET(T$1, COLUMN(T22)-1, 0)="-", "O", IF(MOD($A22, T$1)=0, "X", "O") )
  )
)</f>
        <v>O</v>
      </c>
      <c r="U22" s="45" t="str">
        <f ca="1">IF(
  $A22=U$1,
  IF( ROW(U22)=2, "+", IF(COUNTIF($B22:T22,"X")=0, "+", "-") ),
  IF(
    $A22&lt;U$1,
    "O",
    IF( OFFSET(U$1, COLUMN(U22)-1, 0)="-", "O", IF(MOD($A22, U$1)=0, "X", "O") )
  )
)</f>
        <v>O</v>
      </c>
      <c r="V22" s="45" t="str">
        <f ca="1">IF(
  $A22=V$1,
  IF( ROW(V22)=2, "+", IF(COUNTIF($B22:U22,"X")=0, "+", "-") ),
  IF(
    $A22&lt;V$1,
    "O",
    IF( OFFSET(V$1, COLUMN(V22)-1, 0)="-", "O", IF(MOD($A22, V$1)=0, "X", "O") )
  )
)</f>
        <v>-</v>
      </c>
      <c r="W22" s="45" t="str">
        <f ca="1">IF(
  $A22=W$1,
  IF( ROW(W22)=2, "+", IF(COUNTIF($B22:V22,"X")=0, "+", "-") ),
  IF(
    $A22&lt;W$1,
    "O",
    IF( OFFSET(W$1, COLUMN(W22)-1, 0)="-", "O", IF(MOD($A22, W$1)=0, "X", "O") )
  )
)</f>
        <v>O</v>
      </c>
      <c r="X22" s="45" t="str">
        <f ca="1">IF(
  $A22=X$1,
  IF( ROW(X22)=2, "+", IF(COUNTIF($B22:W22,"X")=0, "+", "-") ),
  IF(
    $A22&lt;X$1,
    "O",
    IF( OFFSET(X$1, COLUMN(X22)-1, 0)="-", "O", IF(MOD($A22, X$1)=0, "X", "O") )
  )
)</f>
        <v>O</v>
      </c>
      <c r="Y22" s="45" t="str">
        <f ca="1">IF(
  $A22=Y$1,
  IF( ROW(Y22)=2, "+", IF(COUNTIF($B22:X22,"X")=0, "+", "-") ),
  IF(
    $A22&lt;Y$1,
    "O",
    IF( OFFSET(Y$1, COLUMN(Y22)-1, 0)="-", "O", IF(MOD($A22, Y$1)=0, "X", "O") )
  )
)</f>
        <v>O</v>
      </c>
      <c r="Z22" s="45" t="str">
        <f ca="1">IF(
  $A22=Z$1,
  IF( ROW(Z22)=2, "+", IF(COUNTIF($B22:Y22,"X")=0, "+", "-") ),
  IF(
    $A22&lt;Z$1,
    "O",
    IF( OFFSET(Z$1, COLUMN(Z22)-1, 0)="-", "O", IF(MOD($A22, Z$1)=0, "X", "O") )
  )
)</f>
        <v>O</v>
      </c>
      <c r="AA22" s="45" t="str">
        <f ca="1">IF(
  $A22=AA$1,
  IF( ROW(AA22)=2, "+", IF(COUNTIF($B22:Z22,"X")=0, "+", "-") ),
  IF(
    $A22&lt;AA$1,
    "O",
    IF( OFFSET(AA$1, COLUMN(AA22)-1, 0)="-", "O", IF(MOD($A22, AA$1)=0, "X", "O") )
  )
)</f>
        <v>O</v>
      </c>
      <c r="AB22" s="45" t="str">
        <f ca="1">IF(
  $A22=AB$1,
  IF( ROW(AB22)=2, "+", IF(COUNTIF($B22:AA22,"X")=0, "+", "-") ),
  IF(
    $A22&lt;AB$1,
    "O",
    IF( OFFSET(AB$1, COLUMN(AB22)-1, 0)="-", "O", IF(MOD($A22, AB$1)=0, "X", "O") )
  )
)</f>
        <v>O</v>
      </c>
      <c r="AC22" s="45" t="str">
        <f ca="1">IF(
  $A22=AC$1,
  IF( ROW(AC22)=2, "+", IF(COUNTIF($B22:AB22,"X")=0, "+", "-") ),
  IF(
    $A22&lt;AC$1,
    "O",
    IF( OFFSET(AC$1, COLUMN(AC22)-1, 0)="-", "O", IF(MOD($A22, AC$1)=0, "X", "O") )
  )
)</f>
        <v>O</v>
      </c>
      <c r="AD22" s="45" t="str">
        <f ca="1">IF(
  $A22=AD$1,
  IF( ROW(AD22)=2, "+", IF(COUNTIF($B22:AC22,"X")=0, "+", "-") ),
  IF(
    $A22&lt;AD$1,
    "O",
    IF( OFFSET(AD$1, COLUMN(AD22)-1, 0)="-", "O", IF(MOD($A22, AD$1)=0, "X", "O") )
  )
)</f>
        <v>O</v>
      </c>
      <c r="AE22" s="45" t="str">
        <f ca="1">IF(
  $A22=AE$1,
  IF( ROW(AE22)=2, "+", IF(COUNTIF($B22:AD22,"X")=0, "+", "-") ),
  IF(
    $A22&lt;AE$1,
    "O",
    IF( OFFSET(AE$1, COLUMN(AE22)-1, 0)="-", "O", IF(MOD($A22, AE$1)=0, "X", "O") )
  )
)</f>
        <v>O</v>
      </c>
      <c r="AF22" s="45" t="str">
        <f ca="1">IF(
  $A22=AF$1,
  IF( ROW(AF22)=2, "+", IF(COUNTIF($B22:AE22,"X")=0, "+", "-") ),
  IF(
    $A22&lt;AF$1,
    "O",
    IF( OFFSET(AF$1, COLUMN(AF22)-1, 0)="-", "O", IF(MOD($A22, AF$1)=0, "X", "O") )
  )
)</f>
        <v>O</v>
      </c>
      <c r="AG22" s="45" t="str">
        <f ca="1">IF(
  $A22=AG$1,
  IF( ROW(AG22)=2, "+", IF(COUNTIF($B22:AF22,"X")=0, "+", "-") ),
  IF(
    $A22&lt;AG$1,
    "O",
    IF( OFFSET(AG$1, COLUMN(AG22)-1, 0)="-", "O", IF(MOD($A22, AG$1)=0, "X", "O") )
  )
)</f>
        <v>O</v>
      </c>
      <c r="AH22" s="45" t="str">
        <f ca="1">IF(
  $A22=AH$1,
  IF( ROW(AH22)=2, "+", IF(COUNTIF($B22:AG22,"X")=0, "+", "-") ),
  IF(
    $A22&lt;AH$1,
    "O",
    IF( OFFSET(AH$1, COLUMN(AH22)-1, 0)="-", "O", IF(MOD($A22, AH$1)=0, "X", "O") )
  )
)</f>
        <v>O</v>
      </c>
      <c r="AI22" s="45" t="str">
        <f ca="1">IF(
  $A22=AI$1,
  IF( ROW(AI22)=2, "+", IF(COUNTIF($B22:AH22,"X")=0, "+", "-") ),
  IF(
    $A22&lt;AI$1,
    "O",
    IF( OFFSET(AI$1, COLUMN(AI22)-1, 0)="-", "O", IF(MOD($A22, AI$1)=0, "X", "O") )
  )
)</f>
        <v>O</v>
      </c>
      <c r="AJ22" s="45" t="str">
        <f ca="1">IF(
  $A22=AJ$1,
  IF( ROW(AJ22)=2, "+", IF(COUNTIF($B22:AI22,"X")=0, "+", "-") ),
  IF(
    $A22&lt;AJ$1,
    "O",
    IF( OFFSET(AJ$1, COLUMN(AJ22)-1, 0)="-", "O", IF(MOD($A22, AJ$1)=0, "X", "O") )
  )
)</f>
        <v>O</v>
      </c>
      <c r="AK22" s="45" t="str">
        <f ca="1">IF(
  $A22=AK$1,
  IF( ROW(AK22)=2, "+", IF(COUNTIF($B22:AJ22,"X")=0, "+", "-") ),
  IF(
    $A22&lt;AK$1,
    "O",
    IF( OFFSET(AK$1, COLUMN(AK22)-1, 0)="-", "O", IF(MOD($A22, AK$1)=0, "X", "O") )
  )
)</f>
        <v>O</v>
      </c>
      <c r="AL22" s="45" t="str">
        <f ca="1">IF(
  $A22=AL$1,
  IF( ROW(AL22)=2, "+", IF(COUNTIF($B22:AK22,"X")=0, "+", "-") ),
  IF(
    $A22&lt;AL$1,
    "O",
    IF( OFFSET(AL$1, COLUMN(AL22)-1, 0)="-", "O", IF(MOD($A22, AL$1)=0, "X", "O") )
  )
)</f>
        <v>O</v>
      </c>
      <c r="AM22" s="45" t="str">
        <f ca="1">IF(
  $A22=AM$1,
  IF( ROW(AM22)=2, "+", IF(COUNTIF($B22:AL22,"X")=0, "+", "-") ),
  IF(
    $A22&lt;AM$1,
    "O",
    IF( OFFSET(AM$1, COLUMN(AM22)-1, 0)="-", "O", IF(MOD($A22, AM$1)=0, "X", "O") )
  )
)</f>
        <v>O</v>
      </c>
      <c r="AN22" s="45" t="str">
        <f ca="1">IF(
  $A22=AN$1,
  IF( ROW(AN22)=2, "+", IF(COUNTIF($B22:AM22,"X")=0, "+", "-") ),
  IF(
    $A22&lt;AN$1,
    "O",
    IF( OFFSET(AN$1, COLUMN(AN22)-1, 0)="-", "O", IF(MOD($A22, AN$1)=0, "X", "O") )
  )
)</f>
        <v>O</v>
      </c>
      <c r="AO22" s="45" t="str">
        <f ca="1">IF(
  $A22=AO$1,
  IF( ROW(AO22)=2, "+", IF(COUNTIF($B22:AN22,"X")=0, "+", "-") ),
  IF(
    $A22&lt;AO$1,
    "O",
    IF( OFFSET(AO$1, COLUMN(AO22)-1, 0)="-", "O", IF(MOD($A22, AO$1)=0, "X", "O") )
  )
)</f>
        <v>O</v>
      </c>
      <c r="AP22" s="45" t="str">
        <f ca="1">IF(
  $A22=AP$1,
  IF( ROW(AP22)=2, "+", IF(COUNTIF($B22:AO22,"X")=0, "+", "-") ),
  IF(
    $A22&lt;AP$1,
    "O",
    IF( OFFSET(AP$1, COLUMN(AP22)-1, 0)="-", "O", IF(MOD($A22, AP$1)=0, "X", "O") )
  )
)</f>
        <v>O</v>
      </c>
      <c r="AQ22" s="45" t="str">
        <f ca="1">IF(
  $A22=AQ$1,
  IF( ROW(AQ22)=2, "+", IF(COUNTIF($B22:AP22,"X")=0, "+", "-") ),
  IF(
    $A22&lt;AQ$1,
    "O",
    IF( OFFSET(AQ$1, COLUMN(AQ22)-1, 0)="-", "O", IF(MOD($A22, AQ$1)=0, "X", "O") )
  )
)</f>
        <v>O</v>
      </c>
      <c r="AR22" s="45" t="str">
        <f ca="1">IF(
  $A22=AR$1,
  IF( ROW(AR22)=2, "+", IF(COUNTIF($B22:AQ22,"X")=0, "+", "-") ),
  IF(
    $A22&lt;AR$1,
    "O",
    IF( OFFSET(AR$1, COLUMN(AR22)-1, 0)="-", "O", IF(MOD($A22, AR$1)=0, "X", "O") )
  )
)</f>
        <v>O</v>
      </c>
      <c r="AS22" s="45" t="str">
        <f ca="1">IF(
  $A22=AS$1,
  IF( ROW(AS22)=2, "+", IF(COUNTIF($B22:AR22,"X")=0, "+", "-") ),
  IF(
    $A22&lt;AS$1,
    "O",
    IF( OFFSET(AS$1, COLUMN(AS22)-1, 0)="-", "O", IF(MOD($A22, AS$1)=0, "X", "O") )
  )
)</f>
        <v>O</v>
      </c>
      <c r="AT22" s="45" t="str">
        <f ca="1">IF(
  $A22=AT$1,
  IF( ROW(AT22)=2, "+", IF(COUNTIF($B22:AS22,"X")=0, "+", "-") ),
  IF(
    $A22&lt;AT$1,
    "O",
    IF( OFFSET(AT$1, COLUMN(AT22)-1, 0)="-", "O", IF(MOD($A22, AT$1)=0, "X", "O") )
  )
)</f>
        <v>O</v>
      </c>
      <c r="AU22" s="45" t="str">
        <f ca="1">IF(
  $A22=AU$1,
  IF( ROW(AU22)=2, "+", IF(COUNTIF($B22:AT22,"X")=0, "+", "-") ),
  IF(
    $A22&lt;AU$1,
    "O",
    IF( OFFSET(AU$1, COLUMN(AU22)-1, 0)="-", "O", IF(MOD($A22, AU$1)=0, "X", "O") )
  )
)</f>
        <v>O</v>
      </c>
      <c r="AV22" s="45" t="str">
        <f ca="1">IF(
  $A22=AV$1,
  IF( ROW(AV22)=2, "+", IF(COUNTIF($B22:AU22,"X")=0, "+", "-") ),
  IF(
    $A22&lt;AV$1,
    "O",
    IF( OFFSET(AV$1, COLUMN(AV22)-1, 0)="-", "O", IF(MOD($A22, AV$1)=0, "X", "O") )
  )
)</f>
        <v>O</v>
      </c>
      <c r="AW22" s="45" t="str">
        <f ca="1">IF(
  $A22=AW$1,
  IF( ROW(AW22)=2, "+", IF(COUNTIF($B22:AV22,"X")=0, "+", "-") ),
  IF(
    $A22&lt;AW$1,
    "O",
    IF( OFFSET(AW$1, COLUMN(AW22)-1, 0)="-", "O", IF(MOD($A22, AW$1)=0, "X", "O") )
  )
)</f>
        <v>O</v>
      </c>
      <c r="AX22" s="45" t="str">
        <f ca="1">IF(
  $A22=AX$1,
  IF( ROW(AX22)=2, "+", IF(COUNTIF($B22:AW22,"X")=0, "+", "-") ),
  IF(
    $A22&lt;AX$1,
    "O",
    IF( OFFSET(AX$1, COLUMN(AX22)-1, 0)="-", "O", IF(MOD($A22, AX$1)=0, "X", "O") )
  )
)</f>
        <v>O</v>
      </c>
      <c r="AY22" s="45" t="str">
        <f ca="1">IF(
  $A22=AY$1,
  IF( ROW(AY22)=2, "+", IF(COUNTIF($B22:AX22,"X")=0, "+", "-") ),
  IF(
    $A22&lt;AY$1,
    "O",
    IF( OFFSET(AY$1, COLUMN(AY22)-1, 0)="-", "O", IF(MOD($A22, AY$1)=0, "X", "O") )
  )
)</f>
        <v>O</v>
      </c>
      <c r="AZ22" s="45" t="str">
        <f ca="1">IF(
  $A22=AZ$1,
  IF( ROW(AZ22)=2, "+", IF(COUNTIF($B22:AY22,"X")=0, "+", "-") ),
  IF(
    $A22&lt;AZ$1,
    "O",
    IF( OFFSET(AZ$1, COLUMN(AZ22)-1, 0)="-", "O", IF(MOD($A22, AZ$1)=0, "X", "O") )
  )
)</f>
        <v>O</v>
      </c>
      <c r="BA22" s="45" t="str">
        <f ca="1">IF(
  $A22=BA$1,
  IF( ROW(BA22)=2, "+", IF(COUNTIF($B22:AZ22,"X")=0, "+", "-") ),
  IF(
    $A22&lt;BA$1,
    "O",
    IF( OFFSET(BA$1, COLUMN(BA22)-1, 0)="-", "O", IF(MOD($A22, BA$1)=0, "X", "O") )
  )
)</f>
        <v>O</v>
      </c>
      <c r="BB22" s="45" t="str">
        <f ca="1">IF(
  $A22=BB$1,
  IF( ROW(BB22)=2, "+", IF(COUNTIF($B22:BA22,"X")=0, "+", "-") ),
  IF(
    $A22&lt;BB$1,
    "O",
    IF( OFFSET(BB$1, COLUMN(BB22)-1, 0)="-", "O", IF(MOD($A22, BB$1)=0, "X", "O") )
  )
)</f>
        <v>O</v>
      </c>
      <c r="BC22" s="45" t="str">
        <f ca="1">IF(
  $A22=BC$1,
  IF( ROW(BC22)=2, "+", IF(COUNTIF($B22:BB22,"X")=0, "+", "-") ),
  IF(
    $A22&lt;BC$1,
    "O",
    IF( OFFSET(BC$1, COLUMN(BC22)-1, 0)="-", "O", IF(MOD($A22, BC$1)=0, "X", "O") )
  )
)</f>
        <v>O</v>
      </c>
      <c r="BD22" s="45" t="str">
        <f ca="1">IF(
  $A22=BD$1,
  IF( ROW(BD22)=2, "+", IF(COUNTIF($B22:BC22,"X")=0, "+", "-") ),
  IF(
    $A22&lt;BD$1,
    "O",
    IF( OFFSET(BD$1, COLUMN(BD22)-1, 0)="-", "O", IF(MOD($A22, BD$1)=0, "X", "O") )
  )
)</f>
        <v>O</v>
      </c>
      <c r="BE22" s="45" t="str">
        <f ca="1">IF(
  $A22=BE$1,
  IF( ROW(BE22)=2, "+", IF(COUNTIF($B22:BD22,"X")=0, "+", "-") ),
  IF(
    $A22&lt;BE$1,
    "O",
    IF( OFFSET(BE$1, COLUMN(BE22)-1, 0)="-", "O", IF(MOD($A22, BE$1)=0, "X", "O") )
  )
)</f>
        <v>O</v>
      </c>
      <c r="BF22" s="45" t="str">
        <f ca="1">IF(
  $A22=BF$1,
  IF( ROW(BF22)=2, "+", IF(COUNTIF($B22:BE22,"X")=0, "+", "-") ),
  IF(
    $A22&lt;BF$1,
    "O",
    IF( OFFSET(BF$1, COLUMN(BF22)-1, 0)="-", "O", IF(MOD($A22, BF$1)=0, "X", "O") )
  )
)</f>
        <v>O</v>
      </c>
      <c r="BG22" s="45" t="str">
        <f ca="1">IF(
  $A22=BG$1,
  IF( ROW(BG22)=2, "+", IF(COUNTIF($B22:BF22,"X")=0, "+", "-") ),
  IF(
    $A22&lt;BG$1,
    "O",
    IF( OFFSET(BG$1, COLUMN(BG22)-1, 0)="-", "O", IF(MOD($A22, BG$1)=0, "X", "O") )
  )
)</f>
        <v>O</v>
      </c>
      <c r="BH22" s="45" t="str">
        <f ca="1">IF(
  $A22=BH$1,
  IF( ROW(BH22)=2, "+", IF(COUNTIF($B22:BG22,"X")=0, "+", "-") ),
  IF(
    $A22&lt;BH$1,
    "O",
    IF( OFFSET(BH$1, COLUMN(BH22)-1, 0)="-", "O", IF(MOD($A22, BH$1)=0, "X", "O") )
  )
)</f>
        <v>O</v>
      </c>
    </row>
    <row r="23" spans="1:60" s="46" customFormat="1" x14ac:dyDescent="0.25">
      <c r="A23">
        <v>23</v>
      </c>
      <c r="B23" s="44" t="str">
        <f ca="1">IF(
  $A23=B$1,
  IF( ROW(B23)=2, "+", IF(COUNTIF(A23:$B23,"X")=0, "+", "-") ),
  IF(
    $A23&lt;B$1,
    "O",
    IF( OFFSET(B$1, COLUMN(B23)-1, 0)="-", "O", IF(MOD($A23, B$1)=0, "X", "O") )
  )
)</f>
        <v>O</v>
      </c>
      <c r="C23" s="44" t="str">
        <f ca="1">IF(
  $A23=C$1,
  IF( ROW(C23)=2, "+", IF(COUNTIF(B23:$B23,"X")=0, "+", "-") ),
  IF(
    $A23&lt;C$1,
    "O",
    IF( OFFSET(C$1, COLUMN(C23)-1, 0)="-", "O", IF(MOD($A23, C$1)=0, "X", "O") )
  )
)</f>
        <v>O</v>
      </c>
      <c r="D23" s="45" t="str">
        <f ca="1">IF(
  $A23=D$1,
  IF( ROW(D23)=2, "+", IF(COUNTIF($B23:C23,"X")=0, "+", "-") ),
  IF(
    $A23&lt;D$1,
    "O",
    IF( OFFSET(D$1, COLUMN(D23)-1, 0)="-", "O", IF(MOD($A23, D$1)=0, "X", "O") )
  )
)</f>
        <v>O</v>
      </c>
      <c r="E23" s="44" t="str">
        <f ca="1">IF(
  $A23=E$1,
  IF( ROW(E23)=2, "+", IF(COUNTIF($B23:D23,"X")=0, "+", "-") ),
  IF(
    $A23&lt;E$1,
    "O",
    IF( OFFSET(E$1, COLUMN(E23)-1, 0)="-", "O", IF(MOD($A23, E$1)=0, "X", "O") )
  )
)</f>
        <v>O</v>
      </c>
      <c r="F23" s="45" t="str">
        <f ca="1">IF(
  $A23=F$1,
  IF( ROW(F23)=2, "+", IF(COUNTIF($B23:E23,"X")=0, "+", "-") ),
  IF(
    $A23&lt;F$1,
    "O",
    IF( OFFSET(F$1, COLUMN(F23)-1, 0)="-", "O", IF(MOD($A23, F$1)=0, "X", "O") )
  )
)</f>
        <v>O</v>
      </c>
      <c r="G23" s="44" t="str">
        <f ca="1">IF(
  $A23=G$1,
  IF( ROW(G23)=2, "+", IF(COUNTIF($B23:F23,"X")=0, "+", "-") ),
  IF(
    $A23&lt;G$1,
    "O",
    IF( OFFSET(G$1, COLUMN(G23)-1, 0)="-", "O", IF(MOD($A23, G$1)=0, "X", "O") )
  )
)</f>
        <v>O</v>
      </c>
      <c r="H23" s="45" t="str">
        <f ca="1">IF(
  $A23=H$1,
  IF( ROW(H23)=2, "+", IF(COUNTIF($B23:G23,"X")=0, "+", "-") ),
  IF(
    $A23&lt;H$1,
    "O",
    IF( OFFSET(H$1, COLUMN(H23)-1, 0)="-", "O", IF(MOD($A23, H$1)=0, "X", "O") )
  )
)</f>
        <v>O</v>
      </c>
      <c r="I23" s="45" t="str">
        <f ca="1">IF(
  $A23=I$1,
  IF( ROW(I23)=2, "+", IF(COUNTIF($B23:H23,"X")=0, "+", "-") ),
  IF(
    $A23&lt;I$1,
    "O",
    IF( OFFSET(I$1, COLUMN(I23)-1, 0)="-", "O", IF(MOD($A23, I$1)=0, "X", "O") )
  )
)</f>
        <v>O</v>
      </c>
      <c r="J23" s="45" t="str">
        <f ca="1">IF(
  $A23=J$1,
  IF( ROW(J23)=2, "+", IF(COUNTIF($B23:I23,"X")=0, "+", "-") ),
  IF(
    $A23&lt;J$1,
    "O",
    IF( OFFSET(J$1, COLUMN(J23)-1, 0)="-", "O", IF(MOD($A23, J$1)=0, "X", "O") )
  )
)</f>
        <v>O</v>
      </c>
      <c r="K23" s="44" t="str">
        <f ca="1">IF(
  $A23=K$1,
  IF( ROW(K23)=2, "+", IF(COUNTIF($B23:J23,"X")=0, "+", "-") ),
  IF(
    $A23&lt;K$1,
    "O",
    IF( OFFSET(K$1, COLUMN(K23)-1, 0)="-", "O", IF(MOD($A23, K$1)=0, "X", "O") )
  )
)</f>
        <v>O</v>
      </c>
      <c r="L23" s="45" t="str">
        <f ca="1">IF(
  $A23=L$1,
  IF( ROW(L23)=2, "+", IF(COUNTIF($B23:K23,"X")=0, "+", "-") ),
  IF(
    $A23&lt;L$1,
    "O",
    IF( OFFSET(L$1, COLUMN(L23)-1, 0)="-", "O", IF(MOD($A23, L$1)=0, "X", "O") )
  )
)</f>
        <v>O</v>
      </c>
      <c r="M23" s="44" t="str">
        <f ca="1">IF(
  $A23=M$1,
  IF( ROW(M23)=2, "+", IF(COUNTIF($B23:L23,"X")=0, "+", "-") ),
  IF(
    $A23&lt;M$1,
    "O",
    IF( OFFSET(M$1, COLUMN(M23)-1, 0)="-", "O", IF(MOD($A23, M$1)=0, "X", "O") )
  )
)</f>
        <v>O</v>
      </c>
      <c r="N23" s="45" t="str">
        <f ca="1">IF(
  $A23=N$1,
  IF( ROW(N23)=2, "+", IF(COUNTIF($B23:M23,"X")=0, "+", "-") ),
  IF(
    $A23&lt;N$1,
    "O",
    IF( OFFSET(N$1, COLUMN(N23)-1, 0)="-", "O", IF(MOD($A23, N$1)=0, "X", "O") )
  )
)</f>
        <v>O</v>
      </c>
      <c r="O23" s="45" t="str">
        <f ca="1">IF(
  $A23=O$1,
  IF( ROW(O23)=2, "+", IF(COUNTIF($B23:N23,"X")=0, "+", "-") ),
  IF(
    $A23&lt;O$1,
    "O",
    IF( OFFSET(O$1, COLUMN(O23)-1, 0)="-", "O", IF(MOD($A23, O$1)=0, "X", "O") )
  )
)</f>
        <v>O</v>
      </c>
      <c r="P23" s="45" t="str">
        <f ca="1">IF(
  $A23=P$1,
  IF( ROW(P23)=2, "+", IF(COUNTIF($B23:O23,"X")=0, "+", "-") ),
  IF(
    $A23&lt;P$1,
    "O",
    IF( OFFSET(P$1, COLUMN(P23)-1, 0)="-", "O", IF(MOD($A23, P$1)=0, "X", "O") )
  )
)</f>
        <v>O</v>
      </c>
      <c r="Q23" s="44" t="str">
        <f ca="1">IF(
  $A23=Q$1,
  IF( ROW(Q23)=2, "+", IF(COUNTIF($B23:P23,"X")=0, "+", "-") ),
  IF(
    $A23&lt;Q$1,
    "O",
    IF( OFFSET(Q$1, COLUMN(Q23)-1, 0)="-", "O", IF(MOD($A23, Q$1)=0, "X", "O") )
  )
)</f>
        <v>O</v>
      </c>
      <c r="R23" s="45" t="str">
        <f ca="1">IF(
  $A23=R$1,
  IF( ROW(R23)=2, "+", IF(COUNTIF($B23:Q23,"X")=0, "+", "-") ),
  IF(
    $A23&lt;R$1,
    "O",
    IF( OFFSET(R$1, COLUMN(R23)-1, 0)="-", "O", IF(MOD($A23, R$1)=0, "X", "O") )
  )
)</f>
        <v>O</v>
      </c>
      <c r="S23" s="44" t="str">
        <f ca="1">IF(
  $A23=S$1,
  IF( ROW(S23)=2, "+", IF(COUNTIF($B23:R23,"X")=0, "+", "-") ),
  IF(
    $A23&lt;S$1,
    "O",
    IF( OFFSET(S$1, COLUMN(S23)-1, 0)="-", "O", IF(MOD($A23, S$1)=0, "X", "O") )
  )
)</f>
        <v>O</v>
      </c>
      <c r="T23" s="45" t="str">
        <f ca="1">IF(
  $A23=T$1,
  IF( ROW(T23)=2, "+", IF(COUNTIF($B23:S23,"X")=0, "+", "-") ),
  IF(
    $A23&lt;T$1,
    "O",
    IF( OFFSET(T$1, COLUMN(T23)-1, 0)="-", "O", IF(MOD($A23, T$1)=0, "X", "O") )
  )
)</f>
        <v>O</v>
      </c>
      <c r="U23" s="45" t="str">
        <f ca="1">IF(
  $A23=U$1,
  IF( ROW(U23)=2, "+", IF(COUNTIF($B23:T23,"X")=0, "+", "-") ),
  IF(
    $A23&lt;U$1,
    "O",
    IF( OFFSET(U$1, COLUMN(U23)-1, 0)="-", "O", IF(MOD($A23, U$1)=0, "X", "O") )
  )
)</f>
        <v>O</v>
      </c>
      <c r="V23" s="45" t="str">
        <f ca="1">IF(
  $A23=V$1,
  IF( ROW(V23)=2, "+", IF(COUNTIF($B23:U23,"X")=0, "+", "-") ),
  IF(
    $A23&lt;V$1,
    "O",
    IF( OFFSET(V$1, COLUMN(V23)-1, 0)="-", "O", IF(MOD($A23, V$1)=0, "X", "O") )
  )
)</f>
        <v>O</v>
      </c>
      <c r="W23" s="44" t="str">
        <f ca="1">IF(
  $A23=W$1,
  IF( ROW(W23)=2, "+", IF(COUNTIF($B23:V23,"X")=0, "+", "-") ),
  IF(
    $A23&lt;W$1,
    "O",
    IF( OFFSET(W$1, COLUMN(W23)-1, 0)="-", "O", IF(MOD($A23, W$1)=0, "X", "O") )
  )
)</f>
        <v>+</v>
      </c>
      <c r="X23" s="45" t="str">
        <f ca="1">IF(
  $A23=X$1,
  IF( ROW(X23)=2, "+", IF(COUNTIF($B23:W23,"X")=0, "+", "-") ),
  IF(
    $A23&lt;X$1,
    "O",
    IF( OFFSET(X$1, COLUMN(X23)-1, 0)="-", "O", IF(MOD($A23, X$1)=0, "X", "O") )
  )
)</f>
        <v>O</v>
      </c>
      <c r="Y23" s="45" t="str">
        <f ca="1">IF(
  $A23=Y$1,
  IF( ROW(Y23)=2, "+", IF(COUNTIF($B23:X23,"X")=0, "+", "-") ),
  IF(
    $A23&lt;Y$1,
    "O",
    IF( OFFSET(Y$1, COLUMN(Y23)-1, 0)="-", "O", IF(MOD($A23, Y$1)=0, "X", "O") )
  )
)</f>
        <v>O</v>
      </c>
      <c r="Z23" s="45" t="str">
        <f ca="1">IF(
  $A23=Z$1,
  IF( ROW(Z23)=2, "+", IF(COUNTIF($B23:Y23,"X")=0, "+", "-") ),
  IF(
    $A23&lt;Z$1,
    "O",
    IF( OFFSET(Z$1, COLUMN(Z23)-1, 0)="-", "O", IF(MOD($A23, Z$1)=0, "X", "O") )
  )
)</f>
        <v>O</v>
      </c>
      <c r="AA23" s="45" t="str">
        <f ca="1">IF(
  $A23=AA$1,
  IF( ROW(AA23)=2, "+", IF(COUNTIF($B23:Z23,"X")=0, "+", "-") ),
  IF(
    $A23&lt;AA$1,
    "O",
    IF( OFFSET(AA$1, COLUMN(AA23)-1, 0)="-", "O", IF(MOD($A23, AA$1)=0, "X", "O") )
  )
)</f>
        <v>O</v>
      </c>
      <c r="AB23" s="45" t="str">
        <f ca="1">IF(
  $A23=AB$1,
  IF( ROW(AB23)=2, "+", IF(COUNTIF($B23:AA23,"X")=0, "+", "-") ),
  IF(
    $A23&lt;AB$1,
    "O",
    IF( OFFSET(AB$1, COLUMN(AB23)-1, 0)="-", "O", IF(MOD($A23, AB$1)=0, "X", "O") )
  )
)</f>
        <v>O</v>
      </c>
      <c r="AC23" s="45" t="str">
        <f ca="1">IF(
  $A23=AC$1,
  IF( ROW(AC23)=2, "+", IF(COUNTIF($B23:AB23,"X")=0, "+", "-") ),
  IF(
    $A23&lt;AC$1,
    "O",
    IF( OFFSET(AC$1, COLUMN(AC23)-1, 0)="-", "O", IF(MOD($A23, AC$1)=0, "X", "O") )
  )
)</f>
        <v>O</v>
      </c>
      <c r="AD23" s="45" t="str">
        <f ca="1">IF(
  $A23=AD$1,
  IF( ROW(AD23)=2, "+", IF(COUNTIF($B23:AC23,"X")=0, "+", "-") ),
  IF(
    $A23&lt;AD$1,
    "O",
    IF( OFFSET(AD$1, COLUMN(AD23)-1, 0)="-", "O", IF(MOD($A23, AD$1)=0, "X", "O") )
  )
)</f>
        <v>O</v>
      </c>
      <c r="AE23" s="45" t="str">
        <f ca="1">IF(
  $A23=AE$1,
  IF( ROW(AE23)=2, "+", IF(COUNTIF($B23:AD23,"X")=0, "+", "-") ),
  IF(
    $A23&lt;AE$1,
    "O",
    IF( OFFSET(AE$1, COLUMN(AE23)-1, 0)="-", "O", IF(MOD($A23, AE$1)=0, "X", "O") )
  )
)</f>
        <v>O</v>
      </c>
      <c r="AF23" s="45" t="str">
        <f ca="1">IF(
  $A23=AF$1,
  IF( ROW(AF23)=2, "+", IF(COUNTIF($B23:AE23,"X")=0, "+", "-") ),
  IF(
    $A23&lt;AF$1,
    "O",
    IF( OFFSET(AF$1, COLUMN(AF23)-1, 0)="-", "O", IF(MOD($A23, AF$1)=0, "X", "O") )
  )
)</f>
        <v>O</v>
      </c>
      <c r="AG23" s="45" t="str">
        <f ca="1">IF(
  $A23=AG$1,
  IF( ROW(AG23)=2, "+", IF(COUNTIF($B23:AF23,"X")=0, "+", "-") ),
  IF(
    $A23&lt;AG$1,
    "O",
    IF( OFFSET(AG$1, COLUMN(AG23)-1, 0)="-", "O", IF(MOD($A23, AG$1)=0, "X", "O") )
  )
)</f>
        <v>O</v>
      </c>
      <c r="AH23" s="45" t="str">
        <f ca="1">IF(
  $A23=AH$1,
  IF( ROW(AH23)=2, "+", IF(COUNTIF($B23:AG23,"X")=0, "+", "-") ),
  IF(
    $A23&lt;AH$1,
    "O",
    IF( OFFSET(AH$1, COLUMN(AH23)-1, 0)="-", "O", IF(MOD($A23, AH$1)=0, "X", "O") )
  )
)</f>
        <v>O</v>
      </c>
      <c r="AI23" s="45" t="str">
        <f ca="1">IF(
  $A23=AI$1,
  IF( ROW(AI23)=2, "+", IF(COUNTIF($B23:AH23,"X")=0, "+", "-") ),
  IF(
    $A23&lt;AI$1,
    "O",
    IF( OFFSET(AI$1, COLUMN(AI23)-1, 0)="-", "O", IF(MOD($A23, AI$1)=0, "X", "O") )
  )
)</f>
        <v>O</v>
      </c>
      <c r="AJ23" s="45" t="str">
        <f ca="1">IF(
  $A23=AJ$1,
  IF( ROW(AJ23)=2, "+", IF(COUNTIF($B23:AI23,"X")=0, "+", "-") ),
  IF(
    $A23&lt;AJ$1,
    "O",
    IF( OFFSET(AJ$1, COLUMN(AJ23)-1, 0)="-", "O", IF(MOD($A23, AJ$1)=0, "X", "O") )
  )
)</f>
        <v>O</v>
      </c>
      <c r="AK23" s="45" t="str">
        <f ca="1">IF(
  $A23=AK$1,
  IF( ROW(AK23)=2, "+", IF(COUNTIF($B23:AJ23,"X")=0, "+", "-") ),
  IF(
    $A23&lt;AK$1,
    "O",
    IF( OFFSET(AK$1, COLUMN(AK23)-1, 0)="-", "O", IF(MOD($A23, AK$1)=0, "X", "O") )
  )
)</f>
        <v>O</v>
      </c>
      <c r="AL23" s="45" t="str">
        <f ca="1">IF(
  $A23=AL$1,
  IF( ROW(AL23)=2, "+", IF(COUNTIF($B23:AK23,"X")=0, "+", "-") ),
  IF(
    $A23&lt;AL$1,
    "O",
    IF( OFFSET(AL$1, COLUMN(AL23)-1, 0)="-", "O", IF(MOD($A23, AL$1)=0, "X", "O") )
  )
)</f>
        <v>O</v>
      </c>
      <c r="AM23" s="45" t="str">
        <f ca="1">IF(
  $A23=AM$1,
  IF( ROW(AM23)=2, "+", IF(COUNTIF($B23:AL23,"X")=0, "+", "-") ),
  IF(
    $A23&lt;AM$1,
    "O",
    IF( OFFSET(AM$1, COLUMN(AM23)-1, 0)="-", "O", IF(MOD($A23, AM$1)=0, "X", "O") )
  )
)</f>
        <v>O</v>
      </c>
      <c r="AN23" s="45" t="str">
        <f ca="1">IF(
  $A23=AN$1,
  IF( ROW(AN23)=2, "+", IF(COUNTIF($B23:AM23,"X")=0, "+", "-") ),
  IF(
    $A23&lt;AN$1,
    "O",
    IF( OFFSET(AN$1, COLUMN(AN23)-1, 0)="-", "O", IF(MOD($A23, AN$1)=0, "X", "O") )
  )
)</f>
        <v>O</v>
      </c>
      <c r="AO23" s="45" t="str">
        <f ca="1">IF(
  $A23=AO$1,
  IF( ROW(AO23)=2, "+", IF(COUNTIF($B23:AN23,"X")=0, "+", "-") ),
  IF(
    $A23&lt;AO$1,
    "O",
    IF( OFFSET(AO$1, COLUMN(AO23)-1, 0)="-", "O", IF(MOD($A23, AO$1)=0, "X", "O") )
  )
)</f>
        <v>O</v>
      </c>
      <c r="AP23" s="45" t="str">
        <f ca="1">IF(
  $A23=AP$1,
  IF( ROW(AP23)=2, "+", IF(COUNTIF($B23:AO23,"X")=0, "+", "-") ),
  IF(
    $A23&lt;AP$1,
    "O",
    IF( OFFSET(AP$1, COLUMN(AP23)-1, 0)="-", "O", IF(MOD($A23, AP$1)=0, "X", "O") )
  )
)</f>
        <v>O</v>
      </c>
      <c r="AQ23" s="45" t="str">
        <f ca="1">IF(
  $A23=AQ$1,
  IF( ROW(AQ23)=2, "+", IF(COUNTIF($B23:AP23,"X")=0, "+", "-") ),
  IF(
    $A23&lt;AQ$1,
    "O",
    IF( OFFSET(AQ$1, COLUMN(AQ23)-1, 0)="-", "O", IF(MOD($A23, AQ$1)=0, "X", "O") )
  )
)</f>
        <v>O</v>
      </c>
      <c r="AR23" s="45" t="str">
        <f ca="1">IF(
  $A23=AR$1,
  IF( ROW(AR23)=2, "+", IF(COUNTIF($B23:AQ23,"X")=0, "+", "-") ),
  IF(
    $A23&lt;AR$1,
    "O",
    IF( OFFSET(AR$1, COLUMN(AR23)-1, 0)="-", "O", IF(MOD($A23, AR$1)=0, "X", "O") )
  )
)</f>
        <v>O</v>
      </c>
      <c r="AS23" s="45" t="str">
        <f ca="1">IF(
  $A23=AS$1,
  IF( ROW(AS23)=2, "+", IF(COUNTIF($B23:AR23,"X")=0, "+", "-") ),
  IF(
    $A23&lt;AS$1,
    "O",
    IF( OFFSET(AS$1, COLUMN(AS23)-1, 0)="-", "O", IF(MOD($A23, AS$1)=0, "X", "O") )
  )
)</f>
        <v>O</v>
      </c>
      <c r="AT23" s="45" t="str">
        <f ca="1">IF(
  $A23=AT$1,
  IF( ROW(AT23)=2, "+", IF(COUNTIF($B23:AS23,"X")=0, "+", "-") ),
  IF(
    $A23&lt;AT$1,
    "O",
    IF( OFFSET(AT$1, COLUMN(AT23)-1, 0)="-", "O", IF(MOD($A23, AT$1)=0, "X", "O") )
  )
)</f>
        <v>O</v>
      </c>
      <c r="AU23" s="45" t="str">
        <f ca="1">IF(
  $A23=AU$1,
  IF( ROW(AU23)=2, "+", IF(COUNTIF($B23:AT23,"X")=0, "+", "-") ),
  IF(
    $A23&lt;AU$1,
    "O",
    IF( OFFSET(AU$1, COLUMN(AU23)-1, 0)="-", "O", IF(MOD($A23, AU$1)=0, "X", "O") )
  )
)</f>
        <v>O</v>
      </c>
      <c r="AV23" s="45" t="str">
        <f ca="1">IF(
  $A23=AV$1,
  IF( ROW(AV23)=2, "+", IF(COUNTIF($B23:AU23,"X")=0, "+", "-") ),
  IF(
    $A23&lt;AV$1,
    "O",
    IF( OFFSET(AV$1, COLUMN(AV23)-1, 0)="-", "O", IF(MOD($A23, AV$1)=0, "X", "O") )
  )
)</f>
        <v>O</v>
      </c>
      <c r="AW23" s="45" t="str">
        <f ca="1">IF(
  $A23=AW$1,
  IF( ROW(AW23)=2, "+", IF(COUNTIF($B23:AV23,"X")=0, "+", "-") ),
  IF(
    $A23&lt;AW$1,
    "O",
    IF( OFFSET(AW$1, COLUMN(AW23)-1, 0)="-", "O", IF(MOD($A23, AW$1)=0, "X", "O") )
  )
)</f>
        <v>O</v>
      </c>
      <c r="AX23" s="45" t="str">
        <f ca="1">IF(
  $A23=AX$1,
  IF( ROW(AX23)=2, "+", IF(COUNTIF($B23:AW23,"X")=0, "+", "-") ),
  IF(
    $A23&lt;AX$1,
    "O",
    IF( OFFSET(AX$1, COLUMN(AX23)-1, 0)="-", "O", IF(MOD($A23, AX$1)=0, "X", "O") )
  )
)</f>
        <v>O</v>
      </c>
      <c r="AY23" s="45" t="str">
        <f ca="1">IF(
  $A23=AY$1,
  IF( ROW(AY23)=2, "+", IF(COUNTIF($B23:AX23,"X")=0, "+", "-") ),
  IF(
    $A23&lt;AY$1,
    "O",
    IF( OFFSET(AY$1, COLUMN(AY23)-1, 0)="-", "O", IF(MOD($A23, AY$1)=0, "X", "O") )
  )
)</f>
        <v>O</v>
      </c>
      <c r="AZ23" s="45" t="str">
        <f ca="1">IF(
  $A23=AZ$1,
  IF( ROW(AZ23)=2, "+", IF(COUNTIF($B23:AY23,"X")=0, "+", "-") ),
  IF(
    $A23&lt;AZ$1,
    "O",
    IF( OFFSET(AZ$1, COLUMN(AZ23)-1, 0)="-", "O", IF(MOD($A23, AZ$1)=0, "X", "O") )
  )
)</f>
        <v>O</v>
      </c>
      <c r="BA23" s="45" t="str">
        <f ca="1">IF(
  $A23=BA$1,
  IF( ROW(BA23)=2, "+", IF(COUNTIF($B23:AZ23,"X")=0, "+", "-") ),
  IF(
    $A23&lt;BA$1,
    "O",
    IF( OFFSET(BA$1, COLUMN(BA23)-1, 0)="-", "O", IF(MOD($A23, BA$1)=0, "X", "O") )
  )
)</f>
        <v>O</v>
      </c>
      <c r="BB23" s="45" t="str">
        <f ca="1">IF(
  $A23=BB$1,
  IF( ROW(BB23)=2, "+", IF(COUNTIF($B23:BA23,"X")=0, "+", "-") ),
  IF(
    $A23&lt;BB$1,
    "O",
    IF( OFFSET(BB$1, COLUMN(BB23)-1, 0)="-", "O", IF(MOD($A23, BB$1)=0, "X", "O") )
  )
)</f>
        <v>O</v>
      </c>
      <c r="BC23" s="45" t="str">
        <f ca="1">IF(
  $A23=BC$1,
  IF( ROW(BC23)=2, "+", IF(COUNTIF($B23:BB23,"X")=0, "+", "-") ),
  IF(
    $A23&lt;BC$1,
    "O",
    IF( OFFSET(BC$1, COLUMN(BC23)-1, 0)="-", "O", IF(MOD($A23, BC$1)=0, "X", "O") )
  )
)</f>
        <v>O</v>
      </c>
      <c r="BD23" s="45" t="str">
        <f ca="1">IF(
  $A23=BD$1,
  IF( ROW(BD23)=2, "+", IF(COUNTIF($B23:BC23,"X")=0, "+", "-") ),
  IF(
    $A23&lt;BD$1,
    "O",
    IF( OFFSET(BD$1, COLUMN(BD23)-1, 0)="-", "O", IF(MOD($A23, BD$1)=0, "X", "O") )
  )
)</f>
        <v>O</v>
      </c>
      <c r="BE23" s="45" t="str">
        <f ca="1">IF(
  $A23=BE$1,
  IF( ROW(BE23)=2, "+", IF(COUNTIF($B23:BD23,"X")=0, "+", "-") ),
  IF(
    $A23&lt;BE$1,
    "O",
    IF( OFFSET(BE$1, COLUMN(BE23)-1, 0)="-", "O", IF(MOD($A23, BE$1)=0, "X", "O") )
  )
)</f>
        <v>O</v>
      </c>
      <c r="BF23" s="45" t="str">
        <f ca="1">IF(
  $A23=BF$1,
  IF( ROW(BF23)=2, "+", IF(COUNTIF($B23:BE23,"X")=0, "+", "-") ),
  IF(
    $A23&lt;BF$1,
    "O",
    IF( OFFSET(BF$1, COLUMN(BF23)-1, 0)="-", "O", IF(MOD($A23, BF$1)=0, "X", "O") )
  )
)</f>
        <v>O</v>
      </c>
      <c r="BG23" s="45" t="str">
        <f ca="1">IF(
  $A23=BG$1,
  IF( ROW(BG23)=2, "+", IF(COUNTIF($B23:BF23,"X")=0, "+", "-") ),
  IF(
    $A23&lt;BG$1,
    "O",
    IF( OFFSET(BG$1, COLUMN(BG23)-1, 0)="-", "O", IF(MOD($A23, BG$1)=0, "X", "O") )
  )
)</f>
        <v>O</v>
      </c>
      <c r="BH23" s="45" t="str">
        <f ca="1">IF(
  $A23=BH$1,
  IF( ROW(BH23)=2, "+", IF(COUNTIF($B23:BG23,"X")=0, "+", "-") ),
  IF(
    $A23&lt;BH$1,
    "O",
    IF( OFFSET(BH$1, COLUMN(BH23)-1, 0)="-", "O", IF(MOD($A23, BH$1)=0, "X", "O") )
  )
)</f>
        <v>O</v>
      </c>
    </row>
    <row r="24" spans="1:60" s="46" customFormat="1" x14ac:dyDescent="0.25">
      <c r="A24">
        <v>24</v>
      </c>
      <c r="B24" s="44" t="str">
        <f ca="1">IF(
  $A24=B$1,
  IF( ROW(B24)=2, "+", IF(COUNTIF(A24:$B24,"X")=0, "+", "-") ),
  IF(
    $A24&lt;B$1,
    "O",
    IF( OFFSET(B$1, COLUMN(B24)-1, 0)="-", "O", IF(MOD($A24, B$1)=0, "X", "O") )
  )
)</f>
        <v>X</v>
      </c>
      <c r="C24" s="44" t="str">
        <f ca="1">IF(
  $A24=C$1,
  IF( ROW(C24)=2, "+", IF(COUNTIF(B24:$B24,"X")=0, "+", "-") ),
  IF(
    $A24&lt;C$1,
    "O",
    IF( OFFSET(C$1, COLUMN(C24)-1, 0)="-", "O", IF(MOD($A24, C$1)=0, "X", "O") )
  )
)</f>
        <v>X</v>
      </c>
      <c r="D24" s="45" t="str">
        <f ca="1">IF(
  $A24=D$1,
  IF( ROW(D24)=2, "+", IF(COUNTIF($B24:C24,"X")=0, "+", "-") ),
  IF(
    $A24&lt;D$1,
    "O",
    IF( OFFSET(D$1, COLUMN(D24)-1, 0)="-", "O", IF(MOD($A24, D$1)=0, "X", "O") )
  )
)</f>
        <v>O</v>
      </c>
      <c r="E24" s="44" t="str">
        <f ca="1">IF(
  $A24=E$1,
  IF( ROW(E24)=2, "+", IF(COUNTIF($B24:D24,"X")=0, "+", "-") ),
  IF(
    $A24&lt;E$1,
    "O",
    IF( OFFSET(E$1, COLUMN(E24)-1, 0)="-", "O", IF(MOD($A24, E$1)=0, "X", "O") )
  )
)</f>
        <v>O</v>
      </c>
      <c r="F24" s="45" t="str">
        <f ca="1">IF(
  $A24=F$1,
  IF( ROW(F24)=2, "+", IF(COUNTIF($B24:E24,"X")=0, "+", "-") ),
  IF(
    $A24&lt;F$1,
    "O",
    IF( OFFSET(F$1, COLUMN(F24)-1, 0)="-", "O", IF(MOD($A24, F$1)=0, "X", "O") )
  )
)</f>
        <v>O</v>
      </c>
      <c r="G24" s="44" t="str">
        <f ca="1">IF(
  $A24=G$1,
  IF( ROW(G24)=2, "+", IF(COUNTIF($B24:F24,"X")=0, "+", "-") ),
  IF(
    $A24&lt;G$1,
    "O",
    IF( OFFSET(G$1, COLUMN(G24)-1, 0)="-", "O", IF(MOD($A24, G$1)=0, "X", "O") )
  )
)</f>
        <v>O</v>
      </c>
      <c r="H24" s="45" t="str">
        <f ca="1">IF(
  $A24=H$1,
  IF( ROW(H24)=2, "+", IF(COUNTIF($B24:G24,"X")=0, "+", "-") ),
  IF(
    $A24&lt;H$1,
    "O",
    IF( OFFSET(H$1, COLUMN(H24)-1, 0)="-", "O", IF(MOD($A24, H$1)=0, "X", "O") )
  )
)</f>
        <v>O</v>
      </c>
      <c r="I24" s="45" t="str">
        <f ca="1">IF(
  $A24=I$1,
  IF( ROW(I24)=2, "+", IF(COUNTIF($B24:H24,"X")=0, "+", "-") ),
  IF(
    $A24&lt;I$1,
    "O",
    IF( OFFSET(I$1, COLUMN(I24)-1, 0)="-", "O", IF(MOD($A24, I$1)=0, "X", "O") )
  )
)</f>
        <v>O</v>
      </c>
      <c r="J24" s="45" t="str">
        <f ca="1">IF(
  $A24=J$1,
  IF( ROW(J24)=2, "+", IF(COUNTIF($B24:I24,"X")=0, "+", "-") ),
  IF(
    $A24&lt;J$1,
    "O",
    IF( OFFSET(J$1, COLUMN(J24)-1, 0)="-", "O", IF(MOD($A24, J$1)=0, "X", "O") )
  )
)</f>
        <v>O</v>
      </c>
      <c r="K24" s="44" t="str">
        <f ca="1">IF(
  $A24=K$1,
  IF( ROW(K24)=2, "+", IF(COUNTIF($B24:J24,"X")=0, "+", "-") ),
  IF(
    $A24&lt;K$1,
    "O",
    IF( OFFSET(K$1, COLUMN(K24)-1, 0)="-", "O", IF(MOD($A24, K$1)=0, "X", "O") )
  )
)</f>
        <v>O</v>
      </c>
      <c r="L24" s="45" t="str">
        <f ca="1">IF(
  $A24=L$1,
  IF( ROW(L24)=2, "+", IF(COUNTIF($B24:K24,"X")=0, "+", "-") ),
  IF(
    $A24&lt;L$1,
    "O",
    IF( OFFSET(L$1, COLUMN(L24)-1, 0)="-", "O", IF(MOD($A24, L$1)=0, "X", "O") )
  )
)</f>
        <v>O</v>
      </c>
      <c r="M24" s="44" t="str">
        <f ca="1">IF(
  $A24=M$1,
  IF( ROW(M24)=2, "+", IF(COUNTIF($B24:L24,"X")=0, "+", "-") ),
  IF(
    $A24&lt;M$1,
    "O",
    IF( OFFSET(M$1, COLUMN(M24)-1, 0)="-", "O", IF(MOD($A24, M$1)=0, "X", "O") )
  )
)</f>
        <v>O</v>
      </c>
      <c r="N24" s="45" t="str">
        <f ca="1">IF(
  $A24=N$1,
  IF( ROW(N24)=2, "+", IF(COUNTIF($B24:M24,"X")=0, "+", "-") ),
  IF(
    $A24&lt;N$1,
    "O",
    IF( OFFSET(N$1, COLUMN(N24)-1, 0)="-", "O", IF(MOD($A24, N$1)=0, "X", "O") )
  )
)</f>
        <v>O</v>
      </c>
      <c r="O24" s="45" t="str">
        <f ca="1">IF(
  $A24=O$1,
  IF( ROW(O24)=2, "+", IF(COUNTIF($B24:N24,"X")=0, "+", "-") ),
  IF(
    $A24&lt;O$1,
    "O",
    IF( OFFSET(O$1, COLUMN(O24)-1, 0)="-", "O", IF(MOD($A24, O$1)=0, "X", "O") )
  )
)</f>
        <v>O</v>
      </c>
      <c r="P24" s="45" t="str">
        <f ca="1">IF(
  $A24=P$1,
  IF( ROW(P24)=2, "+", IF(COUNTIF($B24:O24,"X")=0, "+", "-") ),
  IF(
    $A24&lt;P$1,
    "O",
    IF( OFFSET(P$1, COLUMN(P24)-1, 0)="-", "O", IF(MOD($A24, P$1)=0, "X", "O") )
  )
)</f>
        <v>O</v>
      </c>
      <c r="Q24" s="44" t="str">
        <f ca="1">IF(
  $A24=Q$1,
  IF( ROW(Q24)=2, "+", IF(COUNTIF($B24:P24,"X")=0, "+", "-") ),
  IF(
    $A24&lt;Q$1,
    "O",
    IF( OFFSET(Q$1, COLUMN(Q24)-1, 0)="-", "O", IF(MOD($A24, Q$1)=0, "X", "O") )
  )
)</f>
        <v>O</v>
      </c>
      <c r="R24" s="45" t="str">
        <f ca="1">IF(
  $A24=R$1,
  IF( ROW(R24)=2, "+", IF(COUNTIF($B24:Q24,"X")=0, "+", "-") ),
  IF(
    $A24&lt;R$1,
    "O",
    IF( OFFSET(R$1, COLUMN(R24)-1, 0)="-", "O", IF(MOD($A24, R$1)=0, "X", "O") )
  )
)</f>
        <v>O</v>
      </c>
      <c r="S24" s="44" t="str">
        <f ca="1">IF(
  $A24=S$1,
  IF( ROW(S24)=2, "+", IF(COUNTIF($B24:R24,"X")=0, "+", "-") ),
  IF(
    $A24&lt;S$1,
    "O",
    IF( OFFSET(S$1, COLUMN(S24)-1, 0)="-", "O", IF(MOD($A24, S$1)=0, "X", "O") )
  )
)</f>
        <v>O</v>
      </c>
      <c r="T24" s="45" t="str">
        <f ca="1">IF(
  $A24=T$1,
  IF( ROW(T24)=2, "+", IF(COUNTIF($B24:S24,"X")=0, "+", "-") ),
  IF(
    $A24&lt;T$1,
    "O",
    IF( OFFSET(T$1, COLUMN(T24)-1, 0)="-", "O", IF(MOD($A24, T$1)=0, "X", "O") )
  )
)</f>
        <v>O</v>
      </c>
      <c r="U24" s="45" t="str">
        <f ca="1">IF(
  $A24=U$1,
  IF( ROW(U24)=2, "+", IF(COUNTIF($B24:T24,"X")=0, "+", "-") ),
  IF(
    $A24&lt;U$1,
    "O",
    IF( OFFSET(U$1, COLUMN(U24)-1, 0)="-", "O", IF(MOD($A24, U$1)=0, "X", "O") )
  )
)</f>
        <v>O</v>
      </c>
      <c r="V24" s="45" t="str">
        <f ca="1">IF(
  $A24=V$1,
  IF( ROW(V24)=2, "+", IF(COUNTIF($B24:U24,"X")=0, "+", "-") ),
  IF(
    $A24&lt;V$1,
    "O",
    IF( OFFSET(V$1, COLUMN(V24)-1, 0)="-", "O", IF(MOD($A24, V$1)=0, "X", "O") )
  )
)</f>
        <v>O</v>
      </c>
      <c r="W24" s="44" t="str">
        <f ca="1">IF(
  $A24=W$1,
  IF( ROW(W24)=2, "+", IF(COUNTIF($B24:V24,"X")=0, "+", "-") ),
  IF(
    $A24&lt;W$1,
    "O",
    IF( OFFSET(W$1, COLUMN(W24)-1, 0)="-", "O", IF(MOD($A24, W$1)=0, "X", "O") )
  )
)</f>
        <v>O</v>
      </c>
      <c r="X24" s="45" t="str">
        <f ca="1">IF(
  $A24=X$1,
  IF( ROW(X24)=2, "+", IF(COUNTIF($B24:W24,"X")=0, "+", "-") ),
  IF(
    $A24&lt;X$1,
    "O",
    IF( OFFSET(X$1, COLUMN(X24)-1, 0)="-", "O", IF(MOD($A24, X$1)=0, "X", "O") )
  )
)</f>
        <v>-</v>
      </c>
      <c r="Y24" s="45" t="str">
        <f ca="1">IF(
  $A24=Y$1,
  IF( ROW(Y24)=2, "+", IF(COUNTIF($B24:X24,"X")=0, "+", "-") ),
  IF(
    $A24&lt;Y$1,
    "O",
    IF( OFFSET(Y$1, COLUMN(Y24)-1, 0)="-", "O", IF(MOD($A24, Y$1)=0, "X", "O") )
  )
)</f>
        <v>O</v>
      </c>
      <c r="Z24" s="45" t="str">
        <f ca="1">IF(
  $A24=Z$1,
  IF( ROW(Z24)=2, "+", IF(COUNTIF($B24:Y24,"X")=0, "+", "-") ),
  IF(
    $A24&lt;Z$1,
    "O",
    IF( OFFSET(Z$1, COLUMN(Z24)-1, 0)="-", "O", IF(MOD($A24, Z$1)=0, "X", "O") )
  )
)</f>
        <v>O</v>
      </c>
      <c r="AA24" s="45" t="str">
        <f ca="1">IF(
  $A24=AA$1,
  IF( ROW(AA24)=2, "+", IF(COUNTIF($B24:Z24,"X")=0, "+", "-") ),
  IF(
    $A24&lt;AA$1,
    "O",
    IF( OFFSET(AA$1, COLUMN(AA24)-1, 0)="-", "O", IF(MOD($A24, AA$1)=0, "X", "O") )
  )
)</f>
        <v>O</v>
      </c>
      <c r="AB24" s="45" t="str">
        <f ca="1">IF(
  $A24=AB$1,
  IF( ROW(AB24)=2, "+", IF(COUNTIF($B24:AA24,"X")=0, "+", "-") ),
  IF(
    $A24&lt;AB$1,
    "O",
    IF( OFFSET(AB$1, COLUMN(AB24)-1, 0)="-", "O", IF(MOD($A24, AB$1)=0, "X", "O") )
  )
)</f>
        <v>O</v>
      </c>
      <c r="AC24" s="45" t="str">
        <f ca="1">IF(
  $A24=AC$1,
  IF( ROW(AC24)=2, "+", IF(COUNTIF($B24:AB24,"X")=0, "+", "-") ),
  IF(
    $A24&lt;AC$1,
    "O",
    IF( OFFSET(AC$1, COLUMN(AC24)-1, 0)="-", "O", IF(MOD($A24, AC$1)=0, "X", "O") )
  )
)</f>
        <v>O</v>
      </c>
      <c r="AD24" s="45" t="str">
        <f ca="1">IF(
  $A24=AD$1,
  IF( ROW(AD24)=2, "+", IF(COUNTIF($B24:AC24,"X")=0, "+", "-") ),
  IF(
    $A24&lt;AD$1,
    "O",
    IF( OFFSET(AD$1, COLUMN(AD24)-1, 0)="-", "O", IF(MOD($A24, AD$1)=0, "X", "O") )
  )
)</f>
        <v>O</v>
      </c>
      <c r="AE24" s="45" t="str">
        <f ca="1">IF(
  $A24=AE$1,
  IF( ROW(AE24)=2, "+", IF(COUNTIF($B24:AD24,"X")=0, "+", "-") ),
  IF(
    $A24&lt;AE$1,
    "O",
    IF( OFFSET(AE$1, COLUMN(AE24)-1, 0)="-", "O", IF(MOD($A24, AE$1)=0, "X", "O") )
  )
)</f>
        <v>O</v>
      </c>
      <c r="AF24" s="45" t="str">
        <f ca="1">IF(
  $A24=AF$1,
  IF( ROW(AF24)=2, "+", IF(COUNTIF($B24:AE24,"X")=0, "+", "-") ),
  IF(
    $A24&lt;AF$1,
    "O",
    IF( OFFSET(AF$1, COLUMN(AF24)-1, 0)="-", "O", IF(MOD($A24, AF$1)=0, "X", "O") )
  )
)</f>
        <v>O</v>
      </c>
      <c r="AG24" s="45" t="str">
        <f ca="1">IF(
  $A24=AG$1,
  IF( ROW(AG24)=2, "+", IF(COUNTIF($B24:AF24,"X")=0, "+", "-") ),
  IF(
    $A24&lt;AG$1,
    "O",
    IF( OFFSET(AG$1, COLUMN(AG24)-1, 0)="-", "O", IF(MOD($A24, AG$1)=0, "X", "O") )
  )
)</f>
        <v>O</v>
      </c>
      <c r="AH24" s="45" t="str">
        <f ca="1">IF(
  $A24=AH$1,
  IF( ROW(AH24)=2, "+", IF(COUNTIF($B24:AG24,"X")=0, "+", "-") ),
  IF(
    $A24&lt;AH$1,
    "O",
    IF( OFFSET(AH$1, COLUMN(AH24)-1, 0)="-", "O", IF(MOD($A24, AH$1)=0, "X", "O") )
  )
)</f>
        <v>O</v>
      </c>
      <c r="AI24" s="45" t="str">
        <f ca="1">IF(
  $A24=AI$1,
  IF( ROW(AI24)=2, "+", IF(COUNTIF($B24:AH24,"X")=0, "+", "-") ),
  IF(
    $A24&lt;AI$1,
    "O",
    IF( OFFSET(AI$1, COLUMN(AI24)-1, 0)="-", "O", IF(MOD($A24, AI$1)=0, "X", "O") )
  )
)</f>
        <v>O</v>
      </c>
      <c r="AJ24" s="45" t="str">
        <f ca="1">IF(
  $A24=AJ$1,
  IF( ROW(AJ24)=2, "+", IF(COUNTIF($B24:AI24,"X")=0, "+", "-") ),
  IF(
    $A24&lt;AJ$1,
    "O",
    IF( OFFSET(AJ$1, COLUMN(AJ24)-1, 0)="-", "O", IF(MOD($A24, AJ$1)=0, "X", "O") )
  )
)</f>
        <v>O</v>
      </c>
      <c r="AK24" s="45" t="str">
        <f ca="1">IF(
  $A24=AK$1,
  IF( ROW(AK24)=2, "+", IF(COUNTIF($B24:AJ24,"X")=0, "+", "-") ),
  IF(
    $A24&lt;AK$1,
    "O",
    IF( OFFSET(AK$1, COLUMN(AK24)-1, 0)="-", "O", IF(MOD($A24, AK$1)=0, "X", "O") )
  )
)</f>
        <v>O</v>
      </c>
      <c r="AL24" s="45" t="str">
        <f ca="1">IF(
  $A24=AL$1,
  IF( ROW(AL24)=2, "+", IF(COUNTIF($B24:AK24,"X")=0, "+", "-") ),
  IF(
    $A24&lt;AL$1,
    "O",
    IF( OFFSET(AL$1, COLUMN(AL24)-1, 0)="-", "O", IF(MOD($A24, AL$1)=0, "X", "O") )
  )
)</f>
        <v>O</v>
      </c>
      <c r="AM24" s="45" t="str">
        <f ca="1">IF(
  $A24=AM$1,
  IF( ROW(AM24)=2, "+", IF(COUNTIF($B24:AL24,"X")=0, "+", "-") ),
  IF(
    $A24&lt;AM$1,
    "O",
    IF( OFFSET(AM$1, COLUMN(AM24)-1, 0)="-", "O", IF(MOD($A24, AM$1)=0, "X", "O") )
  )
)</f>
        <v>O</v>
      </c>
      <c r="AN24" s="45" t="str">
        <f ca="1">IF(
  $A24=AN$1,
  IF( ROW(AN24)=2, "+", IF(COUNTIF($B24:AM24,"X")=0, "+", "-") ),
  IF(
    $A24&lt;AN$1,
    "O",
    IF( OFFSET(AN$1, COLUMN(AN24)-1, 0)="-", "O", IF(MOD($A24, AN$1)=0, "X", "O") )
  )
)</f>
        <v>O</v>
      </c>
      <c r="AO24" s="45" t="str">
        <f ca="1">IF(
  $A24=AO$1,
  IF( ROW(AO24)=2, "+", IF(COUNTIF($B24:AN24,"X")=0, "+", "-") ),
  IF(
    $A24&lt;AO$1,
    "O",
    IF( OFFSET(AO$1, COLUMN(AO24)-1, 0)="-", "O", IF(MOD($A24, AO$1)=0, "X", "O") )
  )
)</f>
        <v>O</v>
      </c>
      <c r="AP24" s="45" t="str">
        <f ca="1">IF(
  $A24=AP$1,
  IF( ROW(AP24)=2, "+", IF(COUNTIF($B24:AO24,"X")=0, "+", "-") ),
  IF(
    $A24&lt;AP$1,
    "O",
    IF( OFFSET(AP$1, COLUMN(AP24)-1, 0)="-", "O", IF(MOD($A24, AP$1)=0, "X", "O") )
  )
)</f>
        <v>O</v>
      </c>
      <c r="AQ24" s="45" t="str">
        <f ca="1">IF(
  $A24=AQ$1,
  IF( ROW(AQ24)=2, "+", IF(COUNTIF($B24:AP24,"X")=0, "+", "-") ),
  IF(
    $A24&lt;AQ$1,
    "O",
    IF( OFFSET(AQ$1, COLUMN(AQ24)-1, 0)="-", "O", IF(MOD($A24, AQ$1)=0, "X", "O") )
  )
)</f>
        <v>O</v>
      </c>
      <c r="AR24" s="45" t="str">
        <f ca="1">IF(
  $A24=AR$1,
  IF( ROW(AR24)=2, "+", IF(COUNTIF($B24:AQ24,"X")=0, "+", "-") ),
  IF(
    $A24&lt;AR$1,
    "O",
    IF( OFFSET(AR$1, COLUMN(AR24)-1, 0)="-", "O", IF(MOD($A24, AR$1)=0, "X", "O") )
  )
)</f>
        <v>O</v>
      </c>
      <c r="AS24" s="45" t="str">
        <f ca="1">IF(
  $A24=AS$1,
  IF( ROW(AS24)=2, "+", IF(COUNTIF($B24:AR24,"X")=0, "+", "-") ),
  IF(
    $A24&lt;AS$1,
    "O",
    IF( OFFSET(AS$1, COLUMN(AS24)-1, 0)="-", "O", IF(MOD($A24, AS$1)=0, "X", "O") )
  )
)</f>
        <v>O</v>
      </c>
      <c r="AT24" s="45" t="str">
        <f ca="1">IF(
  $A24=AT$1,
  IF( ROW(AT24)=2, "+", IF(COUNTIF($B24:AS24,"X")=0, "+", "-") ),
  IF(
    $A24&lt;AT$1,
    "O",
    IF( OFFSET(AT$1, COLUMN(AT24)-1, 0)="-", "O", IF(MOD($A24, AT$1)=0, "X", "O") )
  )
)</f>
        <v>O</v>
      </c>
      <c r="AU24" s="45" t="str">
        <f ca="1">IF(
  $A24=AU$1,
  IF( ROW(AU24)=2, "+", IF(COUNTIF($B24:AT24,"X")=0, "+", "-") ),
  IF(
    $A24&lt;AU$1,
    "O",
    IF( OFFSET(AU$1, COLUMN(AU24)-1, 0)="-", "O", IF(MOD($A24, AU$1)=0, "X", "O") )
  )
)</f>
        <v>O</v>
      </c>
      <c r="AV24" s="45" t="str">
        <f ca="1">IF(
  $A24=AV$1,
  IF( ROW(AV24)=2, "+", IF(COUNTIF($B24:AU24,"X")=0, "+", "-") ),
  IF(
    $A24&lt;AV$1,
    "O",
    IF( OFFSET(AV$1, COLUMN(AV24)-1, 0)="-", "O", IF(MOD($A24, AV$1)=0, "X", "O") )
  )
)</f>
        <v>O</v>
      </c>
      <c r="AW24" s="45" t="str">
        <f ca="1">IF(
  $A24=AW$1,
  IF( ROW(AW24)=2, "+", IF(COUNTIF($B24:AV24,"X")=0, "+", "-") ),
  IF(
    $A24&lt;AW$1,
    "O",
    IF( OFFSET(AW$1, COLUMN(AW24)-1, 0)="-", "O", IF(MOD($A24, AW$1)=0, "X", "O") )
  )
)</f>
        <v>O</v>
      </c>
      <c r="AX24" s="45" t="str">
        <f ca="1">IF(
  $A24=AX$1,
  IF( ROW(AX24)=2, "+", IF(COUNTIF($B24:AW24,"X")=0, "+", "-") ),
  IF(
    $A24&lt;AX$1,
    "O",
    IF( OFFSET(AX$1, COLUMN(AX24)-1, 0)="-", "O", IF(MOD($A24, AX$1)=0, "X", "O") )
  )
)</f>
        <v>O</v>
      </c>
      <c r="AY24" s="45" t="str">
        <f ca="1">IF(
  $A24=AY$1,
  IF( ROW(AY24)=2, "+", IF(COUNTIF($B24:AX24,"X")=0, "+", "-") ),
  IF(
    $A24&lt;AY$1,
    "O",
    IF( OFFSET(AY$1, COLUMN(AY24)-1, 0)="-", "O", IF(MOD($A24, AY$1)=0, "X", "O") )
  )
)</f>
        <v>O</v>
      </c>
      <c r="AZ24" s="45" t="str">
        <f ca="1">IF(
  $A24=AZ$1,
  IF( ROW(AZ24)=2, "+", IF(COUNTIF($B24:AY24,"X")=0, "+", "-") ),
  IF(
    $A24&lt;AZ$1,
    "O",
    IF( OFFSET(AZ$1, COLUMN(AZ24)-1, 0)="-", "O", IF(MOD($A24, AZ$1)=0, "X", "O") )
  )
)</f>
        <v>O</v>
      </c>
      <c r="BA24" s="45" t="str">
        <f ca="1">IF(
  $A24=BA$1,
  IF( ROW(BA24)=2, "+", IF(COUNTIF($B24:AZ24,"X")=0, "+", "-") ),
  IF(
    $A24&lt;BA$1,
    "O",
    IF( OFFSET(BA$1, COLUMN(BA24)-1, 0)="-", "O", IF(MOD($A24, BA$1)=0, "X", "O") )
  )
)</f>
        <v>O</v>
      </c>
      <c r="BB24" s="45" t="str">
        <f ca="1">IF(
  $A24=BB$1,
  IF( ROW(BB24)=2, "+", IF(COUNTIF($B24:BA24,"X")=0, "+", "-") ),
  IF(
    $A24&lt;BB$1,
    "O",
    IF( OFFSET(BB$1, COLUMN(BB24)-1, 0)="-", "O", IF(MOD($A24, BB$1)=0, "X", "O") )
  )
)</f>
        <v>O</v>
      </c>
      <c r="BC24" s="45" t="str">
        <f ca="1">IF(
  $A24=BC$1,
  IF( ROW(BC24)=2, "+", IF(COUNTIF($B24:BB24,"X")=0, "+", "-") ),
  IF(
    $A24&lt;BC$1,
    "O",
    IF( OFFSET(BC$1, COLUMN(BC24)-1, 0)="-", "O", IF(MOD($A24, BC$1)=0, "X", "O") )
  )
)</f>
        <v>O</v>
      </c>
      <c r="BD24" s="45" t="str">
        <f ca="1">IF(
  $A24=BD$1,
  IF( ROW(BD24)=2, "+", IF(COUNTIF($B24:BC24,"X")=0, "+", "-") ),
  IF(
    $A24&lt;BD$1,
    "O",
    IF( OFFSET(BD$1, COLUMN(BD24)-1, 0)="-", "O", IF(MOD($A24, BD$1)=0, "X", "O") )
  )
)</f>
        <v>O</v>
      </c>
      <c r="BE24" s="45" t="str">
        <f ca="1">IF(
  $A24=BE$1,
  IF( ROW(BE24)=2, "+", IF(COUNTIF($B24:BD24,"X")=0, "+", "-") ),
  IF(
    $A24&lt;BE$1,
    "O",
    IF( OFFSET(BE$1, COLUMN(BE24)-1, 0)="-", "O", IF(MOD($A24, BE$1)=0, "X", "O") )
  )
)</f>
        <v>O</v>
      </c>
      <c r="BF24" s="45" t="str">
        <f ca="1">IF(
  $A24=BF$1,
  IF( ROW(BF24)=2, "+", IF(COUNTIF($B24:BE24,"X")=0, "+", "-") ),
  IF(
    $A24&lt;BF$1,
    "O",
    IF( OFFSET(BF$1, COLUMN(BF24)-1, 0)="-", "O", IF(MOD($A24, BF$1)=0, "X", "O") )
  )
)</f>
        <v>O</v>
      </c>
      <c r="BG24" s="45" t="str">
        <f ca="1">IF(
  $A24=BG$1,
  IF( ROW(BG24)=2, "+", IF(COUNTIF($B24:BF24,"X")=0, "+", "-") ),
  IF(
    $A24&lt;BG$1,
    "O",
    IF( OFFSET(BG$1, COLUMN(BG24)-1, 0)="-", "O", IF(MOD($A24, BG$1)=0, "X", "O") )
  )
)</f>
        <v>O</v>
      </c>
      <c r="BH24" s="45" t="str">
        <f ca="1">IF(
  $A24=BH$1,
  IF( ROW(BH24)=2, "+", IF(COUNTIF($B24:BG24,"X")=0, "+", "-") ),
  IF(
    $A24&lt;BH$1,
    "O",
    IF( OFFSET(BH$1, COLUMN(BH24)-1, 0)="-", "O", IF(MOD($A24, BH$1)=0, "X", "O") )
  )
)</f>
        <v>O</v>
      </c>
    </row>
    <row r="25" spans="1:60" s="46" customFormat="1" x14ac:dyDescent="0.25">
      <c r="A25">
        <v>25</v>
      </c>
      <c r="B25" s="44" t="str">
        <f ca="1">IF(
  $A25=B$1,
  IF( ROW(B25)=2, "+", IF(COUNTIF(A25:$B25,"X")=0, "+", "-") ),
  IF(
    $A25&lt;B$1,
    "O",
    IF( OFFSET(B$1, COLUMN(B25)-1, 0)="-", "O", IF(MOD($A25, B$1)=0, "X", "O") )
  )
)</f>
        <v>O</v>
      </c>
      <c r="C25" s="44" t="str">
        <f ca="1">IF(
  $A25=C$1,
  IF( ROW(C25)=2, "+", IF(COUNTIF(B25:$B25,"X")=0, "+", "-") ),
  IF(
    $A25&lt;C$1,
    "O",
    IF( OFFSET(C$1, COLUMN(C25)-1, 0)="-", "O", IF(MOD($A25, C$1)=0, "X", "O") )
  )
)</f>
        <v>O</v>
      </c>
      <c r="D25" s="45" t="str">
        <f ca="1">IF(
  $A25=D$1,
  IF( ROW(D25)=2, "+", IF(COUNTIF($B25:C25,"X")=0, "+", "-") ),
  IF(
    $A25&lt;D$1,
    "O",
    IF( OFFSET(D$1, COLUMN(D25)-1, 0)="-", "O", IF(MOD($A25, D$1)=0, "X", "O") )
  )
)</f>
        <v>O</v>
      </c>
      <c r="E25" s="44" t="str">
        <f ca="1">IF(
  $A25=E$1,
  IF( ROW(E25)=2, "+", IF(COUNTIF($B25:D25,"X")=0, "+", "-") ),
  IF(
    $A25&lt;E$1,
    "O",
    IF( OFFSET(E$1, COLUMN(E25)-1, 0)="-", "O", IF(MOD($A25, E$1)=0, "X", "O") )
  )
)</f>
        <v>X</v>
      </c>
      <c r="F25" s="45" t="str">
        <f ca="1">IF(
  $A25=F$1,
  IF( ROW(F25)=2, "+", IF(COUNTIF($B25:E25,"X")=0, "+", "-") ),
  IF(
    $A25&lt;F$1,
    "O",
    IF( OFFSET(F$1, COLUMN(F25)-1, 0)="-", "O", IF(MOD($A25, F$1)=0, "X", "O") )
  )
)</f>
        <v>O</v>
      </c>
      <c r="G25" s="44" t="str">
        <f ca="1">IF(
  $A25=G$1,
  IF( ROW(G25)=2, "+", IF(COUNTIF($B25:F25,"X")=0, "+", "-") ),
  IF(
    $A25&lt;G$1,
    "O",
    IF( OFFSET(G$1, COLUMN(G25)-1, 0)="-", "O", IF(MOD($A25, G$1)=0, "X", "O") )
  )
)</f>
        <v>O</v>
      </c>
      <c r="H25" s="45" t="str">
        <f ca="1">IF(
  $A25=H$1,
  IF( ROW(H25)=2, "+", IF(COUNTIF($B25:G25,"X")=0, "+", "-") ),
  IF(
    $A25&lt;H$1,
    "O",
    IF( OFFSET(H$1, COLUMN(H25)-1, 0)="-", "O", IF(MOD($A25, H$1)=0, "X", "O") )
  )
)</f>
        <v>O</v>
      </c>
      <c r="I25" s="45" t="str">
        <f ca="1">IF(
  $A25=I$1,
  IF( ROW(I25)=2, "+", IF(COUNTIF($B25:H25,"X")=0, "+", "-") ),
  IF(
    $A25&lt;I$1,
    "O",
    IF( OFFSET(I$1, COLUMN(I25)-1, 0)="-", "O", IF(MOD($A25, I$1)=0, "X", "O") )
  )
)</f>
        <v>O</v>
      </c>
      <c r="J25" s="45" t="str">
        <f ca="1">IF(
  $A25=J$1,
  IF( ROW(J25)=2, "+", IF(COUNTIF($B25:I25,"X")=0, "+", "-") ),
  IF(
    $A25&lt;J$1,
    "O",
    IF( OFFSET(J$1, COLUMN(J25)-1, 0)="-", "O", IF(MOD($A25, J$1)=0, "X", "O") )
  )
)</f>
        <v>O</v>
      </c>
      <c r="K25" s="44" t="str">
        <f ca="1">IF(
  $A25=K$1,
  IF( ROW(K25)=2, "+", IF(COUNTIF($B25:J25,"X")=0, "+", "-") ),
  IF(
    $A25&lt;K$1,
    "O",
    IF( OFFSET(K$1, COLUMN(K25)-1, 0)="-", "O", IF(MOD($A25, K$1)=0, "X", "O") )
  )
)</f>
        <v>O</v>
      </c>
      <c r="L25" s="45" t="str">
        <f ca="1">IF(
  $A25=L$1,
  IF( ROW(L25)=2, "+", IF(COUNTIF($B25:K25,"X")=0, "+", "-") ),
  IF(
    $A25&lt;L$1,
    "O",
    IF( OFFSET(L$1, COLUMN(L25)-1, 0)="-", "O", IF(MOD($A25, L$1)=0, "X", "O") )
  )
)</f>
        <v>O</v>
      </c>
      <c r="M25" s="44" t="str">
        <f ca="1">IF(
  $A25=M$1,
  IF( ROW(M25)=2, "+", IF(COUNTIF($B25:L25,"X")=0, "+", "-") ),
  IF(
    $A25&lt;M$1,
    "O",
    IF( OFFSET(M$1, COLUMN(M25)-1, 0)="-", "O", IF(MOD($A25, M$1)=0, "X", "O") )
  )
)</f>
        <v>O</v>
      </c>
      <c r="N25" s="45" t="str">
        <f ca="1">IF(
  $A25=N$1,
  IF( ROW(N25)=2, "+", IF(COUNTIF($B25:M25,"X")=0, "+", "-") ),
  IF(
    $A25&lt;N$1,
    "O",
    IF( OFFSET(N$1, COLUMN(N25)-1, 0)="-", "O", IF(MOD($A25, N$1)=0, "X", "O") )
  )
)</f>
        <v>O</v>
      </c>
      <c r="O25" s="45" t="str">
        <f ca="1">IF(
  $A25=O$1,
  IF( ROW(O25)=2, "+", IF(COUNTIF($B25:N25,"X")=0, "+", "-") ),
  IF(
    $A25&lt;O$1,
    "O",
    IF( OFFSET(O$1, COLUMN(O25)-1, 0)="-", "O", IF(MOD($A25, O$1)=0, "X", "O") )
  )
)</f>
        <v>O</v>
      </c>
      <c r="P25" s="45" t="str">
        <f ca="1">IF(
  $A25=P$1,
  IF( ROW(P25)=2, "+", IF(COUNTIF($B25:O25,"X")=0, "+", "-") ),
  IF(
    $A25&lt;P$1,
    "O",
    IF( OFFSET(P$1, COLUMN(P25)-1, 0)="-", "O", IF(MOD($A25, P$1)=0, "X", "O") )
  )
)</f>
        <v>O</v>
      </c>
      <c r="Q25" s="44" t="str">
        <f ca="1">IF(
  $A25=Q$1,
  IF( ROW(Q25)=2, "+", IF(COUNTIF($B25:P25,"X")=0, "+", "-") ),
  IF(
    $A25&lt;Q$1,
    "O",
    IF( OFFSET(Q$1, COLUMN(Q25)-1, 0)="-", "O", IF(MOD($A25, Q$1)=0, "X", "O") )
  )
)</f>
        <v>O</v>
      </c>
      <c r="R25" s="45" t="str">
        <f ca="1">IF(
  $A25=R$1,
  IF( ROW(R25)=2, "+", IF(COUNTIF($B25:Q25,"X")=0, "+", "-") ),
  IF(
    $A25&lt;R$1,
    "O",
    IF( OFFSET(R$1, COLUMN(R25)-1, 0)="-", "O", IF(MOD($A25, R$1)=0, "X", "O") )
  )
)</f>
        <v>O</v>
      </c>
      <c r="S25" s="44" t="str">
        <f ca="1">IF(
  $A25=S$1,
  IF( ROW(S25)=2, "+", IF(COUNTIF($B25:R25,"X")=0, "+", "-") ),
  IF(
    $A25&lt;S$1,
    "O",
    IF( OFFSET(S$1, COLUMN(S25)-1, 0)="-", "O", IF(MOD($A25, S$1)=0, "X", "O") )
  )
)</f>
        <v>O</v>
      </c>
      <c r="T25" s="45" t="str">
        <f ca="1">IF(
  $A25=T$1,
  IF( ROW(T25)=2, "+", IF(COUNTIF($B25:S25,"X")=0, "+", "-") ),
  IF(
    $A25&lt;T$1,
    "O",
    IF( OFFSET(T$1, COLUMN(T25)-1, 0)="-", "O", IF(MOD($A25, T$1)=0, "X", "O") )
  )
)</f>
        <v>O</v>
      </c>
      <c r="U25" s="45" t="str">
        <f ca="1">IF(
  $A25=U$1,
  IF( ROW(U25)=2, "+", IF(COUNTIF($B25:T25,"X")=0, "+", "-") ),
  IF(
    $A25&lt;U$1,
    "O",
    IF( OFFSET(U$1, COLUMN(U25)-1, 0)="-", "O", IF(MOD($A25, U$1)=0, "X", "O") )
  )
)</f>
        <v>O</v>
      </c>
      <c r="V25" s="45" t="str">
        <f ca="1">IF(
  $A25=V$1,
  IF( ROW(V25)=2, "+", IF(COUNTIF($B25:U25,"X")=0, "+", "-") ),
  IF(
    $A25&lt;V$1,
    "O",
    IF( OFFSET(V$1, COLUMN(V25)-1, 0)="-", "O", IF(MOD($A25, V$1)=0, "X", "O") )
  )
)</f>
        <v>O</v>
      </c>
      <c r="W25" s="44" t="str">
        <f ca="1">IF(
  $A25=W$1,
  IF( ROW(W25)=2, "+", IF(COUNTIF($B25:V25,"X")=0, "+", "-") ),
  IF(
    $A25&lt;W$1,
    "O",
    IF( OFFSET(W$1, COLUMN(W25)-1, 0)="-", "O", IF(MOD($A25, W$1)=0, "X", "O") )
  )
)</f>
        <v>O</v>
      </c>
      <c r="X25" s="45" t="str">
        <f ca="1">IF(
  $A25=X$1,
  IF( ROW(X25)=2, "+", IF(COUNTIF($B25:W25,"X")=0, "+", "-") ),
  IF(
    $A25&lt;X$1,
    "O",
    IF( OFFSET(X$1, COLUMN(X25)-1, 0)="-", "O", IF(MOD($A25, X$1)=0, "X", "O") )
  )
)</f>
        <v>O</v>
      </c>
      <c r="Y25" s="45" t="str">
        <f ca="1">IF(
  $A25=Y$1,
  IF( ROW(Y25)=2, "+", IF(COUNTIF($B25:X25,"X")=0, "+", "-") ),
  IF(
    $A25&lt;Y$1,
    "O",
    IF( OFFSET(Y$1, COLUMN(Y25)-1, 0)="-", "O", IF(MOD($A25, Y$1)=0, "X", "O") )
  )
)</f>
        <v>-</v>
      </c>
      <c r="Z25" s="45" t="str">
        <f ca="1">IF(
  $A25=Z$1,
  IF( ROW(Z25)=2, "+", IF(COUNTIF($B25:Y25,"X")=0, "+", "-") ),
  IF(
    $A25&lt;Z$1,
    "O",
    IF( OFFSET(Z$1, COLUMN(Z25)-1, 0)="-", "O", IF(MOD($A25, Z$1)=0, "X", "O") )
  )
)</f>
        <v>O</v>
      </c>
      <c r="AA25" s="45" t="str">
        <f ca="1">IF(
  $A25=AA$1,
  IF( ROW(AA25)=2, "+", IF(COUNTIF($B25:Z25,"X")=0, "+", "-") ),
  IF(
    $A25&lt;AA$1,
    "O",
    IF( OFFSET(AA$1, COLUMN(AA25)-1, 0)="-", "O", IF(MOD($A25, AA$1)=0, "X", "O") )
  )
)</f>
        <v>O</v>
      </c>
      <c r="AB25" s="45" t="str">
        <f ca="1">IF(
  $A25=AB$1,
  IF( ROW(AB25)=2, "+", IF(COUNTIF($B25:AA25,"X")=0, "+", "-") ),
  IF(
    $A25&lt;AB$1,
    "O",
    IF( OFFSET(AB$1, COLUMN(AB25)-1, 0)="-", "O", IF(MOD($A25, AB$1)=0, "X", "O") )
  )
)</f>
        <v>O</v>
      </c>
      <c r="AC25" s="45" t="str">
        <f ca="1">IF(
  $A25=AC$1,
  IF( ROW(AC25)=2, "+", IF(COUNTIF($B25:AB25,"X")=0, "+", "-") ),
  IF(
    $A25&lt;AC$1,
    "O",
    IF( OFFSET(AC$1, COLUMN(AC25)-1, 0)="-", "O", IF(MOD($A25, AC$1)=0, "X", "O") )
  )
)</f>
        <v>O</v>
      </c>
      <c r="AD25" s="45" t="str">
        <f ca="1">IF(
  $A25=AD$1,
  IF( ROW(AD25)=2, "+", IF(COUNTIF($B25:AC25,"X")=0, "+", "-") ),
  IF(
    $A25&lt;AD$1,
    "O",
    IF( OFFSET(AD$1, COLUMN(AD25)-1, 0)="-", "O", IF(MOD($A25, AD$1)=0, "X", "O") )
  )
)</f>
        <v>O</v>
      </c>
      <c r="AE25" s="45" t="str">
        <f ca="1">IF(
  $A25=AE$1,
  IF( ROW(AE25)=2, "+", IF(COUNTIF($B25:AD25,"X")=0, "+", "-") ),
  IF(
    $A25&lt;AE$1,
    "O",
    IF( OFFSET(AE$1, COLUMN(AE25)-1, 0)="-", "O", IF(MOD($A25, AE$1)=0, "X", "O") )
  )
)</f>
        <v>O</v>
      </c>
      <c r="AF25" s="45" t="str">
        <f ca="1">IF(
  $A25=AF$1,
  IF( ROW(AF25)=2, "+", IF(COUNTIF($B25:AE25,"X")=0, "+", "-") ),
  IF(
    $A25&lt;AF$1,
    "O",
    IF( OFFSET(AF$1, COLUMN(AF25)-1, 0)="-", "O", IF(MOD($A25, AF$1)=0, "X", "O") )
  )
)</f>
        <v>O</v>
      </c>
      <c r="AG25" s="45" t="str">
        <f ca="1">IF(
  $A25=AG$1,
  IF( ROW(AG25)=2, "+", IF(COUNTIF($B25:AF25,"X")=0, "+", "-") ),
  IF(
    $A25&lt;AG$1,
    "O",
    IF( OFFSET(AG$1, COLUMN(AG25)-1, 0)="-", "O", IF(MOD($A25, AG$1)=0, "X", "O") )
  )
)</f>
        <v>O</v>
      </c>
      <c r="AH25" s="45" t="str">
        <f ca="1">IF(
  $A25=AH$1,
  IF( ROW(AH25)=2, "+", IF(COUNTIF($B25:AG25,"X")=0, "+", "-") ),
  IF(
    $A25&lt;AH$1,
    "O",
    IF( OFFSET(AH$1, COLUMN(AH25)-1, 0)="-", "O", IF(MOD($A25, AH$1)=0, "X", "O") )
  )
)</f>
        <v>O</v>
      </c>
      <c r="AI25" s="45" t="str">
        <f ca="1">IF(
  $A25=AI$1,
  IF( ROW(AI25)=2, "+", IF(COUNTIF($B25:AH25,"X")=0, "+", "-") ),
  IF(
    $A25&lt;AI$1,
    "O",
    IF( OFFSET(AI$1, COLUMN(AI25)-1, 0)="-", "O", IF(MOD($A25, AI$1)=0, "X", "O") )
  )
)</f>
        <v>O</v>
      </c>
      <c r="AJ25" s="45" t="str">
        <f ca="1">IF(
  $A25=AJ$1,
  IF( ROW(AJ25)=2, "+", IF(COUNTIF($B25:AI25,"X")=0, "+", "-") ),
  IF(
    $A25&lt;AJ$1,
    "O",
    IF( OFFSET(AJ$1, COLUMN(AJ25)-1, 0)="-", "O", IF(MOD($A25, AJ$1)=0, "X", "O") )
  )
)</f>
        <v>O</v>
      </c>
      <c r="AK25" s="45" t="str">
        <f ca="1">IF(
  $A25=AK$1,
  IF( ROW(AK25)=2, "+", IF(COUNTIF($B25:AJ25,"X")=0, "+", "-") ),
  IF(
    $A25&lt;AK$1,
    "O",
    IF( OFFSET(AK$1, COLUMN(AK25)-1, 0)="-", "O", IF(MOD($A25, AK$1)=0, "X", "O") )
  )
)</f>
        <v>O</v>
      </c>
      <c r="AL25" s="45" t="str">
        <f ca="1">IF(
  $A25=AL$1,
  IF( ROW(AL25)=2, "+", IF(COUNTIF($B25:AK25,"X")=0, "+", "-") ),
  IF(
    $A25&lt;AL$1,
    "O",
    IF( OFFSET(AL$1, COLUMN(AL25)-1, 0)="-", "O", IF(MOD($A25, AL$1)=0, "X", "O") )
  )
)</f>
        <v>O</v>
      </c>
      <c r="AM25" s="45" t="str">
        <f ca="1">IF(
  $A25=AM$1,
  IF( ROW(AM25)=2, "+", IF(COUNTIF($B25:AL25,"X")=0, "+", "-") ),
  IF(
    $A25&lt;AM$1,
    "O",
    IF( OFFSET(AM$1, COLUMN(AM25)-1, 0)="-", "O", IF(MOD($A25, AM$1)=0, "X", "O") )
  )
)</f>
        <v>O</v>
      </c>
      <c r="AN25" s="45" t="str">
        <f ca="1">IF(
  $A25=AN$1,
  IF( ROW(AN25)=2, "+", IF(COUNTIF($B25:AM25,"X")=0, "+", "-") ),
  IF(
    $A25&lt;AN$1,
    "O",
    IF( OFFSET(AN$1, COLUMN(AN25)-1, 0)="-", "O", IF(MOD($A25, AN$1)=0, "X", "O") )
  )
)</f>
        <v>O</v>
      </c>
      <c r="AO25" s="45" t="str">
        <f ca="1">IF(
  $A25=AO$1,
  IF( ROW(AO25)=2, "+", IF(COUNTIF($B25:AN25,"X")=0, "+", "-") ),
  IF(
    $A25&lt;AO$1,
    "O",
    IF( OFFSET(AO$1, COLUMN(AO25)-1, 0)="-", "O", IF(MOD($A25, AO$1)=0, "X", "O") )
  )
)</f>
        <v>O</v>
      </c>
      <c r="AP25" s="45" t="str">
        <f ca="1">IF(
  $A25=AP$1,
  IF( ROW(AP25)=2, "+", IF(COUNTIF($B25:AO25,"X")=0, "+", "-") ),
  IF(
    $A25&lt;AP$1,
    "O",
    IF( OFFSET(AP$1, COLUMN(AP25)-1, 0)="-", "O", IF(MOD($A25, AP$1)=0, "X", "O") )
  )
)</f>
        <v>O</v>
      </c>
      <c r="AQ25" s="45" t="str">
        <f ca="1">IF(
  $A25=AQ$1,
  IF( ROW(AQ25)=2, "+", IF(COUNTIF($B25:AP25,"X")=0, "+", "-") ),
  IF(
    $A25&lt;AQ$1,
    "O",
    IF( OFFSET(AQ$1, COLUMN(AQ25)-1, 0)="-", "O", IF(MOD($A25, AQ$1)=0, "X", "O") )
  )
)</f>
        <v>O</v>
      </c>
      <c r="AR25" s="45" t="str">
        <f ca="1">IF(
  $A25=AR$1,
  IF( ROW(AR25)=2, "+", IF(COUNTIF($B25:AQ25,"X")=0, "+", "-") ),
  IF(
    $A25&lt;AR$1,
    "O",
    IF( OFFSET(AR$1, COLUMN(AR25)-1, 0)="-", "O", IF(MOD($A25, AR$1)=0, "X", "O") )
  )
)</f>
        <v>O</v>
      </c>
      <c r="AS25" s="45" t="str">
        <f ca="1">IF(
  $A25=AS$1,
  IF( ROW(AS25)=2, "+", IF(COUNTIF($B25:AR25,"X")=0, "+", "-") ),
  IF(
    $A25&lt;AS$1,
    "O",
    IF( OFFSET(AS$1, COLUMN(AS25)-1, 0)="-", "O", IF(MOD($A25, AS$1)=0, "X", "O") )
  )
)</f>
        <v>O</v>
      </c>
      <c r="AT25" s="45" t="str">
        <f ca="1">IF(
  $A25=AT$1,
  IF( ROW(AT25)=2, "+", IF(COUNTIF($B25:AS25,"X")=0, "+", "-") ),
  IF(
    $A25&lt;AT$1,
    "O",
    IF( OFFSET(AT$1, COLUMN(AT25)-1, 0)="-", "O", IF(MOD($A25, AT$1)=0, "X", "O") )
  )
)</f>
        <v>O</v>
      </c>
      <c r="AU25" s="45" t="str">
        <f ca="1">IF(
  $A25=AU$1,
  IF( ROW(AU25)=2, "+", IF(COUNTIF($B25:AT25,"X")=0, "+", "-") ),
  IF(
    $A25&lt;AU$1,
    "O",
    IF( OFFSET(AU$1, COLUMN(AU25)-1, 0)="-", "O", IF(MOD($A25, AU$1)=0, "X", "O") )
  )
)</f>
        <v>O</v>
      </c>
      <c r="AV25" s="45" t="str">
        <f ca="1">IF(
  $A25=AV$1,
  IF( ROW(AV25)=2, "+", IF(COUNTIF($B25:AU25,"X")=0, "+", "-") ),
  IF(
    $A25&lt;AV$1,
    "O",
    IF( OFFSET(AV$1, COLUMN(AV25)-1, 0)="-", "O", IF(MOD($A25, AV$1)=0, "X", "O") )
  )
)</f>
        <v>O</v>
      </c>
      <c r="AW25" s="45" t="str">
        <f ca="1">IF(
  $A25=AW$1,
  IF( ROW(AW25)=2, "+", IF(COUNTIF($B25:AV25,"X")=0, "+", "-") ),
  IF(
    $A25&lt;AW$1,
    "O",
    IF( OFFSET(AW$1, COLUMN(AW25)-1, 0)="-", "O", IF(MOD($A25, AW$1)=0, "X", "O") )
  )
)</f>
        <v>O</v>
      </c>
      <c r="AX25" s="45" t="str">
        <f ca="1">IF(
  $A25=AX$1,
  IF( ROW(AX25)=2, "+", IF(COUNTIF($B25:AW25,"X")=0, "+", "-") ),
  IF(
    $A25&lt;AX$1,
    "O",
    IF( OFFSET(AX$1, COLUMN(AX25)-1, 0)="-", "O", IF(MOD($A25, AX$1)=0, "X", "O") )
  )
)</f>
        <v>O</v>
      </c>
      <c r="AY25" s="45" t="str">
        <f ca="1">IF(
  $A25=AY$1,
  IF( ROW(AY25)=2, "+", IF(COUNTIF($B25:AX25,"X")=0, "+", "-") ),
  IF(
    $A25&lt;AY$1,
    "O",
    IF( OFFSET(AY$1, COLUMN(AY25)-1, 0)="-", "O", IF(MOD($A25, AY$1)=0, "X", "O") )
  )
)</f>
        <v>O</v>
      </c>
      <c r="AZ25" s="45" t="str">
        <f ca="1">IF(
  $A25=AZ$1,
  IF( ROW(AZ25)=2, "+", IF(COUNTIF($B25:AY25,"X")=0, "+", "-") ),
  IF(
    $A25&lt;AZ$1,
    "O",
    IF( OFFSET(AZ$1, COLUMN(AZ25)-1, 0)="-", "O", IF(MOD($A25, AZ$1)=0, "X", "O") )
  )
)</f>
        <v>O</v>
      </c>
      <c r="BA25" s="45" t="str">
        <f ca="1">IF(
  $A25=BA$1,
  IF( ROW(BA25)=2, "+", IF(COUNTIF($B25:AZ25,"X")=0, "+", "-") ),
  IF(
    $A25&lt;BA$1,
    "O",
    IF( OFFSET(BA$1, COLUMN(BA25)-1, 0)="-", "O", IF(MOD($A25, BA$1)=0, "X", "O") )
  )
)</f>
        <v>O</v>
      </c>
      <c r="BB25" s="45" t="str">
        <f ca="1">IF(
  $A25=BB$1,
  IF( ROW(BB25)=2, "+", IF(COUNTIF($B25:BA25,"X")=0, "+", "-") ),
  IF(
    $A25&lt;BB$1,
    "O",
    IF( OFFSET(BB$1, COLUMN(BB25)-1, 0)="-", "O", IF(MOD($A25, BB$1)=0, "X", "O") )
  )
)</f>
        <v>O</v>
      </c>
      <c r="BC25" s="45" t="str">
        <f ca="1">IF(
  $A25=BC$1,
  IF( ROW(BC25)=2, "+", IF(COUNTIF($B25:BB25,"X")=0, "+", "-") ),
  IF(
    $A25&lt;BC$1,
    "O",
    IF( OFFSET(BC$1, COLUMN(BC25)-1, 0)="-", "O", IF(MOD($A25, BC$1)=0, "X", "O") )
  )
)</f>
        <v>O</v>
      </c>
      <c r="BD25" s="45" t="str">
        <f ca="1">IF(
  $A25=BD$1,
  IF( ROW(BD25)=2, "+", IF(COUNTIF($B25:BC25,"X")=0, "+", "-") ),
  IF(
    $A25&lt;BD$1,
    "O",
    IF( OFFSET(BD$1, COLUMN(BD25)-1, 0)="-", "O", IF(MOD($A25, BD$1)=0, "X", "O") )
  )
)</f>
        <v>O</v>
      </c>
      <c r="BE25" s="45" t="str">
        <f ca="1">IF(
  $A25=BE$1,
  IF( ROW(BE25)=2, "+", IF(COUNTIF($B25:BD25,"X")=0, "+", "-") ),
  IF(
    $A25&lt;BE$1,
    "O",
    IF( OFFSET(BE$1, COLUMN(BE25)-1, 0)="-", "O", IF(MOD($A25, BE$1)=0, "X", "O") )
  )
)</f>
        <v>O</v>
      </c>
      <c r="BF25" s="45" t="str">
        <f ca="1">IF(
  $A25=BF$1,
  IF( ROW(BF25)=2, "+", IF(COUNTIF($B25:BE25,"X")=0, "+", "-") ),
  IF(
    $A25&lt;BF$1,
    "O",
    IF( OFFSET(BF$1, COLUMN(BF25)-1, 0)="-", "O", IF(MOD($A25, BF$1)=0, "X", "O") )
  )
)</f>
        <v>O</v>
      </c>
      <c r="BG25" s="45" t="str">
        <f ca="1">IF(
  $A25=BG$1,
  IF( ROW(BG25)=2, "+", IF(COUNTIF($B25:BF25,"X")=0, "+", "-") ),
  IF(
    $A25&lt;BG$1,
    "O",
    IF( OFFSET(BG$1, COLUMN(BG25)-1, 0)="-", "O", IF(MOD($A25, BG$1)=0, "X", "O") )
  )
)</f>
        <v>O</v>
      </c>
      <c r="BH25" s="45" t="str">
        <f ca="1">IF(
  $A25=BH$1,
  IF( ROW(BH25)=2, "+", IF(COUNTIF($B25:BG25,"X")=0, "+", "-") ),
  IF(
    $A25&lt;BH$1,
    "O",
    IF( OFFSET(BH$1, COLUMN(BH25)-1, 0)="-", "O", IF(MOD($A25, BH$1)=0, "X", "O") )
  )
)</f>
        <v>O</v>
      </c>
    </row>
    <row r="26" spans="1:60" s="46" customFormat="1" x14ac:dyDescent="0.25">
      <c r="A26">
        <v>26</v>
      </c>
      <c r="B26" s="44" t="str">
        <f ca="1">IF(
  $A26=B$1,
  IF( ROW(B26)=2, "+", IF(COUNTIF(A26:$B26,"X")=0, "+", "-") ),
  IF(
    $A26&lt;B$1,
    "O",
    IF( OFFSET(B$1, COLUMN(B26)-1, 0)="-", "O", IF(MOD($A26, B$1)=0, "X", "O") )
  )
)</f>
        <v>X</v>
      </c>
      <c r="C26" s="44" t="str">
        <f ca="1">IF(
  $A26=C$1,
  IF( ROW(C26)=2, "+", IF(COUNTIF(B26:$B26,"X")=0, "+", "-") ),
  IF(
    $A26&lt;C$1,
    "O",
    IF( OFFSET(C$1, COLUMN(C26)-1, 0)="-", "O", IF(MOD($A26, C$1)=0, "X", "O") )
  )
)</f>
        <v>O</v>
      </c>
      <c r="D26" s="45" t="str">
        <f ca="1">IF(
  $A26=D$1,
  IF( ROW(D26)=2, "+", IF(COUNTIF($B26:C26,"X")=0, "+", "-") ),
  IF(
    $A26&lt;D$1,
    "O",
    IF( OFFSET(D$1, COLUMN(D26)-1, 0)="-", "O", IF(MOD($A26, D$1)=0, "X", "O") )
  )
)</f>
        <v>O</v>
      </c>
      <c r="E26" s="44" t="str">
        <f ca="1">IF(
  $A26=E$1,
  IF( ROW(E26)=2, "+", IF(COUNTIF($B26:D26,"X")=0, "+", "-") ),
  IF(
    $A26&lt;E$1,
    "O",
    IF( OFFSET(E$1, COLUMN(E26)-1, 0)="-", "O", IF(MOD($A26, E$1)=0, "X", "O") )
  )
)</f>
        <v>O</v>
      </c>
      <c r="F26" s="45" t="str">
        <f ca="1">IF(
  $A26=F$1,
  IF( ROW(F26)=2, "+", IF(COUNTIF($B26:E26,"X")=0, "+", "-") ),
  IF(
    $A26&lt;F$1,
    "O",
    IF( OFFSET(F$1, COLUMN(F26)-1, 0)="-", "O", IF(MOD($A26, F$1)=0, "X", "O") )
  )
)</f>
        <v>O</v>
      </c>
      <c r="G26" s="44" t="str">
        <f ca="1">IF(
  $A26=G$1,
  IF( ROW(G26)=2, "+", IF(COUNTIF($B26:F26,"X")=0, "+", "-") ),
  IF(
    $A26&lt;G$1,
    "O",
    IF( OFFSET(G$1, COLUMN(G26)-1, 0)="-", "O", IF(MOD($A26, G$1)=0, "X", "O") )
  )
)</f>
        <v>O</v>
      </c>
      <c r="H26" s="45" t="str">
        <f ca="1">IF(
  $A26=H$1,
  IF( ROW(H26)=2, "+", IF(COUNTIF($B26:G26,"X")=0, "+", "-") ),
  IF(
    $A26&lt;H$1,
    "O",
    IF( OFFSET(H$1, COLUMN(H26)-1, 0)="-", "O", IF(MOD($A26, H$1)=0, "X", "O") )
  )
)</f>
        <v>O</v>
      </c>
      <c r="I26" s="45" t="str">
        <f ca="1">IF(
  $A26=I$1,
  IF( ROW(I26)=2, "+", IF(COUNTIF($B26:H26,"X")=0, "+", "-") ),
  IF(
    $A26&lt;I$1,
    "O",
    IF( OFFSET(I$1, COLUMN(I26)-1, 0)="-", "O", IF(MOD($A26, I$1)=0, "X", "O") )
  )
)</f>
        <v>O</v>
      </c>
      <c r="J26" s="45" t="str">
        <f ca="1">IF(
  $A26=J$1,
  IF( ROW(J26)=2, "+", IF(COUNTIF($B26:I26,"X")=0, "+", "-") ),
  IF(
    $A26&lt;J$1,
    "O",
    IF( OFFSET(J$1, COLUMN(J26)-1, 0)="-", "O", IF(MOD($A26, J$1)=0, "X", "O") )
  )
)</f>
        <v>O</v>
      </c>
      <c r="K26" s="44" t="str">
        <f ca="1">IF(
  $A26=K$1,
  IF( ROW(K26)=2, "+", IF(COUNTIF($B26:J26,"X")=0, "+", "-") ),
  IF(
    $A26&lt;K$1,
    "O",
    IF( OFFSET(K$1, COLUMN(K26)-1, 0)="-", "O", IF(MOD($A26, K$1)=0, "X", "O") )
  )
)</f>
        <v>O</v>
      </c>
      <c r="L26" s="45" t="str">
        <f ca="1">IF(
  $A26=L$1,
  IF( ROW(L26)=2, "+", IF(COUNTIF($B26:K26,"X")=0, "+", "-") ),
  IF(
    $A26&lt;L$1,
    "O",
    IF( OFFSET(L$1, COLUMN(L26)-1, 0)="-", "O", IF(MOD($A26, L$1)=0, "X", "O") )
  )
)</f>
        <v>O</v>
      </c>
      <c r="M26" s="44" t="str">
        <f ca="1">IF(
  $A26=M$1,
  IF( ROW(M26)=2, "+", IF(COUNTIF($B26:L26,"X")=0, "+", "-") ),
  IF(
    $A26&lt;M$1,
    "O",
    IF( OFFSET(M$1, COLUMN(M26)-1, 0)="-", "O", IF(MOD($A26, M$1)=0, "X", "O") )
  )
)</f>
        <v>X</v>
      </c>
      <c r="N26" s="45" t="str">
        <f ca="1">IF(
  $A26=N$1,
  IF( ROW(N26)=2, "+", IF(COUNTIF($B26:M26,"X")=0, "+", "-") ),
  IF(
    $A26&lt;N$1,
    "O",
    IF( OFFSET(N$1, COLUMN(N26)-1, 0)="-", "O", IF(MOD($A26, N$1)=0, "X", "O") )
  )
)</f>
        <v>O</v>
      </c>
      <c r="O26" s="45" t="str">
        <f ca="1">IF(
  $A26=O$1,
  IF( ROW(O26)=2, "+", IF(COUNTIF($B26:N26,"X")=0, "+", "-") ),
  IF(
    $A26&lt;O$1,
    "O",
    IF( OFFSET(O$1, COLUMN(O26)-1, 0)="-", "O", IF(MOD($A26, O$1)=0, "X", "O") )
  )
)</f>
        <v>O</v>
      </c>
      <c r="P26" s="45" t="str">
        <f ca="1">IF(
  $A26=P$1,
  IF( ROW(P26)=2, "+", IF(COUNTIF($B26:O26,"X")=0, "+", "-") ),
  IF(
    $A26&lt;P$1,
    "O",
    IF( OFFSET(P$1, COLUMN(P26)-1, 0)="-", "O", IF(MOD($A26, P$1)=0, "X", "O") )
  )
)</f>
        <v>O</v>
      </c>
      <c r="Q26" s="44" t="str">
        <f ca="1">IF(
  $A26=Q$1,
  IF( ROW(Q26)=2, "+", IF(COUNTIF($B26:P26,"X")=0, "+", "-") ),
  IF(
    $A26&lt;Q$1,
    "O",
    IF( OFFSET(Q$1, COLUMN(Q26)-1, 0)="-", "O", IF(MOD($A26, Q$1)=0, "X", "O") )
  )
)</f>
        <v>O</v>
      </c>
      <c r="R26" s="45" t="str">
        <f ca="1">IF(
  $A26=R$1,
  IF( ROW(R26)=2, "+", IF(COUNTIF($B26:Q26,"X")=0, "+", "-") ),
  IF(
    $A26&lt;R$1,
    "O",
    IF( OFFSET(R$1, COLUMN(R26)-1, 0)="-", "O", IF(MOD($A26, R$1)=0, "X", "O") )
  )
)</f>
        <v>O</v>
      </c>
      <c r="S26" s="44" t="str">
        <f ca="1">IF(
  $A26=S$1,
  IF( ROW(S26)=2, "+", IF(COUNTIF($B26:R26,"X")=0, "+", "-") ),
  IF(
    $A26&lt;S$1,
    "O",
    IF( OFFSET(S$1, COLUMN(S26)-1, 0)="-", "O", IF(MOD($A26, S$1)=0, "X", "O") )
  )
)</f>
        <v>O</v>
      </c>
      <c r="T26" s="45" t="str">
        <f ca="1">IF(
  $A26=T$1,
  IF( ROW(T26)=2, "+", IF(COUNTIF($B26:S26,"X")=0, "+", "-") ),
  IF(
    $A26&lt;T$1,
    "O",
    IF( OFFSET(T$1, COLUMN(T26)-1, 0)="-", "O", IF(MOD($A26, T$1)=0, "X", "O") )
  )
)</f>
        <v>O</v>
      </c>
      <c r="U26" s="45" t="str">
        <f ca="1">IF(
  $A26=U$1,
  IF( ROW(U26)=2, "+", IF(COUNTIF($B26:T26,"X")=0, "+", "-") ),
  IF(
    $A26&lt;U$1,
    "O",
    IF( OFFSET(U$1, COLUMN(U26)-1, 0)="-", "O", IF(MOD($A26, U$1)=0, "X", "O") )
  )
)</f>
        <v>O</v>
      </c>
      <c r="V26" s="45" t="str">
        <f ca="1">IF(
  $A26=V$1,
  IF( ROW(V26)=2, "+", IF(COUNTIF($B26:U26,"X")=0, "+", "-") ),
  IF(
    $A26&lt;V$1,
    "O",
    IF( OFFSET(V$1, COLUMN(V26)-1, 0)="-", "O", IF(MOD($A26, V$1)=0, "X", "O") )
  )
)</f>
        <v>O</v>
      </c>
      <c r="W26" s="44" t="str">
        <f ca="1">IF(
  $A26=W$1,
  IF( ROW(W26)=2, "+", IF(COUNTIF($B26:V26,"X")=0, "+", "-") ),
  IF(
    $A26&lt;W$1,
    "O",
    IF( OFFSET(W$1, COLUMN(W26)-1, 0)="-", "O", IF(MOD($A26, W$1)=0, "X", "O") )
  )
)</f>
        <v>O</v>
      </c>
      <c r="X26" s="45" t="str">
        <f ca="1">IF(
  $A26=X$1,
  IF( ROW(X26)=2, "+", IF(COUNTIF($B26:W26,"X")=0, "+", "-") ),
  IF(
    $A26&lt;X$1,
    "O",
    IF( OFFSET(X$1, COLUMN(X26)-1, 0)="-", "O", IF(MOD($A26, X$1)=0, "X", "O") )
  )
)</f>
        <v>O</v>
      </c>
      <c r="Y26" s="45" t="str">
        <f ca="1">IF(
  $A26=Y$1,
  IF( ROW(Y26)=2, "+", IF(COUNTIF($B26:X26,"X")=0, "+", "-") ),
  IF(
    $A26&lt;Y$1,
    "O",
    IF( OFFSET(Y$1, COLUMN(Y26)-1, 0)="-", "O", IF(MOD($A26, Y$1)=0, "X", "O") )
  )
)</f>
        <v>O</v>
      </c>
      <c r="Z26" s="45" t="str">
        <f ca="1">IF(
  $A26=Z$1,
  IF( ROW(Z26)=2, "+", IF(COUNTIF($B26:Y26,"X")=0, "+", "-") ),
  IF(
    $A26&lt;Z$1,
    "O",
    IF( OFFSET(Z$1, COLUMN(Z26)-1, 0)="-", "O", IF(MOD($A26, Z$1)=0, "X", "O") )
  )
)</f>
        <v>-</v>
      </c>
      <c r="AA26" s="45" t="str">
        <f ca="1">IF(
  $A26=AA$1,
  IF( ROW(AA26)=2, "+", IF(COUNTIF($B26:Z26,"X")=0, "+", "-") ),
  IF(
    $A26&lt;AA$1,
    "O",
    IF( OFFSET(AA$1, COLUMN(AA26)-1, 0)="-", "O", IF(MOD($A26, AA$1)=0, "X", "O") )
  )
)</f>
        <v>O</v>
      </c>
      <c r="AB26" s="45" t="str">
        <f ca="1">IF(
  $A26=AB$1,
  IF( ROW(AB26)=2, "+", IF(COUNTIF($B26:AA26,"X")=0, "+", "-") ),
  IF(
    $A26&lt;AB$1,
    "O",
    IF( OFFSET(AB$1, COLUMN(AB26)-1, 0)="-", "O", IF(MOD($A26, AB$1)=0, "X", "O") )
  )
)</f>
        <v>O</v>
      </c>
      <c r="AC26" s="45" t="str">
        <f ca="1">IF(
  $A26=AC$1,
  IF( ROW(AC26)=2, "+", IF(COUNTIF($B26:AB26,"X")=0, "+", "-") ),
  IF(
    $A26&lt;AC$1,
    "O",
    IF( OFFSET(AC$1, COLUMN(AC26)-1, 0)="-", "O", IF(MOD($A26, AC$1)=0, "X", "O") )
  )
)</f>
        <v>O</v>
      </c>
      <c r="AD26" s="45" t="str">
        <f ca="1">IF(
  $A26=AD$1,
  IF( ROW(AD26)=2, "+", IF(COUNTIF($B26:AC26,"X")=0, "+", "-") ),
  IF(
    $A26&lt;AD$1,
    "O",
    IF( OFFSET(AD$1, COLUMN(AD26)-1, 0)="-", "O", IF(MOD($A26, AD$1)=0, "X", "O") )
  )
)</f>
        <v>O</v>
      </c>
      <c r="AE26" s="45" t="str">
        <f ca="1">IF(
  $A26=AE$1,
  IF( ROW(AE26)=2, "+", IF(COUNTIF($B26:AD26,"X")=0, "+", "-") ),
  IF(
    $A26&lt;AE$1,
    "O",
    IF( OFFSET(AE$1, COLUMN(AE26)-1, 0)="-", "O", IF(MOD($A26, AE$1)=0, "X", "O") )
  )
)</f>
        <v>O</v>
      </c>
      <c r="AF26" s="45" t="str">
        <f ca="1">IF(
  $A26=AF$1,
  IF( ROW(AF26)=2, "+", IF(COUNTIF($B26:AE26,"X")=0, "+", "-") ),
  IF(
    $A26&lt;AF$1,
    "O",
    IF( OFFSET(AF$1, COLUMN(AF26)-1, 0)="-", "O", IF(MOD($A26, AF$1)=0, "X", "O") )
  )
)</f>
        <v>O</v>
      </c>
      <c r="AG26" s="45" t="str">
        <f ca="1">IF(
  $A26=AG$1,
  IF( ROW(AG26)=2, "+", IF(COUNTIF($B26:AF26,"X")=0, "+", "-") ),
  IF(
    $A26&lt;AG$1,
    "O",
    IF( OFFSET(AG$1, COLUMN(AG26)-1, 0)="-", "O", IF(MOD($A26, AG$1)=0, "X", "O") )
  )
)</f>
        <v>O</v>
      </c>
      <c r="AH26" s="45" t="str">
        <f ca="1">IF(
  $A26=AH$1,
  IF( ROW(AH26)=2, "+", IF(COUNTIF($B26:AG26,"X")=0, "+", "-") ),
  IF(
    $A26&lt;AH$1,
    "O",
    IF( OFFSET(AH$1, COLUMN(AH26)-1, 0)="-", "O", IF(MOD($A26, AH$1)=0, "X", "O") )
  )
)</f>
        <v>O</v>
      </c>
      <c r="AI26" s="45" t="str">
        <f ca="1">IF(
  $A26=AI$1,
  IF( ROW(AI26)=2, "+", IF(COUNTIF($B26:AH26,"X")=0, "+", "-") ),
  IF(
    $A26&lt;AI$1,
    "O",
    IF( OFFSET(AI$1, COLUMN(AI26)-1, 0)="-", "O", IF(MOD($A26, AI$1)=0, "X", "O") )
  )
)</f>
        <v>O</v>
      </c>
      <c r="AJ26" s="45" t="str">
        <f ca="1">IF(
  $A26=AJ$1,
  IF( ROW(AJ26)=2, "+", IF(COUNTIF($B26:AI26,"X")=0, "+", "-") ),
  IF(
    $A26&lt;AJ$1,
    "O",
    IF( OFFSET(AJ$1, COLUMN(AJ26)-1, 0)="-", "O", IF(MOD($A26, AJ$1)=0, "X", "O") )
  )
)</f>
        <v>O</v>
      </c>
      <c r="AK26" s="45" t="str">
        <f ca="1">IF(
  $A26=AK$1,
  IF( ROW(AK26)=2, "+", IF(COUNTIF($B26:AJ26,"X")=0, "+", "-") ),
  IF(
    $A26&lt;AK$1,
    "O",
    IF( OFFSET(AK$1, COLUMN(AK26)-1, 0)="-", "O", IF(MOD($A26, AK$1)=0, "X", "O") )
  )
)</f>
        <v>O</v>
      </c>
      <c r="AL26" s="45" t="str">
        <f ca="1">IF(
  $A26=AL$1,
  IF( ROW(AL26)=2, "+", IF(COUNTIF($B26:AK26,"X")=0, "+", "-") ),
  IF(
    $A26&lt;AL$1,
    "O",
    IF( OFFSET(AL$1, COLUMN(AL26)-1, 0)="-", "O", IF(MOD($A26, AL$1)=0, "X", "O") )
  )
)</f>
        <v>O</v>
      </c>
      <c r="AM26" s="45" t="str">
        <f ca="1">IF(
  $A26=AM$1,
  IF( ROW(AM26)=2, "+", IF(COUNTIF($B26:AL26,"X")=0, "+", "-") ),
  IF(
    $A26&lt;AM$1,
    "O",
    IF( OFFSET(AM$1, COLUMN(AM26)-1, 0)="-", "O", IF(MOD($A26, AM$1)=0, "X", "O") )
  )
)</f>
        <v>O</v>
      </c>
      <c r="AN26" s="45" t="str">
        <f ca="1">IF(
  $A26=AN$1,
  IF( ROW(AN26)=2, "+", IF(COUNTIF($B26:AM26,"X")=0, "+", "-") ),
  IF(
    $A26&lt;AN$1,
    "O",
    IF( OFFSET(AN$1, COLUMN(AN26)-1, 0)="-", "O", IF(MOD($A26, AN$1)=0, "X", "O") )
  )
)</f>
        <v>O</v>
      </c>
      <c r="AO26" s="45" t="str">
        <f ca="1">IF(
  $A26=AO$1,
  IF( ROW(AO26)=2, "+", IF(COUNTIF($B26:AN26,"X")=0, "+", "-") ),
  IF(
    $A26&lt;AO$1,
    "O",
    IF( OFFSET(AO$1, COLUMN(AO26)-1, 0)="-", "O", IF(MOD($A26, AO$1)=0, "X", "O") )
  )
)</f>
        <v>O</v>
      </c>
      <c r="AP26" s="45" t="str">
        <f ca="1">IF(
  $A26=AP$1,
  IF( ROW(AP26)=2, "+", IF(COUNTIF($B26:AO26,"X")=0, "+", "-") ),
  IF(
    $A26&lt;AP$1,
    "O",
    IF( OFFSET(AP$1, COLUMN(AP26)-1, 0)="-", "O", IF(MOD($A26, AP$1)=0, "X", "O") )
  )
)</f>
        <v>O</v>
      </c>
      <c r="AQ26" s="45" t="str">
        <f ca="1">IF(
  $A26=AQ$1,
  IF( ROW(AQ26)=2, "+", IF(COUNTIF($B26:AP26,"X")=0, "+", "-") ),
  IF(
    $A26&lt;AQ$1,
    "O",
    IF( OFFSET(AQ$1, COLUMN(AQ26)-1, 0)="-", "O", IF(MOD($A26, AQ$1)=0, "X", "O") )
  )
)</f>
        <v>O</v>
      </c>
      <c r="AR26" s="45" t="str">
        <f ca="1">IF(
  $A26=AR$1,
  IF( ROW(AR26)=2, "+", IF(COUNTIF($B26:AQ26,"X")=0, "+", "-") ),
  IF(
    $A26&lt;AR$1,
    "O",
    IF( OFFSET(AR$1, COLUMN(AR26)-1, 0)="-", "O", IF(MOD($A26, AR$1)=0, "X", "O") )
  )
)</f>
        <v>O</v>
      </c>
      <c r="AS26" s="45" t="str">
        <f ca="1">IF(
  $A26=AS$1,
  IF( ROW(AS26)=2, "+", IF(COUNTIF($B26:AR26,"X")=0, "+", "-") ),
  IF(
    $A26&lt;AS$1,
    "O",
    IF( OFFSET(AS$1, COLUMN(AS26)-1, 0)="-", "O", IF(MOD($A26, AS$1)=0, "X", "O") )
  )
)</f>
        <v>O</v>
      </c>
      <c r="AT26" s="45" t="str">
        <f ca="1">IF(
  $A26=AT$1,
  IF( ROW(AT26)=2, "+", IF(COUNTIF($B26:AS26,"X")=0, "+", "-") ),
  IF(
    $A26&lt;AT$1,
    "O",
    IF( OFFSET(AT$1, COLUMN(AT26)-1, 0)="-", "O", IF(MOD($A26, AT$1)=0, "X", "O") )
  )
)</f>
        <v>O</v>
      </c>
      <c r="AU26" s="45" t="str">
        <f ca="1">IF(
  $A26=AU$1,
  IF( ROW(AU26)=2, "+", IF(COUNTIF($B26:AT26,"X")=0, "+", "-") ),
  IF(
    $A26&lt;AU$1,
    "O",
    IF( OFFSET(AU$1, COLUMN(AU26)-1, 0)="-", "O", IF(MOD($A26, AU$1)=0, "X", "O") )
  )
)</f>
        <v>O</v>
      </c>
      <c r="AV26" s="45" t="str">
        <f ca="1">IF(
  $A26=AV$1,
  IF( ROW(AV26)=2, "+", IF(COUNTIF($B26:AU26,"X")=0, "+", "-") ),
  IF(
    $A26&lt;AV$1,
    "O",
    IF( OFFSET(AV$1, COLUMN(AV26)-1, 0)="-", "O", IF(MOD($A26, AV$1)=0, "X", "O") )
  )
)</f>
        <v>O</v>
      </c>
      <c r="AW26" s="45" t="str">
        <f ca="1">IF(
  $A26=AW$1,
  IF( ROW(AW26)=2, "+", IF(COUNTIF($B26:AV26,"X")=0, "+", "-") ),
  IF(
    $A26&lt;AW$1,
    "O",
    IF( OFFSET(AW$1, COLUMN(AW26)-1, 0)="-", "O", IF(MOD($A26, AW$1)=0, "X", "O") )
  )
)</f>
        <v>O</v>
      </c>
      <c r="AX26" s="45" t="str">
        <f ca="1">IF(
  $A26=AX$1,
  IF( ROW(AX26)=2, "+", IF(COUNTIF($B26:AW26,"X")=0, "+", "-") ),
  IF(
    $A26&lt;AX$1,
    "O",
    IF( OFFSET(AX$1, COLUMN(AX26)-1, 0)="-", "O", IF(MOD($A26, AX$1)=0, "X", "O") )
  )
)</f>
        <v>O</v>
      </c>
      <c r="AY26" s="45" t="str">
        <f ca="1">IF(
  $A26=AY$1,
  IF( ROW(AY26)=2, "+", IF(COUNTIF($B26:AX26,"X")=0, "+", "-") ),
  IF(
    $A26&lt;AY$1,
    "O",
    IF( OFFSET(AY$1, COLUMN(AY26)-1, 0)="-", "O", IF(MOD($A26, AY$1)=0, "X", "O") )
  )
)</f>
        <v>O</v>
      </c>
      <c r="AZ26" s="45" t="str">
        <f ca="1">IF(
  $A26=AZ$1,
  IF( ROW(AZ26)=2, "+", IF(COUNTIF($B26:AY26,"X")=0, "+", "-") ),
  IF(
    $A26&lt;AZ$1,
    "O",
    IF( OFFSET(AZ$1, COLUMN(AZ26)-1, 0)="-", "O", IF(MOD($A26, AZ$1)=0, "X", "O") )
  )
)</f>
        <v>O</v>
      </c>
      <c r="BA26" s="45" t="str">
        <f ca="1">IF(
  $A26=BA$1,
  IF( ROW(BA26)=2, "+", IF(COUNTIF($B26:AZ26,"X")=0, "+", "-") ),
  IF(
    $A26&lt;BA$1,
    "O",
    IF( OFFSET(BA$1, COLUMN(BA26)-1, 0)="-", "O", IF(MOD($A26, BA$1)=0, "X", "O") )
  )
)</f>
        <v>O</v>
      </c>
      <c r="BB26" s="45" t="str">
        <f ca="1">IF(
  $A26=BB$1,
  IF( ROW(BB26)=2, "+", IF(COUNTIF($B26:BA26,"X")=0, "+", "-") ),
  IF(
    $A26&lt;BB$1,
    "O",
    IF( OFFSET(BB$1, COLUMN(BB26)-1, 0)="-", "O", IF(MOD($A26, BB$1)=0, "X", "O") )
  )
)</f>
        <v>O</v>
      </c>
      <c r="BC26" s="45" t="str">
        <f ca="1">IF(
  $A26=BC$1,
  IF( ROW(BC26)=2, "+", IF(COUNTIF($B26:BB26,"X")=0, "+", "-") ),
  IF(
    $A26&lt;BC$1,
    "O",
    IF( OFFSET(BC$1, COLUMN(BC26)-1, 0)="-", "O", IF(MOD($A26, BC$1)=0, "X", "O") )
  )
)</f>
        <v>O</v>
      </c>
      <c r="BD26" s="45" t="str">
        <f ca="1">IF(
  $A26=BD$1,
  IF( ROW(BD26)=2, "+", IF(COUNTIF($B26:BC26,"X")=0, "+", "-") ),
  IF(
    $A26&lt;BD$1,
    "O",
    IF( OFFSET(BD$1, COLUMN(BD26)-1, 0)="-", "O", IF(MOD($A26, BD$1)=0, "X", "O") )
  )
)</f>
        <v>O</v>
      </c>
      <c r="BE26" s="45" t="str">
        <f ca="1">IF(
  $A26=BE$1,
  IF( ROW(BE26)=2, "+", IF(COUNTIF($B26:BD26,"X")=0, "+", "-") ),
  IF(
    $A26&lt;BE$1,
    "O",
    IF( OFFSET(BE$1, COLUMN(BE26)-1, 0)="-", "O", IF(MOD($A26, BE$1)=0, "X", "O") )
  )
)</f>
        <v>O</v>
      </c>
      <c r="BF26" s="45" t="str">
        <f ca="1">IF(
  $A26=BF$1,
  IF( ROW(BF26)=2, "+", IF(COUNTIF($B26:BE26,"X")=0, "+", "-") ),
  IF(
    $A26&lt;BF$1,
    "O",
    IF( OFFSET(BF$1, COLUMN(BF26)-1, 0)="-", "O", IF(MOD($A26, BF$1)=0, "X", "O") )
  )
)</f>
        <v>O</v>
      </c>
      <c r="BG26" s="45" t="str">
        <f ca="1">IF(
  $A26=BG$1,
  IF( ROW(BG26)=2, "+", IF(COUNTIF($B26:BF26,"X")=0, "+", "-") ),
  IF(
    $A26&lt;BG$1,
    "O",
    IF( OFFSET(BG$1, COLUMN(BG26)-1, 0)="-", "O", IF(MOD($A26, BG$1)=0, "X", "O") )
  )
)</f>
        <v>O</v>
      </c>
      <c r="BH26" s="45" t="str">
        <f ca="1">IF(
  $A26=BH$1,
  IF( ROW(BH26)=2, "+", IF(COUNTIF($B26:BG26,"X")=0, "+", "-") ),
  IF(
    $A26&lt;BH$1,
    "O",
    IF( OFFSET(BH$1, COLUMN(BH26)-1, 0)="-", "O", IF(MOD($A26, BH$1)=0, "X", "O") )
  )
)</f>
        <v>O</v>
      </c>
    </row>
    <row r="27" spans="1:60" s="46" customFormat="1" x14ac:dyDescent="0.25">
      <c r="A27">
        <v>27</v>
      </c>
      <c r="B27" s="44" t="str">
        <f ca="1">IF(
  $A27=B$1,
  IF( ROW(B27)=2, "+", IF(COUNTIF(A27:$B27,"X")=0, "+", "-") ),
  IF(
    $A27&lt;B$1,
    "O",
    IF( OFFSET(B$1, COLUMN(B27)-1, 0)="-", "O", IF(MOD($A27, B$1)=0, "X", "O") )
  )
)</f>
        <v>O</v>
      </c>
      <c r="C27" s="44" t="str">
        <f ca="1">IF(
  $A27=C$1,
  IF( ROW(C27)=2, "+", IF(COUNTIF(B27:$B27,"X")=0, "+", "-") ),
  IF(
    $A27&lt;C$1,
    "O",
    IF( OFFSET(C$1, COLUMN(C27)-1, 0)="-", "O", IF(MOD($A27, C$1)=0, "X", "O") )
  )
)</f>
        <v>X</v>
      </c>
      <c r="D27" s="45" t="str">
        <f ca="1">IF(
  $A27=D$1,
  IF( ROW(D27)=2, "+", IF(COUNTIF($B27:C27,"X")=0, "+", "-") ),
  IF(
    $A27&lt;D$1,
    "O",
    IF( OFFSET(D$1, COLUMN(D27)-1, 0)="-", "O", IF(MOD($A27, D$1)=0, "X", "O") )
  )
)</f>
        <v>O</v>
      </c>
      <c r="E27" s="44" t="str">
        <f ca="1">IF(
  $A27=E$1,
  IF( ROW(E27)=2, "+", IF(COUNTIF($B27:D27,"X")=0, "+", "-") ),
  IF(
    $A27&lt;E$1,
    "O",
    IF( OFFSET(E$1, COLUMN(E27)-1, 0)="-", "O", IF(MOD($A27, E$1)=0, "X", "O") )
  )
)</f>
        <v>O</v>
      </c>
      <c r="F27" s="45" t="str">
        <f ca="1">IF(
  $A27=F$1,
  IF( ROW(F27)=2, "+", IF(COUNTIF($B27:E27,"X")=0, "+", "-") ),
  IF(
    $A27&lt;F$1,
    "O",
    IF( OFFSET(F$1, COLUMN(F27)-1, 0)="-", "O", IF(MOD($A27, F$1)=0, "X", "O") )
  )
)</f>
        <v>O</v>
      </c>
      <c r="G27" s="44" t="str">
        <f ca="1">IF(
  $A27=G$1,
  IF( ROW(G27)=2, "+", IF(COUNTIF($B27:F27,"X")=0, "+", "-") ),
  IF(
    $A27&lt;G$1,
    "O",
    IF( OFFSET(G$1, COLUMN(G27)-1, 0)="-", "O", IF(MOD($A27, G$1)=0, "X", "O") )
  )
)</f>
        <v>O</v>
      </c>
      <c r="H27" s="45" t="str">
        <f ca="1">IF(
  $A27=H$1,
  IF( ROW(H27)=2, "+", IF(COUNTIF($B27:G27,"X")=0, "+", "-") ),
  IF(
    $A27&lt;H$1,
    "O",
    IF( OFFSET(H$1, COLUMN(H27)-1, 0)="-", "O", IF(MOD($A27, H$1)=0, "X", "O") )
  )
)</f>
        <v>O</v>
      </c>
      <c r="I27" s="45" t="str">
        <f ca="1">IF(
  $A27=I$1,
  IF( ROW(I27)=2, "+", IF(COUNTIF($B27:H27,"X")=0, "+", "-") ),
  IF(
    $A27&lt;I$1,
    "O",
    IF( OFFSET(I$1, COLUMN(I27)-1, 0)="-", "O", IF(MOD($A27, I$1)=0, "X", "O") )
  )
)</f>
        <v>O</v>
      </c>
      <c r="J27" s="45" t="str">
        <f ca="1">IF(
  $A27=J$1,
  IF( ROW(J27)=2, "+", IF(COUNTIF($B27:I27,"X")=0, "+", "-") ),
  IF(
    $A27&lt;J$1,
    "O",
    IF( OFFSET(J$1, COLUMN(J27)-1, 0)="-", "O", IF(MOD($A27, J$1)=0, "X", "O") )
  )
)</f>
        <v>O</v>
      </c>
      <c r="K27" s="44" t="str">
        <f ca="1">IF(
  $A27=K$1,
  IF( ROW(K27)=2, "+", IF(COUNTIF($B27:J27,"X")=0, "+", "-") ),
  IF(
    $A27&lt;K$1,
    "O",
    IF( OFFSET(K$1, COLUMN(K27)-1, 0)="-", "O", IF(MOD($A27, K$1)=0, "X", "O") )
  )
)</f>
        <v>O</v>
      </c>
      <c r="L27" s="45" t="str">
        <f ca="1">IF(
  $A27=L$1,
  IF( ROW(L27)=2, "+", IF(COUNTIF($B27:K27,"X")=0, "+", "-") ),
  IF(
    $A27&lt;L$1,
    "O",
    IF( OFFSET(L$1, COLUMN(L27)-1, 0)="-", "O", IF(MOD($A27, L$1)=0, "X", "O") )
  )
)</f>
        <v>O</v>
      </c>
      <c r="M27" s="44" t="str">
        <f ca="1">IF(
  $A27=M$1,
  IF( ROW(M27)=2, "+", IF(COUNTIF($B27:L27,"X")=0, "+", "-") ),
  IF(
    $A27&lt;M$1,
    "O",
    IF( OFFSET(M$1, COLUMN(M27)-1, 0)="-", "O", IF(MOD($A27, M$1)=0, "X", "O") )
  )
)</f>
        <v>O</v>
      </c>
      <c r="N27" s="45" t="str">
        <f ca="1">IF(
  $A27=N$1,
  IF( ROW(N27)=2, "+", IF(COUNTIF($B27:M27,"X")=0, "+", "-") ),
  IF(
    $A27&lt;N$1,
    "O",
    IF( OFFSET(N$1, COLUMN(N27)-1, 0)="-", "O", IF(MOD($A27, N$1)=0, "X", "O") )
  )
)</f>
        <v>O</v>
      </c>
      <c r="O27" s="45" t="str">
        <f ca="1">IF(
  $A27=O$1,
  IF( ROW(O27)=2, "+", IF(COUNTIF($B27:N27,"X")=0, "+", "-") ),
  IF(
    $A27&lt;O$1,
    "O",
    IF( OFFSET(O$1, COLUMN(O27)-1, 0)="-", "O", IF(MOD($A27, O$1)=0, "X", "O") )
  )
)</f>
        <v>O</v>
      </c>
      <c r="P27" s="45" t="str">
        <f ca="1">IF(
  $A27=P$1,
  IF( ROW(P27)=2, "+", IF(COUNTIF($B27:O27,"X")=0, "+", "-") ),
  IF(
    $A27&lt;P$1,
    "O",
    IF( OFFSET(P$1, COLUMN(P27)-1, 0)="-", "O", IF(MOD($A27, P$1)=0, "X", "O") )
  )
)</f>
        <v>O</v>
      </c>
      <c r="Q27" s="44" t="str">
        <f ca="1">IF(
  $A27=Q$1,
  IF( ROW(Q27)=2, "+", IF(COUNTIF($B27:P27,"X")=0, "+", "-") ),
  IF(
    $A27&lt;Q$1,
    "O",
    IF( OFFSET(Q$1, COLUMN(Q27)-1, 0)="-", "O", IF(MOD($A27, Q$1)=0, "X", "O") )
  )
)</f>
        <v>O</v>
      </c>
      <c r="R27" s="45" t="str">
        <f ca="1">IF(
  $A27=R$1,
  IF( ROW(R27)=2, "+", IF(COUNTIF($B27:Q27,"X")=0, "+", "-") ),
  IF(
    $A27&lt;R$1,
    "O",
    IF( OFFSET(R$1, COLUMN(R27)-1, 0)="-", "O", IF(MOD($A27, R$1)=0, "X", "O") )
  )
)</f>
        <v>O</v>
      </c>
      <c r="S27" s="44" t="str">
        <f ca="1">IF(
  $A27=S$1,
  IF( ROW(S27)=2, "+", IF(COUNTIF($B27:R27,"X")=0, "+", "-") ),
  IF(
    $A27&lt;S$1,
    "O",
    IF( OFFSET(S$1, COLUMN(S27)-1, 0)="-", "O", IF(MOD($A27, S$1)=0, "X", "O") )
  )
)</f>
        <v>O</v>
      </c>
      <c r="T27" s="45" t="str">
        <f ca="1">IF(
  $A27=T$1,
  IF( ROW(T27)=2, "+", IF(COUNTIF($B27:S27,"X")=0, "+", "-") ),
  IF(
    $A27&lt;T$1,
    "O",
    IF( OFFSET(T$1, COLUMN(T27)-1, 0)="-", "O", IF(MOD($A27, T$1)=0, "X", "O") )
  )
)</f>
        <v>O</v>
      </c>
      <c r="U27" s="45" t="str">
        <f ca="1">IF(
  $A27=U$1,
  IF( ROW(U27)=2, "+", IF(COUNTIF($B27:T27,"X")=0, "+", "-") ),
  IF(
    $A27&lt;U$1,
    "O",
    IF( OFFSET(U$1, COLUMN(U27)-1, 0)="-", "O", IF(MOD($A27, U$1)=0, "X", "O") )
  )
)</f>
        <v>O</v>
      </c>
      <c r="V27" s="45" t="str">
        <f ca="1">IF(
  $A27=V$1,
  IF( ROW(V27)=2, "+", IF(COUNTIF($B27:U27,"X")=0, "+", "-") ),
  IF(
    $A27&lt;V$1,
    "O",
    IF( OFFSET(V$1, COLUMN(V27)-1, 0)="-", "O", IF(MOD($A27, V$1)=0, "X", "O") )
  )
)</f>
        <v>O</v>
      </c>
      <c r="W27" s="44" t="str">
        <f ca="1">IF(
  $A27=W$1,
  IF( ROW(W27)=2, "+", IF(COUNTIF($B27:V27,"X")=0, "+", "-") ),
  IF(
    $A27&lt;W$1,
    "O",
    IF( OFFSET(W$1, COLUMN(W27)-1, 0)="-", "O", IF(MOD($A27, W$1)=0, "X", "O") )
  )
)</f>
        <v>O</v>
      </c>
      <c r="X27" s="45" t="str">
        <f ca="1">IF(
  $A27=X$1,
  IF( ROW(X27)=2, "+", IF(COUNTIF($B27:W27,"X")=0, "+", "-") ),
  IF(
    $A27&lt;X$1,
    "O",
    IF( OFFSET(X$1, COLUMN(X27)-1, 0)="-", "O", IF(MOD($A27, X$1)=0, "X", "O") )
  )
)</f>
        <v>O</v>
      </c>
      <c r="Y27" s="45" t="str">
        <f ca="1">IF(
  $A27=Y$1,
  IF( ROW(Y27)=2, "+", IF(COUNTIF($B27:X27,"X")=0, "+", "-") ),
  IF(
    $A27&lt;Y$1,
    "O",
    IF( OFFSET(Y$1, COLUMN(Y27)-1, 0)="-", "O", IF(MOD($A27, Y$1)=0, "X", "O") )
  )
)</f>
        <v>O</v>
      </c>
      <c r="Z27" s="45" t="str">
        <f ca="1">IF(
  $A27=Z$1,
  IF( ROW(Z27)=2, "+", IF(COUNTIF($B27:Y27,"X")=0, "+", "-") ),
  IF(
    $A27&lt;Z$1,
    "O",
    IF( OFFSET(Z$1, COLUMN(Z27)-1, 0)="-", "O", IF(MOD($A27, Z$1)=0, "X", "O") )
  )
)</f>
        <v>O</v>
      </c>
      <c r="AA27" s="45" t="str">
        <f ca="1">IF(
  $A27=AA$1,
  IF( ROW(AA27)=2, "+", IF(COUNTIF($B27:Z27,"X")=0, "+", "-") ),
  IF(
    $A27&lt;AA$1,
    "O",
    IF( OFFSET(AA$1, COLUMN(AA27)-1, 0)="-", "O", IF(MOD($A27, AA$1)=0, "X", "O") )
  )
)</f>
        <v>-</v>
      </c>
      <c r="AB27" s="45" t="str">
        <f ca="1">IF(
  $A27=AB$1,
  IF( ROW(AB27)=2, "+", IF(COUNTIF($B27:AA27,"X")=0, "+", "-") ),
  IF(
    $A27&lt;AB$1,
    "O",
    IF( OFFSET(AB$1, COLUMN(AB27)-1, 0)="-", "O", IF(MOD($A27, AB$1)=0, "X", "O") )
  )
)</f>
        <v>O</v>
      </c>
      <c r="AC27" s="45" t="str">
        <f ca="1">IF(
  $A27=AC$1,
  IF( ROW(AC27)=2, "+", IF(COUNTIF($B27:AB27,"X")=0, "+", "-") ),
  IF(
    $A27&lt;AC$1,
    "O",
    IF( OFFSET(AC$1, COLUMN(AC27)-1, 0)="-", "O", IF(MOD($A27, AC$1)=0, "X", "O") )
  )
)</f>
        <v>O</v>
      </c>
      <c r="AD27" s="45" t="str">
        <f ca="1">IF(
  $A27=AD$1,
  IF( ROW(AD27)=2, "+", IF(COUNTIF($B27:AC27,"X")=0, "+", "-") ),
  IF(
    $A27&lt;AD$1,
    "O",
    IF( OFFSET(AD$1, COLUMN(AD27)-1, 0)="-", "O", IF(MOD($A27, AD$1)=0, "X", "O") )
  )
)</f>
        <v>O</v>
      </c>
      <c r="AE27" s="45" t="str">
        <f ca="1">IF(
  $A27=AE$1,
  IF( ROW(AE27)=2, "+", IF(COUNTIF($B27:AD27,"X")=0, "+", "-") ),
  IF(
    $A27&lt;AE$1,
    "O",
    IF( OFFSET(AE$1, COLUMN(AE27)-1, 0)="-", "O", IF(MOD($A27, AE$1)=0, "X", "O") )
  )
)</f>
        <v>O</v>
      </c>
      <c r="AF27" s="45" t="str">
        <f ca="1">IF(
  $A27=AF$1,
  IF( ROW(AF27)=2, "+", IF(COUNTIF($B27:AE27,"X")=0, "+", "-") ),
  IF(
    $A27&lt;AF$1,
    "O",
    IF( OFFSET(AF$1, COLUMN(AF27)-1, 0)="-", "O", IF(MOD($A27, AF$1)=0, "X", "O") )
  )
)</f>
        <v>O</v>
      </c>
      <c r="AG27" s="45" t="str">
        <f ca="1">IF(
  $A27=AG$1,
  IF( ROW(AG27)=2, "+", IF(COUNTIF($B27:AF27,"X")=0, "+", "-") ),
  IF(
    $A27&lt;AG$1,
    "O",
    IF( OFFSET(AG$1, COLUMN(AG27)-1, 0)="-", "O", IF(MOD($A27, AG$1)=0, "X", "O") )
  )
)</f>
        <v>O</v>
      </c>
      <c r="AH27" s="45" t="str">
        <f ca="1">IF(
  $A27=AH$1,
  IF( ROW(AH27)=2, "+", IF(COUNTIF($B27:AG27,"X")=0, "+", "-") ),
  IF(
    $A27&lt;AH$1,
    "O",
    IF( OFFSET(AH$1, COLUMN(AH27)-1, 0)="-", "O", IF(MOD($A27, AH$1)=0, "X", "O") )
  )
)</f>
        <v>O</v>
      </c>
      <c r="AI27" s="45" t="str">
        <f ca="1">IF(
  $A27=AI$1,
  IF( ROW(AI27)=2, "+", IF(COUNTIF($B27:AH27,"X")=0, "+", "-") ),
  IF(
    $A27&lt;AI$1,
    "O",
    IF( OFFSET(AI$1, COLUMN(AI27)-1, 0)="-", "O", IF(MOD($A27, AI$1)=0, "X", "O") )
  )
)</f>
        <v>O</v>
      </c>
      <c r="AJ27" s="45" t="str">
        <f ca="1">IF(
  $A27=AJ$1,
  IF( ROW(AJ27)=2, "+", IF(COUNTIF($B27:AI27,"X")=0, "+", "-") ),
  IF(
    $A27&lt;AJ$1,
    "O",
    IF( OFFSET(AJ$1, COLUMN(AJ27)-1, 0)="-", "O", IF(MOD($A27, AJ$1)=0, "X", "O") )
  )
)</f>
        <v>O</v>
      </c>
      <c r="AK27" s="45" t="str">
        <f ca="1">IF(
  $A27=AK$1,
  IF( ROW(AK27)=2, "+", IF(COUNTIF($B27:AJ27,"X")=0, "+", "-") ),
  IF(
    $A27&lt;AK$1,
    "O",
    IF( OFFSET(AK$1, COLUMN(AK27)-1, 0)="-", "O", IF(MOD($A27, AK$1)=0, "X", "O") )
  )
)</f>
        <v>O</v>
      </c>
      <c r="AL27" s="45" t="str">
        <f ca="1">IF(
  $A27=AL$1,
  IF( ROW(AL27)=2, "+", IF(COUNTIF($B27:AK27,"X")=0, "+", "-") ),
  IF(
    $A27&lt;AL$1,
    "O",
    IF( OFFSET(AL$1, COLUMN(AL27)-1, 0)="-", "O", IF(MOD($A27, AL$1)=0, "X", "O") )
  )
)</f>
        <v>O</v>
      </c>
      <c r="AM27" s="45" t="str">
        <f ca="1">IF(
  $A27=AM$1,
  IF( ROW(AM27)=2, "+", IF(COUNTIF($B27:AL27,"X")=0, "+", "-") ),
  IF(
    $A27&lt;AM$1,
    "O",
    IF( OFFSET(AM$1, COLUMN(AM27)-1, 0)="-", "O", IF(MOD($A27, AM$1)=0, "X", "O") )
  )
)</f>
        <v>O</v>
      </c>
      <c r="AN27" s="45" t="str">
        <f ca="1">IF(
  $A27=AN$1,
  IF( ROW(AN27)=2, "+", IF(COUNTIF($B27:AM27,"X")=0, "+", "-") ),
  IF(
    $A27&lt;AN$1,
    "O",
    IF( OFFSET(AN$1, COLUMN(AN27)-1, 0)="-", "O", IF(MOD($A27, AN$1)=0, "X", "O") )
  )
)</f>
        <v>O</v>
      </c>
      <c r="AO27" s="45" t="str">
        <f ca="1">IF(
  $A27=AO$1,
  IF( ROW(AO27)=2, "+", IF(COUNTIF($B27:AN27,"X")=0, "+", "-") ),
  IF(
    $A27&lt;AO$1,
    "O",
    IF( OFFSET(AO$1, COLUMN(AO27)-1, 0)="-", "O", IF(MOD($A27, AO$1)=0, "X", "O") )
  )
)</f>
        <v>O</v>
      </c>
      <c r="AP27" s="45" t="str">
        <f ca="1">IF(
  $A27=AP$1,
  IF( ROW(AP27)=2, "+", IF(COUNTIF($B27:AO27,"X")=0, "+", "-") ),
  IF(
    $A27&lt;AP$1,
    "O",
    IF( OFFSET(AP$1, COLUMN(AP27)-1, 0)="-", "O", IF(MOD($A27, AP$1)=0, "X", "O") )
  )
)</f>
        <v>O</v>
      </c>
      <c r="AQ27" s="45" t="str">
        <f ca="1">IF(
  $A27=AQ$1,
  IF( ROW(AQ27)=2, "+", IF(COUNTIF($B27:AP27,"X")=0, "+", "-") ),
  IF(
    $A27&lt;AQ$1,
    "O",
    IF( OFFSET(AQ$1, COLUMN(AQ27)-1, 0)="-", "O", IF(MOD($A27, AQ$1)=0, "X", "O") )
  )
)</f>
        <v>O</v>
      </c>
      <c r="AR27" s="45" t="str">
        <f ca="1">IF(
  $A27=AR$1,
  IF( ROW(AR27)=2, "+", IF(COUNTIF($B27:AQ27,"X")=0, "+", "-") ),
  IF(
    $A27&lt;AR$1,
    "O",
    IF( OFFSET(AR$1, COLUMN(AR27)-1, 0)="-", "O", IF(MOD($A27, AR$1)=0, "X", "O") )
  )
)</f>
        <v>O</v>
      </c>
      <c r="AS27" s="45" t="str">
        <f ca="1">IF(
  $A27=AS$1,
  IF( ROW(AS27)=2, "+", IF(COUNTIF($B27:AR27,"X")=0, "+", "-") ),
  IF(
    $A27&lt;AS$1,
    "O",
    IF( OFFSET(AS$1, COLUMN(AS27)-1, 0)="-", "O", IF(MOD($A27, AS$1)=0, "X", "O") )
  )
)</f>
        <v>O</v>
      </c>
      <c r="AT27" s="45" t="str">
        <f ca="1">IF(
  $A27=AT$1,
  IF( ROW(AT27)=2, "+", IF(COUNTIF($B27:AS27,"X")=0, "+", "-") ),
  IF(
    $A27&lt;AT$1,
    "O",
    IF( OFFSET(AT$1, COLUMN(AT27)-1, 0)="-", "O", IF(MOD($A27, AT$1)=0, "X", "O") )
  )
)</f>
        <v>O</v>
      </c>
      <c r="AU27" s="45" t="str">
        <f ca="1">IF(
  $A27=AU$1,
  IF( ROW(AU27)=2, "+", IF(COUNTIF($B27:AT27,"X")=0, "+", "-") ),
  IF(
    $A27&lt;AU$1,
    "O",
    IF( OFFSET(AU$1, COLUMN(AU27)-1, 0)="-", "O", IF(MOD($A27, AU$1)=0, "X", "O") )
  )
)</f>
        <v>O</v>
      </c>
      <c r="AV27" s="45" t="str">
        <f ca="1">IF(
  $A27=AV$1,
  IF( ROW(AV27)=2, "+", IF(COUNTIF($B27:AU27,"X")=0, "+", "-") ),
  IF(
    $A27&lt;AV$1,
    "O",
    IF( OFFSET(AV$1, COLUMN(AV27)-1, 0)="-", "O", IF(MOD($A27, AV$1)=0, "X", "O") )
  )
)</f>
        <v>O</v>
      </c>
      <c r="AW27" s="45" t="str">
        <f ca="1">IF(
  $A27=AW$1,
  IF( ROW(AW27)=2, "+", IF(COUNTIF($B27:AV27,"X")=0, "+", "-") ),
  IF(
    $A27&lt;AW$1,
    "O",
    IF( OFFSET(AW$1, COLUMN(AW27)-1, 0)="-", "O", IF(MOD($A27, AW$1)=0, "X", "O") )
  )
)</f>
        <v>O</v>
      </c>
      <c r="AX27" s="45" t="str">
        <f ca="1">IF(
  $A27=AX$1,
  IF( ROW(AX27)=2, "+", IF(COUNTIF($B27:AW27,"X")=0, "+", "-") ),
  IF(
    $A27&lt;AX$1,
    "O",
    IF( OFFSET(AX$1, COLUMN(AX27)-1, 0)="-", "O", IF(MOD($A27, AX$1)=0, "X", "O") )
  )
)</f>
        <v>O</v>
      </c>
      <c r="AY27" s="45" t="str">
        <f ca="1">IF(
  $A27=AY$1,
  IF( ROW(AY27)=2, "+", IF(COUNTIF($B27:AX27,"X")=0, "+", "-") ),
  IF(
    $A27&lt;AY$1,
    "O",
    IF( OFFSET(AY$1, COLUMN(AY27)-1, 0)="-", "O", IF(MOD($A27, AY$1)=0, "X", "O") )
  )
)</f>
        <v>O</v>
      </c>
      <c r="AZ27" s="45" t="str">
        <f ca="1">IF(
  $A27=AZ$1,
  IF( ROW(AZ27)=2, "+", IF(COUNTIF($B27:AY27,"X")=0, "+", "-") ),
  IF(
    $A27&lt;AZ$1,
    "O",
    IF( OFFSET(AZ$1, COLUMN(AZ27)-1, 0)="-", "O", IF(MOD($A27, AZ$1)=0, "X", "O") )
  )
)</f>
        <v>O</v>
      </c>
      <c r="BA27" s="45" t="str">
        <f ca="1">IF(
  $A27=BA$1,
  IF( ROW(BA27)=2, "+", IF(COUNTIF($B27:AZ27,"X")=0, "+", "-") ),
  IF(
    $A27&lt;BA$1,
    "O",
    IF( OFFSET(BA$1, COLUMN(BA27)-1, 0)="-", "O", IF(MOD($A27, BA$1)=0, "X", "O") )
  )
)</f>
        <v>O</v>
      </c>
      <c r="BB27" s="45" t="str">
        <f ca="1">IF(
  $A27=BB$1,
  IF( ROW(BB27)=2, "+", IF(COUNTIF($B27:BA27,"X")=0, "+", "-") ),
  IF(
    $A27&lt;BB$1,
    "O",
    IF( OFFSET(BB$1, COLUMN(BB27)-1, 0)="-", "O", IF(MOD($A27, BB$1)=0, "X", "O") )
  )
)</f>
        <v>O</v>
      </c>
      <c r="BC27" s="45" t="str">
        <f ca="1">IF(
  $A27=BC$1,
  IF( ROW(BC27)=2, "+", IF(COUNTIF($B27:BB27,"X")=0, "+", "-") ),
  IF(
    $A27&lt;BC$1,
    "O",
    IF( OFFSET(BC$1, COLUMN(BC27)-1, 0)="-", "O", IF(MOD($A27, BC$1)=0, "X", "O") )
  )
)</f>
        <v>O</v>
      </c>
      <c r="BD27" s="45" t="str">
        <f ca="1">IF(
  $A27=BD$1,
  IF( ROW(BD27)=2, "+", IF(COUNTIF($B27:BC27,"X")=0, "+", "-") ),
  IF(
    $A27&lt;BD$1,
    "O",
    IF( OFFSET(BD$1, COLUMN(BD27)-1, 0)="-", "O", IF(MOD($A27, BD$1)=0, "X", "O") )
  )
)</f>
        <v>O</v>
      </c>
      <c r="BE27" s="45" t="str">
        <f ca="1">IF(
  $A27=BE$1,
  IF( ROW(BE27)=2, "+", IF(COUNTIF($B27:BD27,"X")=0, "+", "-") ),
  IF(
    $A27&lt;BE$1,
    "O",
    IF( OFFSET(BE$1, COLUMN(BE27)-1, 0)="-", "O", IF(MOD($A27, BE$1)=0, "X", "O") )
  )
)</f>
        <v>O</v>
      </c>
      <c r="BF27" s="45" t="str">
        <f ca="1">IF(
  $A27=BF$1,
  IF( ROW(BF27)=2, "+", IF(COUNTIF($B27:BE27,"X")=0, "+", "-") ),
  IF(
    $A27&lt;BF$1,
    "O",
    IF( OFFSET(BF$1, COLUMN(BF27)-1, 0)="-", "O", IF(MOD($A27, BF$1)=0, "X", "O") )
  )
)</f>
        <v>O</v>
      </c>
      <c r="BG27" s="45" t="str">
        <f ca="1">IF(
  $A27=BG$1,
  IF( ROW(BG27)=2, "+", IF(COUNTIF($B27:BF27,"X")=0, "+", "-") ),
  IF(
    $A27&lt;BG$1,
    "O",
    IF( OFFSET(BG$1, COLUMN(BG27)-1, 0)="-", "O", IF(MOD($A27, BG$1)=0, "X", "O") )
  )
)</f>
        <v>O</v>
      </c>
      <c r="BH27" s="45" t="str">
        <f ca="1">IF(
  $A27=BH$1,
  IF( ROW(BH27)=2, "+", IF(COUNTIF($B27:BG27,"X")=0, "+", "-") ),
  IF(
    $A27&lt;BH$1,
    "O",
    IF( OFFSET(BH$1, COLUMN(BH27)-1, 0)="-", "O", IF(MOD($A27, BH$1)=0, "X", "O") )
  )
)</f>
        <v>O</v>
      </c>
    </row>
    <row r="28" spans="1:60" s="46" customFormat="1" x14ac:dyDescent="0.25">
      <c r="A28">
        <v>28</v>
      </c>
      <c r="B28" s="44" t="str">
        <f ca="1">IF(
  $A28=B$1,
  IF( ROW(B28)=2, "+", IF(COUNTIF(A28:$B28,"X")=0, "+", "-") ),
  IF(
    $A28&lt;B$1,
    "O",
    IF( OFFSET(B$1, COLUMN(B28)-1, 0)="-", "O", IF(MOD($A28, B$1)=0, "X", "O") )
  )
)</f>
        <v>X</v>
      </c>
      <c r="C28" s="44" t="str">
        <f ca="1">IF(
  $A28=C$1,
  IF( ROW(C28)=2, "+", IF(COUNTIF(B28:$B28,"X")=0, "+", "-") ),
  IF(
    $A28&lt;C$1,
    "O",
    IF( OFFSET(C$1, COLUMN(C28)-1, 0)="-", "O", IF(MOD($A28, C$1)=0, "X", "O") )
  )
)</f>
        <v>O</v>
      </c>
      <c r="D28" s="45" t="str">
        <f ca="1">IF(
  $A28=D$1,
  IF( ROW(D28)=2, "+", IF(COUNTIF($B28:C28,"X")=0, "+", "-") ),
  IF(
    $A28&lt;D$1,
    "O",
    IF( OFFSET(D$1, COLUMN(D28)-1, 0)="-", "O", IF(MOD($A28, D$1)=0, "X", "O") )
  )
)</f>
        <v>O</v>
      </c>
      <c r="E28" s="44" t="str">
        <f ca="1">IF(
  $A28=E$1,
  IF( ROW(E28)=2, "+", IF(COUNTIF($B28:D28,"X")=0, "+", "-") ),
  IF(
    $A28&lt;E$1,
    "O",
    IF( OFFSET(E$1, COLUMN(E28)-1, 0)="-", "O", IF(MOD($A28, E$1)=0, "X", "O") )
  )
)</f>
        <v>O</v>
      </c>
      <c r="F28" s="45" t="str">
        <f ca="1">IF(
  $A28=F$1,
  IF( ROW(F28)=2, "+", IF(COUNTIF($B28:E28,"X")=0, "+", "-") ),
  IF(
    $A28&lt;F$1,
    "O",
    IF( OFFSET(F$1, COLUMN(F28)-1, 0)="-", "O", IF(MOD($A28, F$1)=0, "X", "O") )
  )
)</f>
        <v>O</v>
      </c>
      <c r="G28" s="44" t="str">
        <f ca="1">IF(
  $A28=G$1,
  IF( ROW(G28)=2, "+", IF(COUNTIF($B28:F28,"X")=0, "+", "-") ),
  IF(
    $A28&lt;G$1,
    "O",
    IF( OFFSET(G$1, COLUMN(G28)-1, 0)="-", "O", IF(MOD($A28, G$1)=0, "X", "O") )
  )
)</f>
        <v>X</v>
      </c>
      <c r="H28" s="45" t="str">
        <f ca="1">IF(
  $A28=H$1,
  IF( ROW(H28)=2, "+", IF(COUNTIF($B28:G28,"X")=0, "+", "-") ),
  IF(
    $A28&lt;H$1,
    "O",
    IF( OFFSET(H$1, COLUMN(H28)-1, 0)="-", "O", IF(MOD($A28, H$1)=0, "X", "O") )
  )
)</f>
        <v>O</v>
      </c>
      <c r="I28" s="45" t="str">
        <f ca="1">IF(
  $A28=I$1,
  IF( ROW(I28)=2, "+", IF(COUNTIF($B28:H28,"X")=0, "+", "-") ),
  IF(
    $A28&lt;I$1,
    "O",
    IF( OFFSET(I$1, COLUMN(I28)-1, 0)="-", "O", IF(MOD($A28, I$1)=0, "X", "O") )
  )
)</f>
        <v>O</v>
      </c>
      <c r="J28" s="45" t="str">
        <f ca="1">IF(
  $A28=J$1,
  IF( ROW(J28)=2, "+", IF(COUNTIF($B28:I28,"X")=0, "+", "-") ),
  IF(
    $A28&lt;J$1,
    "O",
    IF( OFFSET(J$1, COLUMN(J28)-1, 0)="-", "O", IF(MOD($A28, J$1)=0, "X", "O") )
  )
)</f>
        <v>O</v>
      </c>
      <c r="K28" s="44" t="str">
        <f ca="1">IF(
  $A28=K$1,
  IF( ROW(K28)=2, "+", IF(COUNTIF($B28:J28,"X")=0, "+", "-") ),
  IF(
    $A28&lt;K$1,
    "O",
    IF( OFFSET(K$1, COLUMN(K28)-1, 0)="-", "O", IF(MOD($A28, K$1)=0, "X", "O") )
  )
)</f>
        <v>O</v>
      </c>
      <c r="L28" s="45" t="str">
        <f ca="1">IF(
  $A28=L$1,
  IF( ROW(L28)=2, "+", IF(COUNTIF($B28:K28,"X")=0, "+", "-") ),
  IF(
    $A28&lt;L$1,
    "O",
    IF( OFFSET(L$1, COLUMN(L28)-1, 0)="-", "O", IF(MOD($A28, L$1)=0, "X", "O") )
  )
)</f>
        <v>O</v>
      </c>
      <c r="M28" s="44" t="str">
        <f ca="1">IF(
  $A28=M$1,
  IF( ROW(M28)=2, "+", IF(COUNTIF($B28:L28,"X")=0, "+", "-") ),
  IF(
    $A28&lt;M$1,
    "O",
    IF( OFFSET(M$1, COLUMN(M28)-1, 0)="-", "O", IF(MOD($A28, M$1)=0, "X", "O") )
  )
)</f>
        <v>O</v>
      </c>
      <c r="N28" s="45" t="str">
        <f ca="1">IF(
  $A28=N$1,
  IF( ROW(N28)=2, "+", IF(COUNTIF($B28:M28,"X")=0, "+", "-") ),
  IF(
    $A28&lt;N$1,
    "O",
    IF( OFFSET(N$1, COLUMN(N28)-1, 0)="-", "O", IF(MOD($A28, N$1)=0, "X", "O") )
  )
)</f>
        <v>O</v>
      </c>
      <c r="O28" s="45" t="str">
        <f ca="1">IF(
  $A28=O$1,
  IF( ROW(O28)=2, "+", IF(COUNTIF($B28:N28,"X")=0, "+", "-") ),
  IF(
    $A28&lt;O$1,
    "O",
    IF( OFFSET(O$1, COLUMN(O28)-1, 0)="-", "O", IF(MOD($A28, O$1)=0, "X", "O") )
  )
)</f>
        <v>O</v>
      </c>
      <c r="P28" s="45" t="str">
        <f ca="1">IF(
  $A28=P$1,
  IF( ROW(P28)=2, "+", IF(COUNTIF($B28:O28,"X")=0, "+", "-") ),
  IF(
    $A28&lt;P$1,
    "O",
    IF( OFFSET(P$1, COLUMN(P28)-1, 0)="-", "O", IF(MOD($A28, P$1)=0, "X", "O") )
  )
)</f>
        <v>O</v>
      </c>
      <c r="Q28" s="44" t="str">
        <f ca="1">IF(
  $A28=Q$1,
  IF( ROW(Q28)=2, "+", IF(COUNTIF($B28:P28,"X")=0, "+", "-") ),
  IF(
    $A28&lt;Q$1,
    "O",
    IF( OFFSET(Q$1, COLUMN(Q28)-1, 0)="-", "O", IF(MOD($A28, Q$1)=0, "X", "O") )
  )
)</f>
        <v>O</v>
      </c>
      <c r="R28" s="45" t="str">
        <f ca="1">IF(
  $A28=R$1,
  IF( ROW(R28)=2, "+", IF(COUNTIF($B28:Q28,"X")=0, "+", "-") ),
  IF(
    $A28&lt;R$1,
    "O",
    IF( OFFSET(R$1, COLUMN(R28)-1, 0)="-", "O", IF(MOD($A28, R$1)=0, "X", "O") )
  )
)</f>
        <v>O</v>
      </c>
      <c r="S28" s="44" t="str">
        <f ca="1">IF(
  $A28=S$1,
  IF( ROW(S28)=2, "+", IF(COUNTIF($B28:R28,"X")=0, "+", "-") ),
  IF(
    $A28&lt;S$1,
    "O",
    IF( OFFSET(S$1, COLUMN(S28)-1, 0)="-", "O", IF(MOD($A28, S$1)=0, "X", "O") )
  )
)</f>
        <v>O</v>
      </c>
      <c r="T28" s="45" t="str">
        <f ca="1">IF(
  $A28=T$1,
  IF( ROW(T28)=2, "+", IF(COUNTIF($B28:S28,"X")=0, "+", "-") ),
  IF(
    $A28&lt;T$1,
    "O",
    IF( OFFSET(T$1, COLUMN(T28)-1, 0)="-", "O", IF(MOD($A28, T$1)=0, "X", "O") )
  )
)</f>
        <v>O</v>
      </c>
      <c r="U28" s="45" t="str">
        <f ca="1">IF(
  $A28=U$1,
  IF( ROW(U28)=2, "+", IF(COUNTIF($B28:T28,"X")=0, "+", "-") ),
  IF(
    $A28&lt;U$1,
    "O",
    IF( OFFSET(U$1, COLUMN(U28)-1, 0)="-", "O", IF(MOD($A28, U$1)=0, "X", "O") )
  )
)</f>
        <v>O</v>
      </c>
      <c r="V28" s="45" t="str">
        <f ca="1">IF(
  $A28=V$1,
  IF( ROW(V28)=2, "+", IF(COUNTIF($B28:U28,"X")=0, "+", "-") ),
  IF(
    $A28&lt;V$1,
    "O",
    IF( OFFSET(V$1, COLUMN(V28)-1, 0)="-", "O", IF(MOD($A28, V$1)=0, "X", "O") )
  )
)</f>
        <v>O</v>
      </c>
      <c r="W28" s="44" t="str">
        <f ca="1">IF(
  $A28=W$1,
  IF( ROW(W28)=2, "+", IF(COUNTIF($B28:V28,"X")=0, "+", "-") ),
  IF(
    $A28&lt;W$1,
    "O",
    IF( OFFSET(W$1, COLUMN(W28)-1, 0)="-", "O", IF(MOD($A28, W$1)=0, "X", "O") )
  )
)</f>
        <v>O</v>
      </c>
      <c r="X28" s="45" t="str">
        <f ca="1">IF(
  $A28=X$1,
  IF( ROW(X28)=2, "+", IF(COUNTIF($B28:W28,"X")=0, "+", "-") ),
  IF(
    $A28&lt;X$1,
    "O",
    IF( OFFSET(X$1, COLUMN(X28)-1, 0)="-", "O", IF(MOD($A28, X$1)=0, "X", "O") )
  )
)</f>
        <v>O</v>
      </c>
      <c r="Y28" s="45" t="str">
        <f ca="1">IF(
  $A28=Y$1,
  IF( ROW(Y28)=2, "+", IF(COUNTIF($B28:X28,"X")=0, "+", "-") ),
  IF(
    $A28&lt;Y$1,
    "O",
    IF( OFFSET(Y$1, COLUMN(Y28)-1, 0)="-", "O", IF(MOD($A28, Y$1)=0, "X", "O") )
  )
)</f>
        <v>O</v>
      </c>
      <c r="Z28" s="45" t="str">
        <f ca="1">IF(
  $A28=Z$1,
  IF( ROW(Z28)=2, "+", IF(COUNTIF($B28:Y28,"X")=0, "+", "-") ),
  IF(
    $A28&lt;Z$1,
    "O",
    IF( OFFSET(Z$1, COLUMN(Z28)-1, 0)="-", "O", IF(MOD($A28, Z$1)=0, "X", "O") )
  )
)</f>
        <v>O</v>
      </c>
      <c r="AA28" s="45" t="str">
        <f ca="1">IF(
  $A28=AA$1,
  IF( ROW(AA28)=2, "+", IF(COUNTIF($B28:Z28,"X")=0, "+", "-") ),
  IF(
    $A28&lt;AA$1,
    "O",
    IF( OFFSET(AA$1, COLUMN(AA28)-1, 0)="-", "O", IF(MOD($A28, AA$1)=0, "X", "O") )
  )
)</f>
        <v>O</v>
      </c>
      <c r="AB28" s="45" t="str">
        <f ca="1">IF(
  $A28=AB$1,
  IF( ROW(AB28)=2, "+", IF(COUNTIF($B28:AA28,"X")=0, "+", "-") ),
  IF(
    $A28&lt;AB$1,
    "O",
    IF( OFFSET(AB$1, COLUMN(AB28)-1, 0)="-", "O", IF(MOD($A28, AB$1)=0, "X", "O") )
  )
)</f>
        <v>-</v>
      </c>
      <c r="AC28" s="45" t="str">
        <f ca="1">IF(
  $A28=AC$1,
  IF( ROW(AC28)=2, "+", IF(COUNTIF($B28:AB28,"X")=0, "+", "-") ),
  IF(
    $A28&lt;AC$1,
    "O",
    IF( OFFSET(AC$1, COLUMN(AC28)-1, 0)="-", "O", IF(MOD($A28, AC$1)=0, "X", "O") )
  )
)</f>
        <v>O</v>
      </c>
      <c r="AD28" s="45" t="str">
        <f ca="1">IF(
  $A28=AD$1,
  IF( ROW(AD28)=2, "+", IF(COUNTIF($B28:AC28,"X")=0, "+", "-") ),
  IF(
    $A28&lt;AD$1,
    "O",
    IF( OFFSET(AD$1, COLUMN(AD28)-1, 0)="-", "O", IF(MOD($A28, AD$1)=0, "X", "O") )
  )
)</f>
        <v>O</v>
      </c>
      <c r="AE28" s="45" t="str">
        <f ca="1">IF(
  $A28=AE$1,
  IF( ROW(AE28)=2, "+", IF(COUNTIF($B28:AD28,"X")=0, "+", "-") ),
  IF(
    $A28&lt;AE$1,
    "O",
    IF( OFFSET(AE$1, COLUMN(AE28)-1, 0)="-", "O", IF(MOD($A28, AE$1)=0, "X", "O") )
  )
)</f>
        <v>O</v>
      </c>
      <c r="AF28" s="45" t="str">
        <f ca="1">IF(
  $A28=AF$1,
  IF( ROW(AF28)=2, "+", IF(COUNTIF($B28:AE28,"X")=0, "+", "-") ),
  IF(
    $A28&lt;AF$1,
    "O",
    IF( OFFSET(AF$1, COLUMN(AF28)-1, 0)="-", "O", IF(MOD($A28, AF$1)=0, "X", "O") )
  )
)</f>
        <v>O</v>
      </c>
      <c r="AG28" s="45" t="str">
        <f ca="1">IF(
  $A28=AG$1,
  IF( ROW(AG28)=2, "+", IF(COUNTIF($B28:AF28,"X")=0, "+", "-") ),
  IF(
    $A28&lt;AG$1,
    "O",
    IF( OFFSET(AG$1, COLUMN(AG28)-1, 0)="-", "O", IF(MOD($A28, AG$1)=0, "X", "O") )
  )
)</f>
        <v>O</v>
      </c>
      <c r="AH28" s="45" t="str">
        <f ca="1">IF(
  $A28=AH$1,
  IF( ROW(AH28)=2, "+", IF(COUNTIF($B28:AG28,"X")=0, "+", "-") ),
  IF(
    $A28&lt;AH$1,
    "O",
    IF( OFFSET(AH$1, COLUMN(AH28)-1, 0)="-", "O", IF(MOD($A28, AH$1)=0, "X", "O") )
  )
)</f>
        <v>O</v>
      </c>
      <c r="AI28" s="45" t="str">
        <f ca="1">IF(
  $A28=AI$1,
  IF( ROW(AI28)=2, "+", IF(COUNTIF($B28:AH28,"X")=0, "+", "-") ),
  IF(
    $A28&lt;AI$1,
    "O",
    IF( OFFSET(AI$1, COLUMN(AI28)-1, 0)="-", "O", IF(MOD($A28, AI$1)=0, "X", "O") )
  )
)</f>
        <v>O</v>
      </c>
      <c r="AJ28" s="45" t="str">
        <f ca="1">IF(
  $A28=AJ$1,
  IF( ROW(AJ28)=2, "+", IF(COUNTIF($B28:AI28,"X")=0, "+", "-") ),
  IF(
    $A28&lt;AJ$1,
    "O",
    IF( OFFSET(AJ$1, COLUMN(AJ28)-1, 0)="-", "O", IF(MOD($A28, AJ$1)=0, "X", "O") )
  )
)</f>
        <v>O</v>
      </c>
      <c r="AK28" s="45" t="str">
        <f ca="1">IF(
  $A28=AK$1,
  IF( ROW(AK28)=2, "+", IF(COUNTIF($B28:AJ28,"X")=0, "+", "-") ),
  IF(
    $A28&lt;AK$1,
    "O",
    IF( OFFSET(AK$1, COLUMN(AK28)-1, 0)="-", "O", IF(MOD($A28, AK$1)=0, "X", "O") )
  )
)</f>
        <v>O</v>
      </c>
      <c r="AL28" s="45" t="str">
        <f ca="1">IF(
  $A28=AL$1,
  IF( ROW(AL28)=2, "+", IF(COUNTIF($B28:AK28,"X")=0, "+", "-") ),
  IF(
    $A28&lt;AL$1,
    "O",
    IF( OFFSET(AL$1, COLUMN(AL28)-1, 0)="-", "O", IF(MOD($A28, AL$1)=0, "X", "O") )
  )
)</f>
        <v>O</v>
      </c>
      <c r="AM28" s="45" t="str">
        <f ca="1">IF(
  $A28=AM$1,
  IF( ROW(AM28)=2, "+", IF(COUNTIF($B28:AL28,"X")=0, "+", "-") ),
  IF(
    $A28&lt;AM$1,
    "O",
    IF( OFFSET(AM$1, COLUMN(AM28)-1, 0)="-", "O", IF(MOD($A28, AM$1)=0, "X", "O") )
  )
)</f>
        <v>O</v>
      </c>
      <c r="AN28" s="45" t="str">
        <f ca="1">IF(
  $A28=AN$1,
  IF( ROW(AN28)=2, "+", IF(COUNTIF($B28:AM28,"X")=0, "+", "-") ),
  IF(
    $A28&lt;AN$1,
    "O",
    IF( OFFSET(AN$1, COLUMN(AN28)-1, 0)="-", "O", IF(MOD($A28, AN$1)=0, "X", "O") )
  )
)</f>
        <v>O</v>
      </c>
      <c r="AO28" s="45" t="str">
        <f ca="1">IF(
  $A28=AO$1,
  IF( ROW(AO28)=2, "+", IF(COUNTIF($B28:AN28,"X")=0, "+", "-") ),
  IF(
    $A28&lt;AO$1,
    "O",
    IF( OFFSET(AO$1, COLUMN(AO28)-1, 0)="-", "O", IF(MOD($A28, AO$1)=0, "X", "O") )
  )
)</f>
        <v>O</v>
      </c>
      <c r="AP28" s="45" t="str">
        <f ca="1">IF(
  $A28=AP$1,
  IF( ROW(AP28)=2, "+", IF(COUNTIF($B28:AO28,"X")=0, "+", "-") ),
  IF(
    $A28&lt;AP$1,
    "O",
    IF( OFFSET(AP$1, COLUMN(AP28)-1, 0)="-", "O", IF(MOD($A28, AP$1)=0, "X", "O") )
  )
)</f>
        <v>O</v>
      </c>
      <c r="AQ28" s="45" t="str">
        <f ca="1">IF(
  $A28=AQ$1,
  IF( ROW(AQ28)=2, "+", IF(COUNTIF($B28:AP28,"X")=0, "+", "-") ),
  IF(
    $A28&lt;AQ$1,
    "O",
    IF( OFFSET(AQ$1, COLUMN(AQ28)-1, 0)="-", "O", IF(MOD($A28, AQ$1)=0, "X", "O") )
  )
)</f>
        <v>O</v>
      </c>
      <c r="AR28" s="45" t="str">
        <f ca="1">IF(
  $A28=AR$1,
  IF( ROW(AR28)=2, "+", IF(COUNTIF($B28:AQ28,"X")=0, "+", "-") ),
  IF(
    $A28&lt;AR$1,
    "O",
    IF( OFFSET(AR$1, COLUMN(AR28)-1, 0)="-", "O", IF(MOD($A28, AR$1)=0, "X", "O") )
  )
)</f>
        <v>O</v>
      </c>
      <c r="AS28" s="45" t="str">
        <f ca="1">IF(
  $A28=AS$1,
  IF( ROW(AS28)=2, "+", IF(COUNTIF($B28:AR28,"X")=0, "+", "-") ),
  IF(
    $A28&lt;AS$1,
    "O",
    IF( OFFSET(AS$1, COLUMN(AS28)-1, 0)="-", "O", IF(MOD($A28, AS$1)=0, "X", "O") )
  )
)</f>
        <v>O</v>
      </c>
      <c r="AT28" s="45" t="str">
        <f ca="1">IF(
  $A28=AT$1,
  IF( ROW(AT28)=2, "+", IF(COUNTIF($B28:AS28,"X")=0, "+", "-") ),
  IF(
    $A28&lt;AT$1,
    "O",
    IF( OFFSET(AT$1, COLUMN(AT28)-1, 0)="-", "O", IF(MOD($A28, AT$1)=0, "X", "O") )
  )
)</f>
        <v>O</v>
      </c>
      <c r="AU28" s="45" t="str">
        <f ca="1">IF(
  $A28=AU$1,
  IF( ROW(AU28)=2, "+", IF(COUNTIF($B28:AT28,"X")=0, "+", "-") ),
  IF(
    $A28&lt;AU$1,
    "O",
    IF( OFFSET(AU$1, COLUMN(AU28)-1, 0)="-", "O", IF(MOD($A28, AU$1)=0, "X", "O") )
  )
)</f>
        <v>O</v>
      </c>
      <c r="AV28" s="45" t="str">
        <f ca="1">IF(
  $A28=AV$1,
  IF( ROW(AV28)=2, "+", IF(COUNTIF($B28:AU28,"X")=0, "+", "-") ),
  IF(
    $A28&lt;AV$1,
    "O",
    IF( OFFSET(AV$1, COLUMN(AV28)-1, 0)="-", "O", IF(MOD($A28, AV$1)=0, "X", "O") )
  )
)</f>
        <v>O</v>
      </c>
      <c r="AW28" s="45" t="str">
        <f ca="1">IF(
  $A28=AW$1,
  IF( ROW(AW28)=2, "+", IF(COUNTIF($B28:AV28,"X")=0, "+", "-") ),
  IF(
    $A28&lt;AW$1,
    "O",
    IF( OFFSET(AW$1, COLUMN(AW28)-1, 0)="-", "O", IF(MOD($A28, AW$1)=0, "X", "O") )
  )
)</f>
        <v>O</v>
      </c>
      <c r="AX28" s="45" t="str">
        <f ca="1">IF(
  $A28=AX$1,
  IF( ROW(AX28)=2, "+", IF(COUNTIF($B28:AW28,"X")=0, "+", "-") ),
  IF(
    $A28&lt;AX$1,
    "O",
    IF( OFFSET(AX$1, COLUMN(AX28)-1, 0)="-", "O", IF(MOD($A28, AX$1)=0, "X", "O") )
  )
)</f>
        <v>O</v>
      </c>
      <c r="AY28" s="45" t="str">
        <f ca="1">IF(
  $A28=AY$1,
  IF( ROW(AY28)=2, "+", IF(COUNTIF($B28:AX28,"X")=0, "+", "-") ),
  IF(
    $A28&lt;AY$1,
    "O",
    IF( OFFSET(AY$1, COLUMN(AY28)-1, 0)="-", "O", IF(MOD($A28, AY$1)=0, "X", "O") )
  )
)</f>
        <v>O</v>
      </c>
      <c r="AZ28" s="45" t="str">
        <f ca="1">IF(
  $A28=AZ$1,
  IF( ROW(AZ28)=2, "+", IF(COUNTIF($B28:AY28,"X")=0, "+", "-") ),
  IF(
    $A28&lt;AZ$1,
    "O",
    IF( OFFSET(AZ$1, COLUMN(AZ28)-1, 0)="-", "O", IF(MOD($A28, AZ$1)=0, "X", "O") )
  )
)</f>
        <v>O</v>
      </c>
      <c r="BA28" s="45" t="str">
        <f ca="1">IF(
  $A28=BA$1,
  IF( ROW(BA28)=2, "+", IF(COUNTIF($B28:AZ28,"X")=0, "+", "-") ),
  IF(
    $A28&lt;BA$1,
    "O",
    IF( OFFSET(BA$1, COLUMN(BA28)-1, 0)="-", "O", IF(MOD($A28, BA$1)=0, "X", "O") )
  )
)</f>
        <v>O</v>
      </c>
      <c r="BB28" s="45" t="str">
        <f ca="1">IF(
  $A28=BB$1,
  IF( ROW(BB28)=2, "+", IF(COUNTIF($B28:BA28,"X")=0, "+", "-") ),
  IF(
    $A28&lt;BB$1,
    "O",
    IF( OFFSET(BB$1, COLUMN(BB28)-1, 0)="-", "O", IF(MOD($A28, BB$1)=0, "X", "O") )
  )
)</f>
        <v>O</v>
      </c>
      <c r="BC28" s="45" t="str">
        <f ca="1">IF(
  $A28=BC$1,
  IF( ROW(BC28)=2, "+", IF(COUNTIF($B28:BB28,"X")=0, "+", "-") ),
  IF(
    $A28&lt;BC$1,
    "O",
    IF( OFFSET(BC$1, COLUMN(BC28)-1, 0)="-", "O", IF(MOD($A28, BC$1)=0, "X", "O") )
  )
)</f>
        <v>O</v>
      </c>
      <c r="BD28" s="45" t="str">
        <f ca="1">IF(
  $A28=BD$1,
  IF( ROW(BD28)=2, "+", IF(COUNTIF($B28:BC28,"X")=0, "+", "-") ),
  IF(
    $A28&lt;BD$1,
    "O",
    IF( OFFSET(BD$1, COLUMN(BD28)-1, 0)="-", "O", IF(MOD($A28, BD$1)=0, "X", "O") )
  )
)</f>
        <v>O</v>
      </c>
      <c r="BE28" s="45" t="str">
        <f ca="1">IF(
  $A28=BE$1,
  IF( ROW(BE28)=2, "+", IF(COUNTIF($B28:BD28,"X")=0, "+", "-") ),
  IF(
    $A28&lt;BE$1,
    "O",
    IF( OFFSET(BE$1, COLUMN(BE28)-1, 0)="-", "O", IF(MOD($A28, BE$1)=0, "X", "O") )
  )
)</f>
        <v>O</v>
      </c>
      <c r="BF28" s="45" t="str">
        <f ca="1">IF(
  $A28=BF$1,
  IF( ROW(BF28)=2, "+", IF(COUNTIF($B28:BE28,"X")=0, "+", "-") ),
  IF(
    $A28&lt;BF$1,
    "O",
    IF( OFFSET(BF$1, COLUMN(BF28)-1, 0)="-", "O", IF(MOD($A28, BF$1)=0, "X", "O") )
  )
)</f>
        <v>O</v>
      </c>
      <c r="BG28" s="45" t="str">
        <f ca="1">IF(
  $A28=BG$1,
  IF( ROW(BG28)=2, "+", IF(COUNTIF($B28:BF28,"X")=0, "+", "-") ),
  IF(
    $A28&lt;BG$1,
    "O",
    IF( OFFSET(BG$1, COLUMN(BG28)-1, 0)="-", "O", IF(MOD($A28, BG$1)=0, "X", "O") )
  )
)</f>
        <v>O</v>
      </c>
      <c r="BH28" s="45" t="str">
        <f ca="1">IF(
  $A28=BH$1,
  IF( ROW(BH28)=2, "+", IF(COUNTIF($B28:BG28,"X")=0, "+", "-") ),
  IF(
    $A28&lt;BH$1,
    "O",
    IF( OFFSET(BH$1, COLUMN(BH28)-1, 0)="-", "O", IF(MOD($A28, BH$1)=0, "X", "O") )
  )
)</f>
        <v>O</v>
      </c>
    </row>
    <row r="29" spans="1:60" s="46" customFormat="1" x14ac:dyDescent="0.25">
      <c r="A29">
        <v>29</v>
      </c>
      <c r="B29" s="44" t="str">
        <f ca="1">IF(
  $A29=B$1,
  IF( ROW(B29)=2, "+", IF(COUNTIF(A29:$B29,"X")=0, "+", "-") ),
  IF(
    $A29&lt;B$1,
    "O",
    IF( OFFSET(B$1, COLUMN(B29)-1, 0)="-", "O", IF(MOD($A29, B$1)=0, "X", "O") )
  )
)</f>
        <v>O</v>
      </c>
      <c r="C29" s="44" t="str">
        <f ca="1">IF(
  $A29=C$1,
  IF( ROW(C29)=2, "+", IF(COUNTIF(B29:$B29,"X")=0, "+", "-") ),
  IF(
    $A29&lt;C$1,
    "O",
    IF( OFFSET(C$1, COLUMN(C29)-1, 0)="-", "O", IF(MOD($A29, C$1)=0, "X", "O") )
  )
)</f>
        <v>O</v>
      </c>
      <c r="D29" s="45" t="str">
        <f ca="1">IF(
  $A29=D$1,
  IF( ROW(D29)=2, "+", IF(COUNTIF($B29:C29,"X")=0, "+", "-") ),
  IF(
    $A29&lt;D$1,
    "O",
    IF( OFFSET(D$1, COLUMN(D29)-1, 0)="-", "O", IF(MOD($A29, D$1)=0, "X", "O") )
  )
)</f>
        <v>O</v>
      </c>
      <c r="E29" s="44" t="str">
        <f ca="1">IF(
  $A29=E$1,
  IF( ROW(E29)=2, "+", IF(COUNTIF($B29:D29,"X")=0, "+", "-") ),
  IF(
    $A29&lt;E$1,
    "O",
    IF( OFFSET(E$1, COLUMN(E29)-1, 0)="-", "O", IF(MOD($A29, E$1)=0, "X", "O") )
  )
)</f>
        <v>O</v>
      </c>
      <c r="F29" s="45" t="str">
        <f ca="1">IF(
  $A29=F$1,
  IF( ROW(F29)=2, "+", IF(COUNTIF($B29:E29,"X")=0, "+", "-") ),
  IF(
    $A29&lt;F$1,
    "O",
    IF( OFFSET(F$1, COLUMN(F29)-1, 0)="-", "O", IF(MOD($A29, F$1)=0, "X", "O") )
  )
)</f>
        <v>O</v>
      </c>
      <c r="G29" s="44" t="str">
        <f ca="1">IF(
  $A29=G$1,
  IF( ROW(G29)=2, "+", IF(COUNTIF($B29:F29,"X")=0, "+", "-") ),
  IF(
    $A29&lt;G$1,
    "O",
    IF( OFFSET(G$1, COLUMN(G29)-1, 0)="-", "O", IF(MOD($A29, G$1)=0, "X", "O") )
  )
)</f>
        <v>O</v>
      </c>
      <c r="H29" s="45" t="str">
        <f ca="1">IF(
  $A29=H$1,
  IF( ROW(H29)=2, "+", IF(COUNTIF($B29:G29,"X")=0, "+", "-") ),
  IF(
    $A29&lt;H$1,
    "O",
    IF( OFFSET(H$1, COLUMN(H29)-1, 0)="-", "O", IF(MOD($A29, H$1)=0, "X", "O") )
  )
)</f>
        <v>O</v>
      </c>
      <c r="I29" s="45" t="str">
        <f ca="1">IF(
  $A29=I$1,
  IF( ROW(I29)=2, "+", IF(COUNTIF($B29:H29,"X")=0, "+", "-") ),
  IF(
    $A29&lt;I$1,
    "O",
    IF( OFFSET(I$1, COLUMN(I29)-1, 0)="-", "O", IF(MOD($A29, I$1)=0, "X", "O") )
  )
)</f>
        <v>O</v>
      </c>
      <c r="J29" s="45" t="str">
        <f ca="1">IF(
  $A29=J$1,
  IF( ROW(J29)=2, "+", IF(COUNTIF($B29:I29,"X")=0, "+", "-") ),
  IF(
    $A29&lt;J$1,
    "O",
    IF( OFFSET(J$1, COLUMN(J29)-1, 0)="-", "O", IF(MOD($A29, J$1)=0, "X", "O") )
  )
)</f>
        <v>O</v>
      </c>
      <c r="K29" s="44" t="str">
        <f ca="1">IF(
  $A29=K$1,
  IF( ROW(K29)=2, "+", IF(COUNTIF($B29:J29,"X")=0, "+", "-") ),
  IF(
    $A29&lt;K$1,
    "O",
    IF( OFFSET(K$1, COLUMN(K29)-1, 0)="-", "O", IF(MOD($A29, K$1)=0, "X", "O") )
  )
)</f>
        <v>O</v>
      </c>
      <c r="L29" s="45" t="str">
        <f ca="1">IF(
  $A29=L$1,
  IF( ROW(L29)=2, "+", IF(COUNTIF($B29:K29,"X")=0, "+", "-") ),
  IF(
    $A29&lt;L$1,
    "O",
    IF( OFFSET(L$1, COLUMN(L29)-1, 0)="-", "O", IF(MOD($A29, L$1)=0, "X", "O") )
  )
)</f>
        <v>O</v>
      </c>
      <c r="M29" s="44" t="str">
        <f ca="1">IF(
  $A29=M$1,
  IF( ROW(M29)=2, "+", IF(COUNTIF($B29:L29,"X")=0, "+", "-") ),
  IF(
    $A29&lt;M$1,
    "O",
    IF( OFFSET(M$1, COLUMN(M29)-1, 0)="-", "O", IF(MOD($A29, M$1)=0, "X", "O") )
  )
)</f>
        <v>O</v>
      </c>
      <c r="N29" s="45" t="str">
        <f ca="1">IF(
  $A29=N$1,
  IF( ROW(N29)=2, "+", IF(COUNTIF($B29:M29,"X")=0, "+", "-") ),
  IF(
    $A29&lt;N$1,
    "O",
    IF( OFFSET(N$1, COLUMN(N29)-1, 0)="-", "O", IF(MOD($A29, N$1)=0, "X", "O") )
  )
)</f>
        <v>O</v>
      </c>
      <c r="O29" s="45" t="str">
        <f ca="1">IF(
  $A29=O$1,
  IF( ROW(O29)=2, "+", IF(COUNTIF($B29:N29,"X")=0, "+", "-") ),
  IF(
    $A29&lt;O$1,
    "O",
    IF( OFFSET(O$1, COLUMN(O29)-1, 0)="-", "O", IF(MOD($A29, O$1)=0, "X", "O") )
  )
)</f>
        <v>O</v>
      </c>
      <c r="P29" s="45" t="str">
        <f ca="1">IF(
  $A29=P$1,
  IF( ROW(P29)=2, "+", IF(COUNTIF($B29:O29,"X")=0, "+", "-") ),
  IF(
    $A29&lt;P$1,
    "O",
    IF( OFFSET(P$1, COLUMN(P29)-1, 0)="-", "O", IF(MOD($A29, P$1)=0, "X", "O") )
  )
)</f>
        <v>O</v>
      </c>
      <c r="Q29" s="44" t="str">
        <f ca="1">IF(
  $A29=Q$1,
  IF( ROW(Q29)=2, "+", IF(COUNTIF($B29:P29,"X")=0, "+", "-") ),
  IF(
    $A29&lt;Q$1,
    "O",
    IF( OFFSET(Q$1, COLUMN(Q29)-1, 0)="-", "O", IF(MOD($A29, Q$1)=0, "X", "O") )
  )
)</f>
        <v>O</v>
      </c>
      <c r="R29" s="45" t="str">
        <f ca="1">IF(
  $A29=R$1,
  IF( ROW(R29)=2, "+", IF(COUNTIF($B29:Q29,"X")=0, "+", "-") ),
  IF(
    $A29&lt;R$1,
    "O",
    IF( OFFSET(R$1, COLUMN(R29)-1, 0)="-", "O", IF(MOD($A29, R$1)=0, "X", "O") )
  )
)</f>
        <v>O</v>
      </c>
      <c r="S29" s="44" t="str">
        <f ca="1">IF(
  $A29=S$1,
  IF( ROW(S29)=2, "+", IF(COUNTIF($B29:R29,"X")=0, "+", "-") ),
  IF(
    $A29&lt;S$1,
    "O",
    IF( OFFSET(S$1, COLUMN(S29)-1, 0)="-", "O", IF(MOD($A29, S$1)=0, "X", "O") )
  )
)</f>
        <v>O</v>
      </c>
      <c r="T29" s="45" t="str">
        <f ca="1">IF(
  $A29=T$1,
  IF( ROW(T29)=2, "+", IF(COUNTIF($B29:S29,"X")=0, "+", "-") ),
  IF(
    $A29&lt;T$1,
    "O",
    IF( OFFSET(T$1, COLUMN(T29)-1, 0)="-", "O", IF(MOD($A29, T$1)=0, "X", "O") )
  )
)</f>
        <v>O</v>
      </c>
      <c r="U29" s="45" t="str">
        <f ca="1">IF(
  $A29=U$1,
  IF( ROW(U29)=2, "+", IF(COUNTIF($B29:T29,"X")=0, "+", "-") ),
  IF(
    $A29&lt;U$1,
    "O",
    IF( OFFSET(U$1, COLUMN(U29)-1, 0)="-", "O", IF(MOD($A29, U$1)=0, "X", "O") )
  )
)</f>
        <v>O</v>
      </c>
      <c r="V29" s="45" t="str">
        <f ca="1">IF(
  $A29=V$1,
  IF( ROW(V29)=2, "+", IF(COUNTIF($B29:U29,"X")=0, "+", "-") ),
  IF(
    $A29&lt;V$1,
    "O",
    IF( OFFSET(V$1, COLUMN(V29)-1, 0)="-", "O", IF(MOD($A29, V$1)=0, "X", "O") )
  )
)</f>
        <v>O</v>
      </c>
      <c r="W29" s="44" t="str">
        <f ca="1">IF(
  $A29=W$1,
  IF( ROW(W29)=2, "+", IF(COUNTIF($B29:V29,"X")=0, "+", "-") ),
  IF(
    $A29&lt;W$1,
    "O",
    IF( OFFSET(W$1, COLUMN(W29)-1, 0)="-", "O", IF(MOD($A29, W$1)=0, "X", "O") )
  )
)</f>
        <v>O</v>
      </c>
      <c r="X29" s="45" t="str">
        <f ca="1">IF(
  $A29=X$1,
  IF( ROW(X29)=2, "+", IF(COUNTIF($B29:W29,"X")=0, "+", "-") ),
  IF(
    $A29&lt;X$1,
    "O",
    IF( OFFSET(X$1, COLUMN(X29)-1, 0)="-", "O", IF(MOD($A29, X$1)=0, "X", "O") )
  )
)</f>
        <v>O</v>
      </c>
      <c r="Y29" s="45" t="str">
        <f ca="1">IF(
  $A29=Y$1,
  IF( ROW(Y29)=2, "+", IF(COUNTIF($B29:X29,"X")=0, "+", "-") ),
  IF(
    $A29&lt;Y$1,
    "O",
    IF( OFFSET(Y$1, COLUMN(Y29)-1, 0)="-", "O", IF(MOD($A29, Y$1)=0, "X", "O") )
  )
)</f>
        <v>O</v>
      </c>
      <c r="Z29" s="45" t="str">
        <f ca="1">IF(
  $A29=Z$1,
  IF( ROW(Z29)=2, "+", IF(COUNTIF($B29:Y29,"X")=0, "+", "-") ),
  IF(
    $A29&lt;Z$1,
    "O",
    IF( OFFSET(Z$1, COLUMN(Z29)-1, 0)="-", "O", IF(MOD($A29, Z$1)=0, "X", "O") )
  )
)</f>
        <v>O</v>
      </c>
      <c r="AA29" s="45" t="str">
        <f ca="1">IF(
  $A29=AA$1,
  IF( ROW(AA29)=2, "+", IF(COUNTIF($B29:Z29,"X")=0, "+", "-") ),
  IF(
    $A29&lt;AA$1,
    "O",
    IF( OFFSET(AA$1, COLUMN(AA29)-1, 0)="-", "O", IF(MOD($A29, AA$1)=0, "X", "O") )
  )
)</f>
        <v>O</v>
      </c>
      <c r="AB29" s="45" t="str">
        <f ca="1">IF(
  $A29=AB$1,
  IF( ROW(AB29)=2, "+", IF(COUNTIF($B29:AA29,"X")=0, "+", "-") ),
  IF(
    $A29&lt;AB$1,
    "O",
    IF( OFFSET(AB$1, COLUMN(AB29)-1, 0)="-", "O", IF(MOD($A29, AB$1)=0, "X", "O") )
  )
)</f>
        <v>O</v>
      </c>
      <c r="AC29" s="44" t="str">
        <f ca="1">IF(
  $A29=AC$1,
  IF( ROW(AC29)=2, "+", IF(COUNTIF($B29:AB29,"X")=0, "+", "-") ),
  IF(
    $A29&lt;AC$1,
    "O",
    IF( OFFSET(AC$1, COLUMN(AC29)-1, 0)="-", "O", IF(MOD($A29, AC$1)=0, "X", "O") )
  )
)</f>
        <v>+</v>
      </c>
      <c r="AD29" s="45" t="str">
        <f ca="1">IF(
  $A29=AD$1,
  IF( ROW(AD29)=2, "+", IF(COUNTIF($B29:AC29,"X")=0, "+", "-") ),
  IF(
    $A29&lt;AD$1,
    "O",
    IF( OFFSET(AD$1, COLUMN(AD29)-1, 0)="-", "O", IF(MOD($A29, AD$1)=0, "X", "O") )
  )
)</f>
        <v>O</v>
      </c>
      <c r="AE29" s="45" t="str">
        <f ca="1">IF(
  $A29=AE$1,
  IF( ROW(AE29)=2, "+", IF(COUNTIF($B29:AD29,"X")=0, "+", "-") ),
  IF(
    $A29&lt;AE$1,
    "O",
    IF( OFFSET(AE$1, COLUMN(AE29)-1, 0)="-", "O", IF(MOD($A29, AE$1)=0, "X", "O") )
  )
)</f>
        <v>O</v>
      </c>
      <c r="AF29" s="45" t="str">
        <f ca="1">IF(
  $A29=AF$1,
  IF( ROW(AF29)=2, "+", IF(COUNTIF($B29:AE29,"X")=0, "+", "-") ),
  IF(
    $A29&lt;AF$1,
    "O",
    IF( OFFSET(AF$1, COLUMN(AF29)-1, 0)="-", "O", IF(MOD($A29, AF$1)=0, "X", "O") )
  )
)</f>
        <v>O</v>
      </c>
      <c r="AG29" s="45" t="str">
        <f ca="1">IF(
  $A29=AG$1,
  IF( ROW(AG29)=2, "+", IF(COUNTIF($B29:AF29,"X")=0, "+", "-") ),
  IF(
    $A29&lt;AG$1,
    "O",
    IF( OFFSET(AG$1, COLUMN(AG29)-1, 0)="-", "O", IF(MOD($A29, AG$1)=0, "X", "O") )
  )
)</f>
        <v>O</v>
      </c>
      <c r="AH29" s="45" t="str">
        <f ca="1">IF(
  $A29=AH$1,
  IF( ROW(AH29)=2, "+", IF(COUNTIF($B29:AG29,"X")=0, "+", "-") ),
  IF(
    $A29&lt;AH$1,
    "O",
    IF( OFFSET(AH$1, COLUMN(AH29)-1, 0)="-", "O", IF(MOD($A29, AH$1)=0, "X", "O") )
  )
)</f>
        <v>O</v>
      </c>
      <c r="AI29" s="45" t="str">
        <f ca="1">IF(
  $A29=AI$1,
  IF( ROW(AI29)=2, "+", IF(COUNTIF($B29:AH29,"X")=0, "+", "-") ),
  IF(
    $A29&lt;AI$1,
    "O",
    IF( OFFSET(AI$1, COLUMN(AI29)-1, 0)="-", "O", IF(MOD($A29, AI$1)=0, "X", "O") )
  )
)</f>
        <v>O</v>
      </c>
      <c r="AJ29" s="45" t="str">
        <f ca="1">IF(
  $A29=AJ$1,
  IF( ROW(AJ29)=2, "+", IF(COUNTIF($B29:AI29,"X")=0, "+", "-") ),
  IF(
    $A29&lt;AJ$1,
    "O",
    IF( OFFSET(AJ$1, COLUMN(AJ29)-1, 0)="-", "O", IF(MOD($A29, AJ$1)=0, "X", "O") )
  )
)</f>
        <v>O</v>
      </c>
      <c r="AK29" s="45" t="str">
        <f ca="1">IF(
  $A29=AK$1,
  IF( ROW(AK29)=2, "+", IF(COUNTIF($B29:AJ29,"X")=0, "+", "-") ),
  IF(
    $A29&lt;AK$1,
    "O",
    IF( OFFSET(AK$1, COLUMN(AK29)-1, 0)="-", "O", IF(MOD($A29, AK$1)=0, "X", "O") )
  )
)</f>
        <v>O</v>
      </c>
      <c r="AL29" s="45" t="str">
        <f ca="1">IF(
  $A29=AL$1,
  IF( ROW(AL29)=2, "+", IF(COUNTIF($B29:AK29,"X")=0, "+", "-") ),
  IF(
    $A29&lt;AL$1,
    "O",
    IF( OFFSET(AL$1, COLUMN(AL29)-1, 0)="-", "O", IF(MOD($A29, AL$1)=0, "X", "O") )
  )
)</f>
        <v>O</v>
      </c>
      <c r="AM29" s="45" t="str">
        <f ca="1">IF(
  $A29=AM$1,
  IF( ROW(AM29)=2, "+", IF(COUNTIF($B29:AL29,"X")=0, "+", "-") ),
  IF(
    $A29&lt;AM$1,
    "O",
    IF( OFFSET(AM$1, COLUMN(AM29)-1, 0)="-", "O", IF(MOD($A29, AM$1)=0, "X", "O") )
  )
)</f>
        <v>O</v>
      </c>
      <c r="AN29" s="45" t="str">
        <f ca="1">IF(
  $A29=AN$1,
  IF( ROW(AN29)=2, "+", IF(COUNTIF($B29:AM29,"X")=0, "+", "-") ),
  IF(
    $A29&lt;AN$1,
    "O",
    IF( OFFSET(AN$1, COLUMN(AN29)-1, 0)="-", "O", IF(MOD($A29, AN$1)=0, "X", "O") )
  )
)</f>
        <v>O</v>
      </c>
      <c r="AO29" s="45" t="str">
        <f ca="1">IF(
  $A29=AO$1,
  IF( ROW(AO29)=2, "+", IF(COUNTIF($B29:AN29,"X")=0, "+", "-") ),
  IF(
    $A29&lt;AO$1,
    "O",
    IF( OFFSET(AO$1, COLUMN(AO29)-1, 0)="-", "O", IF(MOD($A29, AO$1)=0, "X", "O") )
  )
)</f>
        <v>O</v>
      </c>
      <c r="AP29" s="45" t="str">
        <f ca="1">IF(
  $A29=AP$1,
  IF( ROW(AP29)=2, "+", IF(COUNTIF($B29:AO29,"X")=0, "+", "-") ),
  IF(
    $A29&lt;AP$1,
    "O",
    IF( OFFSET(AP$1, COLUMN(AP29)-1, 0)="-", "O", IF(MOD($A29, AP$1)=0, "X", "O") )
  )
)</f>
        <v>O</v>
      </c>
      <c r="AQ29" s="45" t="str">
        <f ca="1">IF(
  $A29=AQ$1,
  IF( ROW(AQ29)=2, "+", IF(COUNTIF($B29:AP29,"X")=0, "+", "-") ),
  IF(
    $A29&lt;AQ$1,
    "O",
    IF( OFFSET(AQ$1, COLUMN(AQ29)-1, 0)="-", "O", IF(MOD($A29, AQ$1)=0, "X", "O") )
  )
)</f>
        <v>O</v>
      </c>
      <c r="AR29" s="45" t="str">
        <f ca="1">IF(
  $A29=AR$1,
  IF( ROW(AR29)=2, "+", IF(COUNTIF($B29:AQ29,"X")=0, "+", "-") ),
  IF(
    $A29&lt;AR$1,
    "O",
    IF( OFFSET(AR$1, COLUMN(AR29)-1, 0)="-", "O", IF(MOD($A29, AR$1)=0, "X", "O") )
  )
)</f>
        <v>O</v>
      </c>
      <c r="AS29" s="45" t="str">
        <f ca="1">IF(
  $A29=AS$1,
  IF( ROW(AS29)=2, "+", IF(COUNTIF($B29:AR29,"X")=0, "+", "-") ),
  IF(
    $A29&lt;AS$1,
    "O",
    IF( OFFSET(AS$1, COLUMN(AS29)-1, 0)="-", "O", IF(MOD($A29, AS$1)=0, "X", "O") )
  )
)</f>
        <v>O</v>
      </c>
      <c r="AT29" s="45" t="str">
        <f ca="1">IF(
  $A29=AT$1,
  IF( ROW(AT29)=2, "+", IF(COUNTIF($B29:AS29,"X")=0, "+", "-") ),
  IF(
    $A29&lt;AT$1,
    "O",
    IF( OFFSET(AT$1, COLUMN(AT29)-1, 0)="-", "O", IF(MOD($A29, AT$1)=0, "X", "O") )
  )
)</f>
        <v>O</v>
      </c>
      <c r="AU29" s="45" t="str">
        <f ca="1">IF(
  $A29=AU$1,
  IF( ROW(AU29)=2, "+", IF(COUNTIF($B29:AT29,"X")=0, "+", "-") ),
  IF(
    $A29&lt;AU$1,
    "O",
    IF( OFFSET(AU$1, COLUMN(AU29)-1, 0)="-", "O", IF(MOD($A29, AU$1)=0, "X", "O") )
  )
)</f>
        <v>O</v>
      </c>
      <c r="AV29" s="45" t="str">
        <f ca="1">IF(
  $A29=AV$1,
  IF( ROW(AV29)=2, "+", IF(COUNTIF($B29:AU29,"X")=0, "+", "-") ),
  IF(
    $A29&lt;AV$1,
    "O",
    IF( OFFSET(AV$1, COLUMN(AV29)-1, 0)="-", "O", IF(MOD($A29, AV$1)=0, "X", "O") )
  )
)</f>
        <v>O</v>
      </c>
      <c r="AW29" s="45" t="str">
        <f ca="1">IF(
  $A29=AW$1,
  IF( ROW(AW29)=2, "+", IF(COUNTIF($B29:AV29,"X")=0, "+", "-") ),
  IF(
    $A29&lt;AW$1,
    "O",
    IF( OFFSET(AW$1, COLUMN(AW29)-1, 0)="-", "O", IF(MOD($A29, AW$1)=0, "X", "O") )
  )
)</f>
        <v>O</v>
      </c>
      <c r="AX29" s="45" t="str">
        <f ca="1">IF(
  $A29=AX$1,
  IF( ROW(AX29)=2, "+", IF(COUNTIF($B29:AW29,"X")=0, "+", "-") ),
  IF(
    $A29&lt;AX$1,
    "O",
    IF( OFFSET(AX$1, COLUMN(AX29)-1, 0)="-", "O", IF(MOD($A29, AX$1)=0, "X", "O") )
  )
)</f>
        <v>O</v>
      </c>
      <c r="AY29" s="45" t="str">
        <f ca="1">IF(
  $A29=AY$1,
  IF( ROW(AY29)=2, "+", IF(COUNTIF($B29:AX29,"X")=0, "+", "-") ),
  IF(
    $A29&lt;AY$1,
    "O",
    IF( OFFSET(AY$1, COLUMN(AY29)-1, 0)="-", "O", IF(MOD($A29, AY$1)=0, "X", "O") )
  )
)</f>
        <v>O</v>
      </c>
      <c r="AZ29" s="45" t="str">
        <f ca="1">IF(
  $A29=AZ$1,
  IF( ROW(AZ29)=2, "+", IF(COUNTIF($B29:AY29,"X")=0, "+", "-") ),
  IF(
    $A29&lt;AZ$1,
    "O",
    IF( OFFSET(AZ$1, COLUMN(AZ29)-1, 0)="-", "O", IF(MOD($A29, AZ$1)=0, "X", "O") )
  )
)</f>
        <v>O</v>
      </c>
      <c r="BA29" s="45" t="str">
        <f ca="1">IF(
  $A29=BA$1,
  IF( ROW(BA29)=2, "+", IF(COUNTIF($B29:AZ29,"X")=0, "+", "-") ),
  IF(
    $A29&lt;BA$1,
    "O",
    IF( OFFSET(BA$1, COLUMN(BA29)-1, 0)="-", "O", IF(MOD($A29, BA$1)=0, "X", "O") )
  )
)</f>
        <v>O</v>
      </c>
      <c r="BB29" s="45" t="str">
        <f ca="1">IF(
  $A29=BB$1,
  IF( ROW(BB29)=2, "+", IF(COUNTIF($B29:BA29,"X")=0, "+", "-") ),
  IF(
    $A29&lt;BB$1,
    "O",
    IF( OFFSET(BB$1, COLUMN(BB29)-1, 0)="-", "O", IF(MOD($A29, BB$1)=0, "X", "O") )
  )
)</f>
        <v>O</v>
      </c>
      <c r="BC29" s="45" t="str">
        <f ca="1">IF(
  $A29=BC$1,
  IF( ROW(BC29)=2, "+", IF(COUNTIF($B29:BB29,"X")=0, "+", "-") ),
  IF(
    $A29&lt;BC$1,
    "O",
    IF( OFFSET(BC$1, COLUMN(BC29)-1, 0)="-", "O", IF(MOD($A29, BC$1)=0, "X", "O") )
  )
)</f>
        <v>O</v>
      </c>
      <c r="BD29" s="45" t="str">
        <f ca="1">IF(
  $A29=BD$1,
  IF( ROW(BD29)=2, "+", IF(COUNTIF($B29:BC29,"X")=0, "+", "-") ),
  IF(
    $A29&lt;BD$1,
    "O",
    IF( OFFSET(BD$1, COLUMN(BD29)-1, 0)="-", "O", IF(MOD($A29, BD$1)=0, "X", "O") )
  )
)</f>
        <v>O</v>
      </c>
      <c r="BE29" s="45" t="str">
        <f ca="1">IF(
  $A29=BE$1,
  IF( ROW(BE29)=2, "+", IF(COUNTIF($B29:BD29,"X")=0, "+", "-") ),
  IF(
    $A29&lt;BE$1,
    "O",
    IF( OFFSET(BE$1, COLUMN(BE29)-1, 0)="-", "O", IF(MOD($A29, BE$1)=0, "X", "O") )
  )
)</f>
        <v>O</v>
      </c>
      <c r="BF29" s="45" t="str">
        <f ca="1">IF(
  $A29=BF$1,
  IF( ROW(BF29)=2, "+", IF(COUNTIF($B29:BE29,"X")=0, "+", "-") ),
  IF(
    $A29&lt;BF$1,
    "O",
    IF( OFFSET(BF$1, COLUMN(BF29)-1, 0)="-", "O", IF(MOD($A29, BF$1)=0, "X", "O") )
  )
)</f>
        <v>O</v>
      </c>
      <c r="BG29" s="45" t="str">
        <f ca="1">IF(
  $A29=BG$1,
  IF( ROW(BG29)=2, "+", IF(COUNTIF($B29:BF29,"X")=0, "+", "-") ),
  IF(
    $A29&lt;BG$1,
    "O",
    IF( OFFSET(BG$1, COLUMN(BG29)-1, 0)="-", "O", IF(MOD($A29, BG$1)=0, "X", "O") )
  )
)</f>
        <v>O</v>
      </c>
      <c r="BH29" s="45" t="str">
        <f ca="1">IF(
  $A29=BH$1,
  IF( ROW(BH29)=2, "+", IF(COUNTIF($B29:BG29,"X")=0, "+", "-") ),
  IF(
    $A29&lt;BH$1,
    "O",
    IF( OFFSET(BH$1, COLUMN(BH29)-1, 0)="-", "O", IF(MOD($A29, BH$1)=0, "X", "O") )
  )
)</f>
        <v>O</v>
      </c>
    </row>
    <row r="30" spans="1:60" s="46" customFormat="1" x14ac:dyDescent="0.25">
      <c r="A30">
        <v>30</v>
      </c>
      <c r="B30" s="44" t="str">
        <f ca="1">IF(
  $A30=B$1,
  IF( ROW(B30)=2, "+", IF(COUNTIF(A30:$B30,"X")=0, "+", "-") ),
  IF(
    $A30&lt;B$1,
    "O",
    IF( OFFSET(B$1, COLUMN(B30)-1, 0)="-", "O", IF(MOD($A30, B$1)=0, "X", "O") )
  )
)</f>
        <v>X</v>
      </c>
      <c r="C30" s="44" t="str">
        <f ca="1">IF(
  $A30=C$1,
  IF( ROW(C30)=2, "+", IF(COUNTIF(B30:$B30,"X")=0, "+", "-") ),
  IF(
    $A30&lt;C$1,
    "O",
    IF( OFFSET(C$1, COLUMN(C30)-1, 0)="-", "O", IF(MOD($A30, C$1)=0, "X", "O") )
  )
)</f>
        <v>X</v>
      </c>
      <c r="D30" s="45" t="str">
        <f ca="1">IF(
  $A30=D$1,
  IF( ROW(D30)=2, "+", IF(COUNTIF($B30:C30,"X")=0, "+", "-") ),
  IF(
    $A30&lt;D$1,
    "O",
    IF( OFFSET(D$1, COLUMN(D30)-1, 0)="-", "O", IF(MOD($A30, D$1)=0, "X", "O") )
  )
)</f>
        <v>O</v>
      </c>
      <c r="E30" s="44" t="str">
        <f ca="1">IF(
  $A30=E$1,
  IF( ROW(E30)=2, "+", IF(COUNTIF($B30:D30,"X")=0, "+", "-") ),
  IF(
    $A30&lt;E$1,
    "O",
    IF( OFFSET(E$1, COLUMN(E30)-1, 0)="-", "O", IF(MOD($A30, E$1)=0, "X", "O") )
  )
)</f>
        <v>X</v>
      </c>
      <c r="F30" s="45" t="str">
        <f ca="1">IF(
  $A30=F$1,
  IF( ROW(F30)=2, "+", IF(COUNTIF($B30:E30,"X")=0, "+", "-") ),
  IF(
    $A30&lt;F$1,
    "O",
    IF( OFFSET(F$1, COLUMN(F30)-1, 0)="-", "O", IF(MOD($A30, F$1)=0, "X", "O") )
  )
)</f>
        <v>O</v>
      </c>
      <c r="G30" s="44" t="str">
        <f ca="1">IF(
  $A30=G$1,
  IF( ROW(G30)=2, "+", IF(COUNTIF($B30:F30,"X")=0, "+", "-") ),
  IF(
    $A30&lt;G$1,
    "O",
    IF( OFFSET(G$1, COLUMN(G30)-1, 0)="-", "O", IF(MOD($A30, G$1)=0, "X", "O") )
  )
)</f>
        <v>O</v>
      </c>
      <c r="H30" s="45" t="str">
        <f ca="1">IF(
  $A30=H$1,
  IF( ROW(H30)=2, "+", IF(COUNTIF($B30:G30,"X")=0, "+", "-") ),
  IF(
    $A30&lt;H$1,
    "O",
    IF( OFFSET(H$1, COLUMN(H30)-1, 0)="-", "O", IF(MOD($A30, H$1)=0, "X", "O") )
  )
)</f>
        <v>O</v>
      </c>
      <c r="I30" s="45" t="str">
        <f ca="1">IF(
  $A30=I$1,
  IF( ROW(I30)=2, "+", IF(COUNTIF($B30:H30,"X")=0, "+", "-") ),
  IF(
    $A30&lt;I$1,
    "O",
    IF( OFFSET(I$1, COLUMN(I30)-1, 0)="-", "O", IF(MOD($A30, I$1)=0, "X", "O") )
  )
)</f>
        <v>O</v>
      </c>
      <c r="J30" s="45" t="str">
        <f ca="1">IF(
  $A30=J$1,
  IF( ROW(J30)=2, "+", IF(COUNTIF($B30:I30,"X")=0, "+", "-") ),
  IF(
    $A30&lt;J$1,
    "O",
    IF( OFFSET(J$1, COLUMN(J30)-1, 0)="-", "O", IF(MOD($A30, J$1)=0, "X", "O") )
  )
)</f>
        <v>O</v>
      </c>
      <c r="K30" s="44" t="str">
        <f ca="1">IF(
  $A30=K$1,
  IF( ROW(K30)=2, "+", IF(COUNTIF($B30:J30,"X")=0, "+", "-") ),
  IF(
    $A30&lt;K$1,
    "O",
    IF( OFFSET(K$1, COLUMN(K30)-1, 0)="-", "O", IF(MOD($A30, K$1)=0, "X", "O") )
  )
)</f>
        <v>O</v>
      </c>
      <c r="L30" s="45" t="str">
        <f ca="1">IF(
  $A30=L$1,
  IF( ROW(L30)=2, "+", IF(COUNTIF($B30:K30,"X")=0, "+", "-") ),
  IF(
    $A30&lt;L$1,
    "O",
    IF( OFFSET(L$1, COLUMN(L30)-1, 0)="-", "O", IF(MOD($A30, L$1)=0, "X", "O") )
  )
)</f>
        <v>O</v>
      </c>
      <c r="M30" s="44" t="str">
        <f ca="1">IF(
  $A30=M$1,
  IF( ROW(M30)=2, "+", IF(COUNTIF($B30:L30,"X")=0, "+", "-") ),
  IF(
    $A30&lt;M$1,
    "O",
    IF( OFFSET(M$1, COLUMN(M30)-1, 0)="-", "O", IF(MOD($A30, M$1)=0, "X", "O") )
  )
)</f>
        <v>O</v>
      </c>
      <c r="N30" s="45" t="str">
        <f ca="1">IF(
  $A30=N$1,
  IF( ROW(N30)=2, "+", IF(COUNTIF($B30:M30,"X")=0, "+", "-") ),
  IF(
    $A30&lt;N$1,
    "O",
    IF( OFFSET(N$1, COLUMN(N30)-1, 0)="-", "O", IF(MOD($A30, N$1)=0, "X", "O") )
  )
)</f>
        <v>O</v>
      </c>
      <c r="O30" s="45" t="str">
        <f ca="1">IF(
  $A30=O$1,
  IF( ROW(O30)=2, "+", IF(COUNTIF($B30:N30,"X")=0, "+", "-") ),
  IF(
    $A30&lt;O$1,
    "O",
    IF( OFFSET(O$1, COLUMN(O30)-1, 0)="-", "O", IF(MOD($A30, O$1)=0, "X", "O") )
  )
)</f>
        <v>O</v>
      </c>
      <c r="P30" s="45" t="str">
        <f ca="1">IF(
  $A30=P$1,
  IF( ROW(P30)=2, "+", IF(COUNTIF($B30:O30,"X")=0, "+", "-") ),
  IF(
    $A30&lt;P$1,
    "O",
    IF( OFFSET(P$1, COLUMN(P30)-1, 0)="-", "O", IF(MOD($A30, P$1)=0, "X", "O") )
  )
)</f>
        <v>O</v>
      </c>
      <c r="Q30" s="44" t="str">
        <f ca="1">IF(
  $A30=Q$1,
  IF( ROW(Q30)=2, "+", IF(COUNTIF($B30:P30,"X")=0, "+", "-") ),
  IF(
    $A30&lt;Q$1,
    "O",
    IF( OFFSET(Q$1, COLUMN(Q30)-1, 0)="-", "O", IF(MOD($A30, Q$1)=0, "X", "O") )
  )
)</f>
        <v>O</v>
      </c>
      <c r="R30" s="45" t="str">
        <f ca="1">IF(
  $A30=R$1,
  IF( ROW(R30)=2, "+", IF(COUNTIF($B30:Q30,"X")=0, "+", "-") ),
  IF(
    $A30&lt;R$1,
    "O",
    IF( OFFSET(R$1, COLUMN(R30)-1, 0)="-", "O", IF(MOD($A30, R$1)=0, "X", "O") )
  )
)</f>
        <v>O</v>
      </c>
      <c r="S30" s="44" t="str">
        <f ca="1">IF(
  $A30=S$1,
  IF( ROW(S30)=2, "+", IF(COUNTIF($B30:R30,"X")=0, "+", "-") ),
  IF(
    $A30&lt;S$1,
    "O",
    IF( OFFSET(S$1, COLUMN(S30)-1, 0)="-", "O", IF(MOD($A30, S$1)=0, "X", "O") )
  )
)</f>
        <v>O</v>
      </c>
      <c r="T30" s="45" t="str">
        <f ca="1">IF(
  $A30=T$1,
  IF( ROW(T30)=2, "+", IF(COUNTIF($B30:S30,"X")=0, "+", "-") ),
  IF(
    $A30&lt;T$1,
    "O",
    IF( OFFSET(T$1, COLUMN(T30)-1, 0)="-", "O", IF(MOD($A30, T$1)=0, "X", "O") )
  )
)</f>
        <v>O</v>
      </c>
      <c r="U30" s="45" t="str">
        <f ca="1">IF(
  $A30=U$1,
  IF( ROW(U30)=2, "+", IF(COUNTIF($B30:T30,"X")=0, "+", "-") ),
  IF(
    $A30&lt;U$1,
    "O",
    IF( OFFSET(U$1, COLUMN(U30)-1, 0)="-", "O", IF(MOD($A30, U$1)=0, "X", "O") )
  )
)</f>
        <v>O</v>
      </c>
      <c r="V30" s="45" t="str">
        <f ca="1">IF(
  $A30=V$1,
  IF( ROW(V30)=2, "+", IF(COUNTIF($B30:U30,"X")=0, "+", "-") ),
  IF(
    $A30&lt;V$1,
    "O",
    IF( OFFSET(V$1, COLUMN(V30)-1, 0)="-", "O", IF(MOD($A30, V$1)=0, "X", "O") )
  )
)</f>
        <v>O</v>
      </c>
      <c r="W30" s="44" t="str">
        <f ca="1">IF(
  $A30=W$1,
  IF( ROW(W30)=2, "+", IF(COUNTIF($B30:V30,"X")=0, "+", "-") ),
  IF(
    $A30&lt;W$1,
    "O",
    IF( OFFSET(W$1, COLUMN(W30)-1, 0)="-", "O", IF(MOD($A30, W$1)=0, "X", "O") )
  )
)</f>
        <v>O</v>
      </c>
      <c r="X30" s="45" t="str">
        <f ca="1">IF(
  $A30=X$1,
  IF( ROW(X30)=2, "+", IF(COUNTIF($B30:W30,"X")=0, "+", "-") ),
  IF(
    $A30&lt;X$1,
    "O",
    IF( OFFSET(X$1, COLUMN(X30)-1, 0)="-", "O", IF(MOD($A30, X$1)=0, "X", "O") )
  )
)</f>
        <v>O</v>
      </c>
      <c r="Y30" s="45" t="str">
        <f ca="1">IF(
  $A30=Y$1,
  IF( ROW(Y30)=2, "+", IF(COUNTIF($B30:X30,"X")=0, "+", "-") ),
  IF(
    $A30&lt;Y$1,
    "O",
    IF( OFFSET(Y$1, COLUMN(Y30)-1, 0)="-", "O", IF(MOD($A30, Y$1)=0, "X", "O") )
  )
)</f>
        <v>O</v>
      </c>
      <c r="Z30" s="45" t="str">
        <f ca="1">IF(
  $A30=Z$1,
  IF( ROW(Z30)=2, "+", IF(COUNTIF($B30:Y30,"X")=0, "+", "-") ),
  IF(
    $A30&lt;Z$1,
    "O",
    IF( OFFSET(Z$1, COLUMN(Z30)-1, 0)="-", "O", IF(MOD($A30, Z$1)=0, "X", "O") )
  )
)</f>
        <v>O</v>
      </c>
      <c r="AA30" s="45" t="str">
        <f ca="1">IF(
  $A30=AA$1,
  IF( ROW(AA30)=2, "+", IF(COUNTIF($B30:Z30,"X")=0, "+", "-") ),
  IF(
    $A30&lt;AA$1,
    "O",
    IF( OFFSET(AA$1, COLUMN(AA30)-1, 0)="-", "O", IF(MOD($A30, AA$1)=0, "X", "O") )
  )
)</f>
        <v>O</v>
      </c>
      <c r="AB30" s="45" t="str">
        <f ca="1">IF(
  $A30=AB$1,
  IF( ROW(AB30)=2, "+", IF(COUNTIF($B30:AA30,"X")=0, "+", "-") ),
  IF(
    $A30&lt;AB$1,
    "O",
    IF( OFFSET(AB$1, COLUMN(AB30)-1, 0)="-", "O", IF(MOD($A30, AB$1)=0, "X", "O") )
  )
)</f>
        <v>O</v>
      </c>
      <c r="AC30" s="44" t="str">
        <f ca="1">IF(
  $A30=AC$1,
  IF( ROW(AC30)=2, "+", IF(COUNTIF($B30:AB30,"X")=0, "+", "-") ),
  IF(
    $A30&lt;AC$1,
    "O",
    IF( OFFSET(AC$1, COLUMN(AC30)-1, 0)="-", "O", IF(MOD($A30, AC$1)=0, "X", "O") )
  )
)</f>
        <v>O</v>
      </c>
      <c r="AD30" s="45" t="str">
        <f ca="1">IF(
  $A30=AD$1,
  IF( ROW(AD30)=2, "+", IF(COUNTIF($B30:AC30,"X")=0, "+", "-") ),
  IF(
    $A30&lt;AD$1,
    "O",
    IF( OFFSET(AD$1, COLUMN(AD30)-1, 0)="-", "O", IF(MOD($A30, AD$1)=0, "X", "O") )
  )
)</f>
        <v>-</v>
      </c>
      <c r="AE30" s="45" t="str">
        <f ca="1">IF(
  $A30=AE$1,
  IF( ROW(AE30)=2, "+", IF(COUNTIF($B30:AD30,"X")=0, "+", "-") ),
  IF(
    $A30&lt;AE$1,
    "O",
    IF( OFFSET(AE$1, COLUMN(AE30)-1, 0)="-", "O", IF(MOD($A30, AE$1)=0, "X", "O") )
  )
)</f>
        <v>O</v>
      </c>
      <c r="AF30" s="45" t="str">
        <f ca="1">IF(
  $A30=AF$1,
  IF( ROW(AF30)=2, "+", IF(COUNTIF($B30:AE30,"X")=0, "+", "-") ),
  IF(
    $A30&lt;AF$1,
    "O",
    IF( OFFSET(AF$1, COLUMN(AF30)-1, 0)="-", "O", IF(MOD($A30, AF$1)=0, "X", "O") )
  )
)</f>
        <v>O</v>
      </c>
      <c r="AG30" s="45" t="str">
        <f ca="1">IF(
  $A30=AG$1,
  IF( ROW(AG30)=2, "+", IF(COUNTIF($B30:AF30,"X")=0, "+", "-") ),
  IF(
    $A30&lt;AG$1,
    "O",
    IF( OFFSET(AG$1, COLUMN(AG30)-1, 0)="-", "O", IF(MOD($A30, AG$1)=0, "X", "O") )
  )
)</f>
        <v>O</v>
      </c>
      <c r="AH30" s="45" t="str">
        <f ca="1">IF(
  $A30=AH$1,
  IF( ROW(AH30)=2, "+", IF(COUNTIF($B30:AG30,"X")=0, "+", "-") ),
  IF(
    $A30&lt;AH$1,
    "O",
    IF( OFFSET(AH$1, COLUMN(AH30)-1, 0)="-", "O", IF(MOD($A30, AH$1)=0, "X", "O") )
  )
)</f>
        <v>O</v>
      </c>
      <c r="AI30" s="45" t="str">
        <f ca="1">IF(
  $A30=AI$1,
  IF( ROW(AI30)=2, "+", IF(COUNTIF($B30:AH30,"X")=0, "+", "-") ),
  IF(
    $A30&lt;AI$1,
    "O",
    IF( OFFSET(AI$1, COLUMN(AI30)-1, 0)="-", "O", IF(MOD($A30, AI$1)=0, "X", "O") )
  )
)</f>
        <v>O</v>
      </c>
      <c r="AJ30" s="45" t="str">
        <f ca="1">IF(
  $A30=AJ$1,
  IF( ROW(AJ30)=2, "+", IF(COUNTIF($B30:AI30,"X")=0, "+", "-") ),
  IF(
    $A30&lt;AJ$1,
    "O",
    IF( OFFSET(AJ$1, COLUMN(AJ30)-1, 0)="-", "O", IF(MOD($A30, AJ$1)=0, "X", "O") )
  )
)</f>
        <v>O</v>
      </c>
      <c r="AK30" s="45" t="str">
        <f ca="1">IF(
  $A30=AK$1,
  IF( ROW(AK30)=2, "+", IF(COUNTIF($B30:AJ30,"X")=0, "+", "-") ),
  IF(
    $A30&lt;AK$1,
    "O",
    IF( OFFSET(AK$1, COLUMN(AK30)-1, 0)="-", "O", IF(MOD($A30, AK$1)=0, "X", "O") )
  )
)</f>
        <v>O</v>
      </c>
      <c r="AL30" s="45" t="str">
        <f ca="1">IF(
  $A30=AL$1,
  IF( ROW(AL30)=2, "+", IF(COUNTIF($B30:AK30,"X")=0, "+", "-") ),
  IF(
    $A30&lt;AL$1,
    "O",
    IF( OFFSET(AL$1, COLUMN(AL30)-1, 0)="-", "O", IF(MOD($A30, AL$1)=0, "X", "O") )
  )
)</f>
        <v>O</v>
      </c>
      <c r="AM30" s="45" t="str">
        <f ca="1">IF(
  $A30=AM$1,
  IF( ROW(AM30)=2, "+", IF(COUNTIF($B30:AL30,"X")=0, "+", "-") ),
  IF(
    $A30&lt;AM$1,
    "O",
    IF( OFFSET(AM$1, COLUMN(AM30)-1, 0)="-", "O", IF(MOD($A30, AM$1)=0, "X", "O") )
  )
)</f>
        <v>O</v>
      </c>
      <c r="AN30" s="45" t="str">
        <f ca="1">IF(
  $A30=AN$1,
  IF( ROW(AN30)=2, "+", IF(COUNTIF($B30:AM30,"X")=0, "+", "-") ),
  IF(
    $A30&lt;AN$1,
    "O",
    IF( OFFSET(AN$1, COLUMN(AN30)-1, 0)="-", "O", IF(MOD($A30, AN$1)=0, "X", "O") )
  )
)</f>
        <v>O</v>
      </c>
      <c r="AO30" s="45" t="str">
        <f ca="1">IF(
  $A30=AO$1,
  IF( ROW(AO30)=2, "+", IF(COUNTIF($B30:AN30,"X")=0, "+", "-") ),
  IF(
    $A30&lt;AO$1,
    "O",
    IF( OFFSET(AO$1, COLUMN(AO30)-1, 0)="-", "O", IF(MOD($A30, AO$1)=0, "X", "O") )
  )
)</f>
        <v>O</v>
      </c>
      <c r="AP30" s="45" t="str">
        <f ca="1">IF(
  $A30=AP$1,
  IF( ROW(AP30)=2, "+", IF(COUNTIF($B30:AO30,"X")=0, "+", "-") ),
  IF(
    $A30&lt;AP$1,
    "O",
    IF( OFFSET(AP$1, COLUMN(AP30)-1, 0)="-", "O", IF(MOD($A30, AP$1)=0, "X", "O") )
  )
)</f>
        <v>O</v>
      </c>
      <c r="AQ30" s="45" t="str">
        <f ca="1">IF(
  $A30=AQ$1,
  IF( ROW(AQ30)=2, "+", IF(COUNTIF($B30:AP30,"X")=0, "+", "-") ),
  IF(
    $A30&lt;AQ$1,
    "O",
    IF( OFFSET(AQ$1, COLUMN(AQ30)-1, 0)="-", "O", IF(MOD($A30, AQ$1)=0, "X", "O") )
  )
)</f>
        <v>O</v>
      </c>
      <c r="AR30" s="45" t="str">
        <f ca="1">IF(
  $A30=AR$1,
  IF( ROW(AR30)=2, "+", IF(COUNTIF($B30:AQ30,"X")=0, "+", "-") ),
  IF(
    $A30&lt;AR$1,
    "O",
    IF( OFFSET(AR$1, COLUMN(AR30)-1, 0)="-", "O", IF(MOD($A30, AR$1)=0, "X", "O") )
  )
)</f>
        <v>O</v>
      </c>
      <c r="AS30" s="45" t="str">
        <f ca="1">IF(
  $A30=AS$1,
  IF( ROW(AS30)=2, "+", IF(COUNTIF($B30:AR30,"X")=0, "+", "-") ),
  IF(
    $A30&lt;AS$1,
    "O",
    IF( OFFSET(AS$1, COLUMN(AS30)-1, 0)="-", "O", IF(MOD($A30, AS$1)=0, "X", "O") )
  )
)</f>
        <v>O</v>
      </c>
      <c r="AT30" s="45" t="str">
        <f ca="1">IF(
  $A30=AT$1,
  IF( ROW(AT30)=2, "+", IF(COUNTIF($B30:AS30,"X")=0, "+", "-") ),
  IF(
    $A30&lt;AT$1,
    "O",
    IF( OFFSET(AT$1, COLUMN(AT30)-1, 0)="-", "O", IF(MOD($A30, AT$1)=0, "X", "O") )
  )
)</f>
        <v>O</v>
      </c>
      <c r="AU30" s="45" t="str">
        <f ca="1">IF(
  $A30=AU$1,
  IF( ROW(AU30)=2, "+", IF(COUNTIF($B30:AT30,"X")=0, "+", "-") ),
  IF(
    $A30&lt;AU$1,
    "O",
    IF( OFFSET(AU$1, COLUMN(AU30)-1, 0)="-", "O", IF(MOD($A30, AU$1)=0, "X", "O") )
  )
)</f>
        <v>O</v>
      </c>
      <c r="AV30" s="45" t="str">
        <f ca="1">IF(
  $A30=AV$1,
  IF( ROW(AV30)=2, "+", IF(COUNTIF($B30:AU30,"X")=0, "+", "-") ),
  IF(
    $A30&lt;AV$1,
    "O",
    IF( OFFSET(AV$1, COLUMN(AV30)-1, 0)="-", "O", IF(MOD($A30, AV$1)=0, "X", "O") )
  )
)</f>
        <v>O</v>
      </c>
      <c r="AW30" s="45" t="str">
        <f ca="1">IF(
  $A30=AW$1,
  IF( ROW(AW30)=2, "+", IF(COUNTIF($B30:AV30,"X")=0, "+", "-") ),
  IF(
    $A30&lt;AW$1,
    "O",
    IF( OFFSET(AW$1, COLUMN(AW30)-1, 0)="-", "O", IF(MOD($A30, AW$1)=0, "X", "O") )
  )
)</f>
        <v>O</v>
      </c>
      <c r="AX30" s="45" t="str">
        <f ca="1">IF(
  $A30=AX$1,
  IF( ROW(AX30)=2, "+", IF(COUNTIF($B30:AW30,"X")=0, "+", "-") ),
  IF(
    $A30&lt;AX$1,
    "O",
    IF( OFFSET(AX$1, COLUMN(AX30)-1, 0)="-", "O", IF(MOD($A30, AX$1)=0, "X", "O") )
  )
)</f>
        <v>O</v>
      </c>
      <c r="AY30" s="45" t="str">
        <f ca="1">IF(
  $A30=AY$1,
  IF( ROW(AY30)=2, "+", IF(COUNTIF($B30:AX30,"X")=0, "+", "-") ),
  IF(
    $A30&lt;AY$1,
    "O",
    IF( OFFSET(AY$1, COLUMN(AY30)-1, 0)="-", "O", IF(MOD($A30, AY$1)=0, "X", "O") )
  )
)</f>
        <v>O</v>
      </c>
      <c r="AZ30" s="45" t="str">
        <f ca="1">IF(
  $A30=AZ$1,
  IF( ROW(AZ30)=2, "+", IF(COUNTIF($B30:AY30,"X")=0, "+", "-") ),
  IF(
    $A30&lt;AZ$1,
    "O",
    IF( OFFSET(AZ$1, COLUMN(AZ30)-1, 0)="-", "O", IF(MOD($A30, AZ$1)=0, "X", "O") )
  )
)</f>
        <v>O</v>
      </c>
      <c r="BA30" s="45" t="str">
        <f ca="1">IF(
  $A30=BA$1,
  IF( ROW(BA30)=2, "+", IF(COUNTIF($B30:AZ30,"X")=0, "+", "-") ),
  IF(
    $A30&lt;BA$1,
    "O",
    IF( OFFSET(BA$1, COLUMN(BA30)-1, 0)="-", "O", IF(MOD($A30, BA$1)=0, "X", "O") )
  )
)</f>
        <v>O</v>
      </c>
      <c r="BB30" s="45" t="str">
        <f ca="1">IF(
  $A30=BB$1,
  IF( ROW(BB30)=2, "+", IF(COUNTIF($B30:BA30,"X")=0, "+", "-") ),
  IF(
    $A30&lt;BB$1,
    "O",
    IF( OFFSET(BB$1, COLUMN(BB30)-1, 0)="-", "O", IF(MOD($A30, BB$1)=0, "X", "O") )
  )
)</f>
        <v>O</v>
      </c>
      <c r="BC30" s="45" t="str">
        <f ca="1">IF(
  $A30=BC$1,
  IF( ROW(BC30)=2, "+", IF(COUNTIF($B30:BB30,"X")=0, "+", "-") ),
  IF(
    $A30&lt;BC$1,
    "O",
    IF( OFFSET(BC$1, COLUMN(BC30)-1, 0)="-", "O", IF(MOD($A30, BC$1)=0, "X", "O") )
  )
)</f>
        <v>O</v>
      </c>
      <c r="BD30" s="45" t="str">
        <f ca="1">IF(
  $A30=BD$1,
  IF( ROW(BD30)=2, "+", IF(COUNTIF($B30:BC30,"X")=0, "+", "-") ),
  IF(
    $A30&lt;BD$1,
    "O",
    IF( OFFSET(BD$1, COLUMN(BD30)-1, 0)="-", "O", IF(MOD($A30, BD$1)=0, "X", "O") )
  )
)</f>
        <v>O</v>
      </c>
      <c r="BE30" s="45" t="str">
        <f ca="1">IF(
  $A30=BE$1,
  IF( ROW(BE30)=2, "+", IF(COUNTIF($B30:BD30,"X")=0, "+", "-") ),
  IF(
    $A30&lt;BE$1,
    "O",
    IF( OFFSET(BE$1, COLUMN(BE30)-1, 0)="-", "O", IF(MOD($A30, BE$1)=0, "X", "O") )
  )
)</f>
        <v>O</v>
      </c>
      <c r="BF30" s="45" t="str">
        <f ca="1">IF(
  $A30=BF$1,
  IF( ROW(BF30)=2, "+", IF(COUNTIF($B30:BE30,"X")=0, "+", "-") ),
  IF(
    $A30&lt;BF$1,
    "O",
    IF( OFFSET(BF$1, COLUMN(BF30)-1, 0)="-", "O", IF(MOD($A30, BF$1)=0, "X", "O") )
  )
)</f>
        <v>O</v>
      </c>
      <c r="BG30" s="45" t="str">
        <f ca="1">IF(
  $A30=BG$1,
  IF( ROW(BG30)=2, "+", IF(COUNTIF($B30:BF30,"X")=0, "+", "-") ),
  IF(
    $A30&lt;BG$1,
    "O",
    IF( OFFSET(BG$1, COLUMN(BG30)-1, 0)="-", "O", IF(MOD($A30, BG$1)=0, "X", "O") )
  )
)</f>
        <v>O</v>
      </c>
      <c r="BH30" s="45" t="str">
        <f ca="1">IF(
  $A30=BH$1,
  IF( ROW(BH30)=2, "+", IF(COUNTIF($B30:BG30,"X")=0, "+", "-") ),
  IF(
    $A30&lt;BH$1,
    "O",
    IF( OFFSET(BH$1, COLUMN(BH30)-1, 0)="-", "O", IF(MOD($A30, BH$1)=0, "X", "O") )
  )
)</f>
        <v>O</v>
      </c>
    </row>
    <row r="31" spans="1:60" s="46" customFormat="1" x14ac:dyDescent="0.25">
      <c r="A31">
        <v>31</v>
      </c>
      <c r="B31" s="44" t="str">
        <f ca="1">IF(
  $A31=B$1,
  IF( ROW(B31)=2, "+", IF(COUNTIF(A31:$B31,"X")=0, "+", "-") ),
  IF(
    $A31&lt;B$1,
    "O",
    IF( OFFSET(B$1, COLUMN(B31)-1, 0)="-", "O", IF(MOD($A31, B$1)=0, "X", "O") )
  )
)</f>
        <v>O</v>
      </c>
      <c r="C31" s="44" t="str">
        <f ca="1">IF(
  $A31=C$1,
  IF( ROW(C31)=2, "+", IF(COUNTIF(B31:$B31,"X")=0, "+", "-") ),
  IF(
    $A31&lt;C$1,
    "O",
    IF( OFFSET(C$1, COLUMN(C31)-1, 0)="-", "O", IF(MOD($A31, C$1)=0, "X", "O") )
  )
)</f>
        <v>O</v>
      </c>
      <c r="D31" s="45" t="str">
        <f ca="1">IF(
  $A31=D$1,
  IF( ROW(D31)=2, "+", IF(COUNTIF($B31:C31,"X")=0, "+", "-") ),
  IF(
    $A31&lt;D$1,
    "O",
    IF( OFFSET(D$1, COLUMN(D31)-1, 0)="-", "O", IF(MOD($A31, D$1)=0, "X", "O") )
  )
)</f>
        <v>O</v>
      </c>
      <c r="E31" s="44" t="str">
        <f ca="1">IF(
  $A31=E$1,
  IF( ROW(E31)=2, "+", IF(COUNTIF($B31:D31,"X")=0, "+", "-") ),
  IF(
    $A31&lt;E$1,
    "O",
    IF( OFFSET(E$1, COLUMN(E31)-1, 0)="-", "O", IF(MOD($A31, E$1)=0, "X", "O") )
  )
)</f>
        <v>O</v>
      </c>
      <c r="F31" s="45" t="str">
        <f ca="1">IF(
  $A31=F$1,
  IF( ROW(F31)=2, "+", IF(COUNTIF($B31:E31,"X")=0, "+", "-") ),
  IF(
    $A31&lt;F$1,
    "O",
    IF( OFFSET(F$1, COLUMN(F31)-1, 0)="-", "O", IF(MOD($A31, F$1)=0, "X", "O") )
  )
)</f>
        <v>O</v>
      </c>
      <c r="G31" s="44" t="str">
        <f ca="1">IF(
  $A31=G$1,
  IF( ROW(G31)=2, "+", IF(COUNTIF($B31:F31,"X")=0, "+", "-") ),
  IF(
    $A31&lt;G$1,
    "O",
    IF( OFFSET(G$1, COLUMN(G31)-1, 0)="-", "O", IF(MOD($A31, G$1)=0, "X", "O") )
  )
)</f>
        <v>O</v>
      </c>
      <c r="H31" s="45" t="str">
        <f ca="1">IF(
  $A31=H$1,
  IF( ROW(H31)=2, "+", IF(COUNTIF($B31:G31,"X")=0, "+", "-") ),
  IF(
    $A31&lt;H$1,
    "O",
    IF( OFFSET(H$1, COLUMN(H31)-1, 0)="-", "O", IF(MOD($A31, H$1)=0, "X", "O") )
  )
)</f>
        <v>O</v>
      </c>
      <c r="I31" s="45" t="str">
        <f ca="1">IF(
  $A31=I$1,
  IF( ROW(I31)=2, "+", IF(COUNTIF($B31:H31,"X")=0, "+", "-") ),
  IF(
    $A31&lt;I$1,
    "O",
    IF( OFFSET(I$1, COLUMN(I31)-1, 0)="-", "O", IF(MOD($A31, I$1)=0, "X", "O") )
  )
)</f>
        <v>O</v>
      </c>
      <c r="J31" s="45" t="str">
        <f ca="1">IF(
  $A31=J$1,
  IF( ROW(J31)=2, "+", IF(COUNTIF($B31:I31,"X")=0, "+", "-") ),
  IF(
    $A31&lt;J$1,
    "O",
    IF( OFFSET(J$1, COLUMN(J31)-1, 0)="-", "O", IF(MOD($A31, J$1)=0, "X", "O") )
  )
)</f>
        <v>O</v>
      </c>
      <c r="K31" s="44" t="str">
        <f ca="1">IF(
  $A31=K$1,
  IF( ROW(K31)=2, "+", IF(COUNTIF($B31:J31,"X")=0, "+", "-") ),
  IF(
    $A31&lt;K$1,
    "O",
    IF( OFFSET(K$1, COLUMN(K31)-1, 0)="-", "O", IF(MOD($A31, K$1)=0, "X", "O") )
  )
)</f>
        <v>O</v>
      </c>
      <c r="L31" s="45" t="str">
        <f ca="1">IF(
  $A31=L$1,
  IF( ROW(L31)=2, "+", IF(COUNTIF($B31:K31,"X")=0, "+", "-") ),
  IF(
    $A31&lt;L$1,
    "O",
    IF( OFFSET(L$1, COLUMN(L31)-1, 0)="-", "O", IF(MOD($A31, L$1)=0, "X", "O") )
  )
)</f>
        <v>O</v>
      </c>
      <c r="M31" s="44" t="str">
        <f ca="1">IF(
  $A31=M$1,
  IF( ROW(M31)=2, "+", IF(COUNTIF($B31:L31,"X")=0, "+", "-") ),
  IF(
    $A31&lt;M$1,
    "O",
    IF( OFFSET(M$1, COLUMN(M31)-1, 0)="-", "O", IF(MOD($A31, M$1)=0, "X", "O") )
  )
)</f>
        <v>O</v>
      </c>
      <c r="N31" s="45" t="str">
        <f ca="1">IF(
  $A31=N$1,
  IF( ROW(N31)=2, "+", IF(COUNTIF($B31:M31,"X")=0, "+", "-") ),
  IF(
    $A31&lt;N$1,
    "O",
    IF( OFFSET(N$1, COLUMN(N31)-1, 0)="-", "O", IF(MOD($A31, N$1)=0, "X", "O") )
  )
)</f>
        <v>O</v>
      </c>
      <c r="O31" s="45" t="str">
        <f ca="1">IF(
  $A31=O$1,
  IF( ROW(O31)=2, "+", IF(COUNTIF($B31:N31,"X")=0, "+", "-") ),
  IF(
    $A31&lt;O$1,
    "O",
    IF( OFFSET(O$1, COLUMN(O31)-1, 0)="-", "O", IF(MOD($A31, O$1)=0, "X", "O") )
  )
)</f>
        <v>O</v>
      </c>
      <c r="P31" s="45" t="str">
        <f ca="1">IF(
  $A31=P$1,
  IF( ROW(P31)=2, "+", IF(COUNTIF($B31:O31,"X")=0, "+", "-") ),
  IF(
    $A31&lt;P$1,
    "O",
    IF( OFFSET(P$1, COLUMN(P31)-1, 0)="-", "O", IF(MOD($A31, P$1)=0, "X", "O") )
  )
)</f>
        <v>O</v>
      </c>
      <c r="Q31" s="44" t="str">
        <f ca="1">IF(
  $A31=Q$1,
  IF( ROW(Q31)=2, "+", IF(COUNTIF($B31:P31,"X")=0, "+", "-") ),
  IF(
    $A31&lt;Q$1,
    "O",
    IF( OFFSET(Q$1, COLUMN(Q31)-1, 0)="-", "O", IF(MOD($A31, Q$1)=0, "X", "O") )
  )
)</f>
        <v>O</v>
      </c>
      <c r="R31" s="45" t="str">
        <f ca="1">IF(
  $A31=R$1,
  IF( ROW(R31)=2, "+", IF(COUNTIF($B31:Q31,"X")=0, "+", "-") ),
  IF(
    $A31&lt;R$1,
    "O",
    IF( OFFSET(R$1, COLUMN(R31)-1, 0)="-", "O", IF(MOD($A31, R$1)=0, "X", "O") )
  )
)</f>
        <v>O</v>
      </c>
      <c r="S31" s="44" t="str">
        <f ca="1">IF(
  $A31=S$1,
  IF( ROW(S31)=2, "+", IF(COUNTIF($B31:R31,"X")=0, "+", "-") ),
  IF(
    $A31&lt;S$1,
    "O",
    IF( OFFSET(S$1, COLUMN(S31)-1, 0)="-", "O", IF(MOD($A31, S$1)=0, "X", "O") )
  )
)</f>
        <v>O</v>
      </c>
      <c r="T31" s="45" t="str">
        <f ca="1">IF(
  $A31=T$1,
  IF( ROW(T31)=2, "+", IF(COUNTIF($B31:S31,"X")=0, "+", "-") ),
  IF(
    $A31&lt;T$1,
    "O",
    IF( OFFSET(T$1, COLUMN(T31)-1, 0)="-", "O", IF(MOD($A31, T$1)=0, "X", "O") )
  )
)</f>
        <v>O</v>
      </c>
      <c r="U31" s="45" t="str">
        <f ca="1">IF(
  $A31=U$1,
  IF( ROW(U31)=2, "+", IF(COUNTIF($B31:T31,"X")=0, "+", "-") ),
  IF(
    $A31&lt;U$1,
    "O",
    IF( OFFSET(U$1, COLUMN(U31)-1, 0)="-", "O", IF(MOD($A31, U$1)=0, "X", "O") )
  )
)</f>
        <v>O</v>
      </c>
      <c r="V31" s="45" t="str">
        <f ca="1">IF(
  $A31=V$1,
  IF( ROW(V31)=2, "+", IF(COUNTIF($B31:U31,"X")=0, "+", "-") ),
  IF(
    $A31&lt;V$1,
    "O",
    IF( OFFSET(V$1, COLUMN(V31)-1, 0)="-", "O", IF(MOD($A31, V$1)=0, "X", "O") )
  )
)</f>
        <v>O</v>
      </c>
      <c r="W31" s="44" t="str">
        <f ca="1">IF(
  $A31=W$1,
  IF( ROW(W31)=2, "+", IF(COUNTIF($B31:V31,"X")=0, "+", "-") ),
  IF(
    $A31&lt;W$1,
    "O",
    IF( OFFSET(W$1, COLUMN(W31)-1, 0)="-", "O", IF(MOD($A31, W$1)=0, "X", "O") )
  )
)</f>
        <v>O</v>
      </c>
      <c r="X31" s="45" t="str">
        <f ca="1">IF(
  $A31=X$1,
  IF( ROW(X31)=2, "+", IF(COUNTIF($B31:W31,"X")=0, "+", "-") ),
  IF(
    $A31&lt;X$1,
    "O",
    IF( OFFSET(X$1, COLUMN(X31)-1, 0)="-", "O", IF(MOD($A31, X$1)=0, "X", "O") )
  )
)</f>
        <v>O</v>
      </c>
      <c r="Y31" s="45" t="str">
        <f ca="1">IF(
  $A31=Y$1,
  IF( ROW(Y31)=2, "+", IF(COUNTIF($B31:X31,"X")=0, "+", "-") ),
  IF(
    $A31&lt;Y$1,
    "O",
    IF( OFFSET(Y$1, COLUMN(Y31)-1, 0)="-", "O", IF(MOD($A31, Y$1)=0, "X", "O") )
  )
)</f>
        <v>O</v>
      </c>
      <c r="Z31" s="45" t="str">
        <f ca="1">IF(
  $A31=Z$1,
  IF( ROW(Z31)=2, "+", IF(COUNTIF($B31:Y31,"X")=0, "+", "-") ),
  IF(
    $A31&lt;Z$1,
    "O",
    IF( OFFSET(Z$1, COLUMN(Z31)-1, 0)="-", "O", IF(MOD($A31, Z$1)=0, "X", "O") )
  )
)</f>
        <v>O</v>
      </c>
      <c r="AA31" s="45" t="str">
        <f ca="1">IF(
  $A31=AA$1,
  IF( ROW(AA31)=2, "+", IF(COUNTIF($B31:Z31,"X")=0, "+", "-") ),
  IF(
    $A31&lt;AA$1,
    "O",
    IF( OFFSET(AA$1, COLUMN(AA31)-1, 0)="-", "O", IF(MOD($A31, AA$1)=0, "X", "O") )
  )
)</f>
        <v>O</v>
      </c>
      <c r="AB31" s="45" t="str">
        <f ca="1">IF(
  $A31=AB$1,
  IF( ROW(AB31)=2, "+", IF(COUNTIF($B31:AA31,"X")=0, "+", "-") ),
  IF(
    $A31&lt;AB$1,
    "O",
    IF( OFFSET(AB$1, COLUMN(AB31)-1, 0)="-", "O", IF(MOD($A31, AB$1)=0, "X", "O") )
  )
)</f>
        <v>O</v>
      </c>
      <c r="AC31" s="44" t="str">
        <f ca="1">IF(
  $A31=AC$1,
  IF( ROW(AC31)=2, "+", IF(COUNTIF($B31:AB31,"X")=0, "+", "-") ),
  IF(
    $A31&lt;AC$1,
    "O",
    IF( OFFSET(AC$1, COLUMN(AC31)-1, 0)="-", "O", IF(MOD($A31, AC$1)=0, "X", "O") )
  )
)</f>
        <v>O</v>
      </c>
      <c r="AD31" s="45" t="str">
        <f ca="1">IF(
  $A31=AD$1,
  IF( ROW(AD31)=2, "+", IF(COUNTIF($B31:AC31,"X")=0, "+", "-") ),
  IF(
    $A31&lt;AD$1,
    "O",
    IF( OFFSET(AD$1, COLUMN(AD31)-1, 0)="-", "O", IF(MOD($A31, AD$1)=0, "X", "O") )
  )
)</f>
        <v>O</v>
      </c>
      <c r="AE31" s="44" t="str">
        <f ca="1">IF(
  $A31=AE$1,
  IF( ROW(AE31)=2, "+", IF(COUNTIF($B31:AD31,"X")=0, "+", "-") ),
  IF(
    $A31&lt;AE$1,
    "O",
    IF( OFFSET(AE$1, COLUMN(AE31)-1, 0)="-", "O", IF(MOD($A31, AE$1)=0, "X", "O") )
  )
)</f>
        <v>+</v>
      </c>
      <c r="AF31" s="45" t="str">
        <f ca="1">IF(
  $A31=AF$1,
  IF( ROW(AF31)=2, "+", IF(COUNTIF($B31:AE31,"X")=0, "+", "-") ),
  IF(
    $A31&lt;AF$1,
    "O",
    IF( OFFSET(AF$1, COLUMN(AF31)-1, 0)="-", "O", IF(MOD($A31, AF$1)=0, "X", "O") )
  )
)</f>
        <v>O</v>
      </c>
      <c r="AG31" s="45" t="str">
        <f ca="1">IF(
  $A31=AG$1,
  IF( ROW(AG31)=2, "+", IF(COUNTIF($B31:AF31,"X")=0, "+", "-") ),
  IF(
    $A31&lt;AG$1,
    "O",
    IF( OFFSET(AG$1, COLUMN(AG31)-1, 0)="-", "O", IF(MOD($A31, AG$1)=0, "X", "O") )
  )
)</f>
        <v>O</v>
      </c>
      <c r="AH31" s="45" t="str">
        <f ca="1">IF(
  $A31=AH$1,
  IF( ROW(AH31)=2, "+", IF(COUNTIF($B31:AG31,"X")=0, "+", "-") ),
  IF(
    $A31&lt;AH$1,
    "O",
    IF( OFFSET(AH$1, COLUMN(AH31)-1, 0)="-", "O", IF(MOD($A31, AH$1)=0, "X", "O") )
  )
)</f>
        <v>O</v>
      </c>
      <c r="AI31" s="45" t="str">
        <f ca="1">IF(
  $A31=AI$1,
  IF( ROW(AI31)=2, "+", IF(COUNTIF($B31:AH31,"X")=0, "+", "-") ),
  IF(
    $A31&lt;AI$1,
    "O",
    IF( OFFSET(AI$1, COLUMN(AI31)-1, 0)="-", "O", IF(MOD($A31, AI$1)=0, "X", "O") )
  )
)</f>
        <v>O</v>
      </c>
      <c r="AJ31" s="45" t="str">
        <f ca="1">IF(
  $A31=AJ$1,
  IF( ROW(AJ31)=2, "+", IF(COUNTIF($B31:AI31,"X")=0, "+", "-") ),
  IF(
    $A31&lt;AJ$1,
    "O",
    IF( OFFSET(AJ$1, COLUMN(AJ31)-1, 0)="-", "O", IF(MOD($A31, AJ$1)=0, "X", "O") )
  )
)</f>
        <v>O</v>
      </c>
      <c r="AK31" s="45" t="str">
        <f ca="1">IF(
  $A31=AK$1,
  IF( ROW(AK31)=2, "+", IF(COUNTIF($B31:AJ31,"X")=0, "+", "-") ),
  IF(
    $A31&lt;AK$1,
    "O",
    IF( OFFSET(AK$1, COLUMN(AK31)-1, 0)="-", "O", IF(MOD($A31, AK$1)=0, "X", "O") )
  )
)</f>
        <v>O</v>
      </c>
      <c r="AL31" s="45" t="str">
        <f ca="1">IF(
  $A31=AL$1,
  IF( ROW(AL31)=2, "+", IF(COUNTIF($B31:AK31,"X")=0, "+", "-") ),
  IF(
    $A31&lt;AL$1,
    "O",
    IF( OFFSET(AL$1, COLUMN(AL31)-1, 0)="-", "O", IF(MOD($A31, AL$1)=0, "X", "O") )
  )
)</f>
        <v>O</v>
      </c>
      <c r="AM31" s="45" t="str">
        <f ca="1">IF(
  $A31=AM$1,
  IF( ROW(AM31)=2, "+", IF(COUNTIF($B31:AL31,"X")=0, "+", "-") ),
  IF(
    $A31&lt;AM$1,
    "O",
    IF( OFFSET(AM$1, COLUMN(AM31)-1, 0)="-", "O", IF(MOD($A31, AM$1)=0, "X", "O") )
  )
)</f>
        <v>O</v>
      </c>
      <c r="AN31" s="45" t="str">
        <f ca="1">IF(
  $A31=AN$1,
  IF( ROW(AN31)=2, "+", IF(COUNTIF($B31:AM31,"X")=0, "+", "-") ),
  IF(
    $A31&lt;AN$1,
    "O",
    IF( OFFSET(AN$1, COLUMN(AN31)-1, 0)="-", "O", IF(MOD($A31, AN$1)=0, "X", "O") )
  )
)</f>
        <v>O</v>
      </c>
      <c r="AO31" s="45" t="str">
        <f ca="1">IF(
  $A31=AO$1,
  IF( ROW(AO31)=2, "+", IF(COUNTIF($B31:AN31,"X")=0, "+", "-") ),
  IF(
    $A31&lt;AO$1,
    "O",
    IF( OFFSET(AO$1, COLUMN(AO31)-1, 0)="-", "O", IF(MOD($A31, AO$1)=0, "X", "O") )
  )
)</f>
        <v>O</v>
      </c>
      <c r="AP31" s="45" t="str">
        <f ca="1">IF(
  $A31=AP$1,
  IF( ROW(AP31)=2, "+", IF(COUNTIF($B31:AO31,"X")=0, "+", "-") ),
  IF(
    $A31&lt;AP$1,
    "O",
    IF( OFFSET(AP$1, COLUMN(AP31)-1, 0)="-", "O", IF(MOD($A31, AP$1)=0, "X", "O") )
  )
)</f>
        <v>O</v>
      </c>
      <c r="AQ31" s="45" t="str">
        <f ca="1">IF(
  $A31=AQ$1,
  IF( ROW(AQ31)=2, "+", IF(COUNTIF($B31:AP31,"X")=0, "+", "-") ),
  IF(
    $A31&lt;AQ$1,
    "O",
    IF( OFFSET(AQ$1, COLUMN(AQ31)-1, 0)="-", "O", IF(MOD($A31, AQ$1)=0, "X", "O") )
  )
)</f>
        <v>O</v>
      </c>
      <c r="AR31" s="45" t="str">
        <f ca="1">IF(
  $A31=AR$1,
  IF( ROW(AR31)=2, "+", IF(COUNTIF($B31:AQ31,"X")=0, "+", "-") ),
  IF(
    $A31&lt;AR$1,
    "O",
    IF( OFFSET(AR$1, COLUMN(AR31)-1, 0)="-", "O", IF(MOD($A31, AR$1)=0, "X", "O") )
  )
)</f>
        <v>O</v>
      </c>
      <c r="AS31" s="45" t="str">
        <f ca="1">IF(
  $A31=AS$1,
  IF( ROW(AS31)=2, "+", IF(COUNTIF($B31:AR31,"X")=0, "+", "-") ),
  IF(
    $A31&lt;AS$1,
    "O",
    IF( OFFSET(AS$1, COLUMN(AS31)-1, 0)="-", "O", IF(MOD($A31, AS$1)=0, "X", "O") )
  )
)</f>
        <v>O</v>
      </c>
      <c r="AT31" s="45" t="str">
        <f ca="1">IF(
  $A31=AT$1,
  IF( ROW(AT31)=2, "+", IF(COUNTIF($B31:AS31,"X")=0, "+", "-") ),
  IF(
    $A31&lt;AT$1,
    "O",
    IF( OFFSET(AT$1, COLUMN(AT31)-1, 0)="-", "O", IF(MOD($A31, AT$1)=0, "X", "O") )
  )
)</f>
        <v>O</v>
      </c>
      <c r="AU31" s="45" t="str">
        <f ca="1">IF(
  $A31=AU$1,
  IF( ROW(AU31)=2, "+", IF(COUNTIF($B31:AT31,"X")=0, "+", "-") ),
  IF(
    $A31&lt;AU$1,
    "O",
    IF( OFFSET(AU$1, COLUMN(AU31)-1, 0)="-", "O", IF(MOD($A31, AU$1)=0, "X", "O") )
  )
)</f>
        <v>O</v>
      </c>
      <c r="AV31" s="45" t="str">
        <f ca="1">IF(
  $A31=AV$1,
  IF( ROW(AV31)=2, "+", IF(COUNTIF($B31:AU31,"X")=0, "+", "-") ),
  IF(
    $A31&lt;AV$1,
    "O",
    IF( OFFSET(AV$1, COLUMN(AV31)-1, 0)="-", "O", IF(MOD($A31, AV$1)=0, "X", "O") )
  )
)</f>
        <v>O</v>
      </c>
      <c r="AW31" s="45" t="str">
        <f ca="1">IF(
  $A31=AW$1,
  IF( ROW(AW31)=2, "+", IF(COUNTIF($B31:AV31,"X")=0, "+", "-") ),
  IF(
    $A31&lt;AW$1,
    "O",
    IF( OFFSET(AW$1, COLUMN(AW31)-1, 0)="-", "O", IF(MOD($A31, AW$1)=0, "X", "O") )
  )
)</f>
        <v>O</v>
      </c>
      <c r="AX31" s="45" t="str">
        <f ca="1">IF(
  $A31=AX$1,
  IF( ROW(AX31)=2, "+", IF(COUNTIF($B31:AW31,"X")=0, "+", "-") ),
  IF(
    $A31&lt;AX$1,
    "O",
    IF( OFFSET(AX$1, COLUMN(AX31)-1, 0)="-", "O", IF(MOD($A31, AX$1)=0, "X", "O") )
  )
)</f>
        <v>O</v>
      </c>
      <c r="AY31" s="45" t="str">
        <f ca="1">IF(
  $A31=AY$1,
  IF( ROW(AY31)=2, "+", IF(COUNTIF($B31:AX31,"X")=0, "+", "-") ),
  IF(
    $A31&lt;AY$1,
    "O",
    IF( OFFSET(AY$1, COLUMN(AY31)-1, 0)="-", "O", IF(MOD($A31, AY$1)=0, "X", "O") )
  )
)</f>
        <v>O</v>
      </c>
      <c r="AZ31" s="45" t="str">
        <f ca="1">IF(
  $A31=AZ$1,
  IF( ROW(AZ31)=2, "+", IF(COUNTIF($B31:AY31,"X")=0, "+", "-") ),
  IF(
    $A31&lt;AZ$1,
    "O",
    IF( OFFSET(AZ$1, COLUMN(AZ31)-1, 0)="-", "O", IF(MOD($A31, AZ$1)=0, "X", "O") )
  )
)</f>
        <v>O</v>
      </c>
      <c r="BA31" s="45" t="str">
        <f ca="1">IF(
  $A31=BA$1,
  IF( ROW(BA31)=2, "+", IF(COUNTIF($B31:AZ31,"X")=0, "+", "-") ),
  IF(
    $A31&lt;BA$1,
    "O",
    IF( OFFSET(BA$1, COLUMN(BA31)-1, 0)="-", "O", IF(MOD($A31, BA$1)=0, "X", "O") )
  )
)</f>
        <v>O</v>
      </c>
      <c r="BB31" s="45" t="str">
        <f ca="1">IF(
  $A31=BB$1,
  IF( ROW(BB31)=2, "+", IF(COUNTIF($B31:BA31,"X")=0, "+", "-") ),
  IF(
    $A31&lt;BB$1,
    "O",
    IF( OFFSET(BB$1, COLUMN(BB31)-1, 0)="-", "O", IF(MOD($A31, BB$1)=0, "X", "O") )
  )
)</f>
        <v>O</v>
      </c>
      <c r="BC31" s="45" t="str">
        <f ca="1">IF(
  $A31=BC$1,
  IF( ROW(BC31)=2, "+", IF(COUNTIF($B31:BB31,"X")=0, "+", "-") ),
  IF(
    $A31&lt;BC$1,
    "O",
    IF( OFFSET(BC$1, COLUMN(BC31)-1, 0)="-", "O", IF(MOD($A31, BC$1)=0, "X", "O") )
  )
)</f>
        <v>O</v>
      </c>
      <c r="BD31" s="45" t="str">
        <f ca="1">IF(
  $A31=BD$1,
  IF( ROW(BD31)=2, "+", IF(COUNTIF($B31:BC31,"X")=0, "+", "-") ),
  IF(
    $A31&lt;BD$1,
    "O",
    IF( OFFSET(BD$1, COLUMN(BD31)-1, 0)="-", "O", IF(MOD($A31, BD$1)=0, "X", "O") )
  )
)</f>
        <v>O</v>
      </c>
      <c r="BE31" s="45" t="str">
        <f ca="1">IF(
  $A31=BE$1,
  IF( ROW(BE31)=2, "+", IF(COUNTIF($B31:BD31,"X")=0, "+", "-") ),
  IF(
    $A31&lt;BE$1,
    "O",
    IF( OFFSET(BE$1, COLUMN(BE31)-1, 0)="-", "O", IF(MOD($A31, BE$1)=0, "X", "O") )
  )
)</f>
        <v>O</v>
      </c>
      <c r="BF31" s="45" t="str">
        <f ca="1">IF(
  $A31=BF$1,
  IF( ROW(BF31)=2, "+", IF(COUNTIF($B31:BE31,"X")=0, "+", "-") ),
  IF(
    $A31&lt;BF$1,
    "O",
    IF( OFFSET(BF$1, COLUMN(BF31)-1, 0)="-", "O", IF(MOD($A31, BF$1)=0, "X", "O") )
  )
)</f>
        <v>O</v>
      </c>
      <c r="BG31" s="45" t="str">
        <f ca="1">IF(
  $A31=BG$1,
  IF( ROW(BG31)=2, "+", IF(COUNTIF($B31:BF31,"X")=0, "+", "-") ),
  IF(
    $A31&lt;BG$1,
    "O",
    IF( OFFSET(BG$1, COLUMN(BG31)-1, 0)="-", "O", IF(MOD($A31, BG$1)=0, "X", "O") )
  )
)</f>
        <v>O</v>
      </c>
      <c r="BH31" s="45" t="str">
        <f ca="1">IF(
  $A31=BH$1,
  IF( ROW(BH31)=2, "+", IF(COUNTIF($B31:BG31,"X")=0, "+", "-") ),
  IF(
    $A31&lt;BH$1,
    "O",
    IF( OFFSET(BH$1, COLUMN(BH31)-1, 0)="-", "O", IF(MOD($A31, BH$1)=0, "X", "O") )
  )
)</f>
        <v>O</v>
      </c>
    </row>
    <row r="32" spans="1:60" s="46" customFormat="1" x14ac:dyDescent="0.25">
      <c r="A32">
        <v>32</v>
      </c>
      <c r="B32" s="44" t="str">
        <f ca="1">IF(
  $A32=B$1,
  IF( ROW(B32)=2, "+", IF(COUNTIF(A32:$B32,"X")=0, "+", "-") ),
  IF(
    $A32&lt;B$1,
    "O",
    IF( OFFSET(B$1, COLUMN(B32)-1, 0)="-", "O", IF(MOD($A32, B$1)=0, "X", "O") )
  )
)</f>
        <v>X</v>
      </c>
      <c r="C32" s="44" t="str">
        <f ca="1">IF(
  $A32=C$1,
  IF( ROW(C32)=2, "+", IF(COUNTIF(B32:$B32,"X")=0, "+", "-") ),
  IF(
    $A32&lt;C$1,
    "O",
    IF( OFFSET(C$1, COLUMN(C32)-1, 0)="-", "O", IF(MOD($A32, C$1)=0, "X", "O") )
  )
)</f>
        <v>O</v>
      </c>
      <c r="D32" s="45" t="str">
        <f ca="1">IF(
  $A32=D$1,
  IF( ROW(D32)=2, "+", IF(COUNTIF($B32:C32,"X")=0, "+", "-") ),
  IF(
    $A32&lt;D$1,
    "O",
    IF( OFFSET(D$1, COLUMN(D32)-1, 0)="-", "O", IF(MOD($A32, D$1)=0, "X", "O") )
  )
)</f>
        <v>O</v>
      </c>
      <c r="E32" s="44" t="str">
        <f ca="1">IF(
  $A32=E$1,
  IF( ROW(E32)=2, "+", IF(COUNTIF($B32:D32,"X")=0, "+", "-") ),
  IF(
    $A32&lt;E$1,
    "O",
    IF( OFFSET(E$1, COLUMN(E32)-1, 0)="-", "O", IF(MOD($A32, E$1)=0, "X", "O") )
  )
)</f>
        <v>O</v>
      </c>
      <c r="F32" s="45" t="str">
        <f ca="1">IF(
  $A32=F$1,
  IF( ROW(F32)=2, "+", IF(COUNTIF($B32:E32,"X")=0, "+", "-") ),
  IF(
    $A32&lt;F$1,
    "O",
    IF( OFFSET(F$1, COLUMN(F32)-1, 0)="-", "O", IF(MOD($A32, F$1)=0, "X", "O") )
  )
)</f>
        <v>O</v>
      </c>
      <c r="G32" s="44" t="str">
        <f ca="1">IF(
  $A32=G$1,
  IF( ROW(G32)=2, "+", IF(COUNTIF($B32:F32,"X")=0, "+", "-") ),
  IF(
    $A32&lt;G$1,
    "O",
    IF( OFFSET(G$1, COLUMN(G32)-1, 0)="-", "O", IF(MOD($A32, G$1)=0, "X", "O") )
  )
)</f>
        <v>O</v>
      </c>
      <c r="H32" s="45" t="str">
        <f ca="1">IF(
  $A32=H$1,
  IF( ROW(H32)=2, "+", IF(COUNTIF($B32:G32,"X")=0, "+", "-") ),
  IF(
    $A32&lt;H$1,
    "O",
    IF( OFFSET(H$1, COLUMN(H32)-1, 0)="-", "O", IF(MOD($A32, H$1)=0, "X", "O") )
  )
)</f>
        <v>O</v>
      </c>
      <c r="I32" s="45" t="str">
        <f ca="1">IF(
  $A32=I$1,
  IF( ROW(I32)=2, "+", IF(COUNTIF($B32:H32,"X")=0, "+", "-") ),
  IF(
    $A32&lt;I$1,
    "O",
    IF( OFFSET(I$1, COLUMN(I32)-1, 0)="-", "O", IF(MOD($A32, I$1)=0, "X", "O") )
  )
)</f>
        <v>O</v>
      </c>
      <c r="J32" s="45" t="str">
        <f ca="1">IF(
  $A32=J$1,
  IF( ROW(J32)=2, "+", IF(COUNTIF($B32:I32,"X")=0, "+", "-") ),
  IF(
    $A32&lt;J$1,
    "O",
    IF( OFFSET(J$1, COLUMN(J32)-1, 0)="-", "O", IF(MOD($A32, J$1)=0, "X", "O") )
  )
)</f>
        <v>O</v>
      </c>
      <c r="K32" s="44" t="str">
        <f ca="1">IF(
  $A32=K$1,
  IF( ROW(K32)=2, "+", IF(COUNTIF($B32:J32,"X")=0, "+", "-") ),
  IF(
    $A32&lt;K$1,
    "O",
    IF( OFFSET(K$1, COLUMN(K32)-1, 0)="-", "O", IF(MOD($A32, K$1)=0, "X", "O") )
  )
)</f>
        <v>O</v>
      </c>
      <c r="L32" s="45" t="str">
        <f ca="1">IF(
  $A32=L$1,
  IF( ROW(L32)=2, "+", IF(COUNTIF($B32:K32,"X")=0, "+", "-") ),
  IF(
    $A32&lt;L$1,
    "O",
    IF( OFFSET(L$1, COLUMN(L32)-1, 0)="-", "O", IF(MOD($A32, L$1)=0, "X", "O") )
  )
)</f>
        <v>O</v>
      </c>
      <c r="M32" s="44" t="str">
        <f ca="1">IF(
  $A32=M$1,
  IF( ROW(M32)=2, "+", IF(COUNTIF($B32:L32,"X")=0, "+", "-") ),
  IF(
    $A32&lt;M$1,
    "O",
    IF( OFFSET(M$1, COLUMN(M32)-1, 0)="-", "O", IF(MOD($A32, M$1)=0, "X", "O") )
  )
)</f>
        <v>O</v>
      </c>
      <c r="N32" s="45" t="str">
        <f ca="1">IF(
  $A32=N$1,
  IF( ROW(N32)=2, "+", IF(COUNTIF($B32:M32,"X")=0, "+", "-") ),
  IF(
    $A32&lt;N$1,
    "O",
    IF( OFFSET(N$1, COLUMN(N32)-1, 0)="-", "O", IF(MOD($A32, N$1)=0, "X", "O") )
  )
)</f>
        <v>O</v>
      </c>
      <c r="O32" s="45" t="str">
        <f ca="1">IF(
  $A32=O$1,
  IF( ROW(O32)=2, "+", IF(COUNTIF($B32:N32,"X")=0, "+", "-") ),
  IF(
    $A32&lt;O$1,
    "O",
    IF( OFFSET(O$1, COLUMN(O32)-1, 0)="-", "O", IF(MOD($A32, O$1)=0, "X", "O") )
  )
)</f>
        <v>O</v>
      </c>
      <c r="P32" s="45" t="str">
        <f ca="1">IF(
  $A32=P$1,
  IF( ROW(P32)=2, "+", IF(COUNTIF($B32:O32,"X")=0, "+", "-") ),
  IF(
    $A32&lt;P$1,
    "O",
    IF( OFFSET(P$1, COLUMN(P32)-1, 0)="-", "O", IF(MOD($A32, P$1)=0, "X", "O") )
  )
)</f>
        <v>O</v>
      </c>
      <c r="Q32" s="44" t="str">
        <f ca="1">IF(
  $A32=Q$1,
  IF( ROW(Q32)=2, "+", IF(COUNTIF($B32:P32,"X")=0, "+", "-") ),
  IF(
    $A32&lt;Q$1,
    "O",
    IF( OFFSET(Q$1, COLUMN(Q32)-1, 0)="-", "O", IF(MOD($A32, Q$1)=0, "X", "O") )
  )
)</f>
        <v>O</v>
      </c>
      <c r="R32" s="45" t="str">
        <f ca="1">IF(
  $A32=R$1,
  IF( ROW(R32)=2, "+", IF(COUNTIF($B32:Q32,"X")=0, "+", "-") ),
  IF(
    $A32&lt;R$1,
    "O",
    IF( OFFSET(R$1, COLUMN(R32)-1, 0)="-", "O", IF(MOD($A32, R$1)=0, "X", "O") )
  )
)</f>
        <v>O</v>
      </c>
      <c r="S32" s="44" t="str">
        <f ca="1">IF(
  $A32=S$1,
  IF( ROW(S32)=2, "+", IF(COUNTIF($B32:R32,"X")=0, "+", "-") ),
  IF(
    $A32&lt;S$1,
    "O",
    IF( OFFSET(S$1, COLUMN(S32)-1, 0)="-", "O", IF(MOD($A32, S$1)=0, "X", "O") )
  )
)</f>
        <v>O</v>
      </c>
      <c r="T32" s="45" t="str">
        <f ca="1">IF(
  $A32=T$1,
  IF( ROW(T32)=2, "+", IF(COUNTIF($B32:S32,"X")=0, "+", "-") ),
  IF(
    $A32&lt;T$1,
    "O",
    IF( OFFSET(T$1, COLUMN(T32)-1, 0)="-", "O", IF(MOD($A32, T$1)=0, "X", "O") )
  )
)</f>
        <v>O</v>
      </c>
      <c r="U32" s="45" t="str">
        <f ca="1">IF(
  $A32=U$1,
  IF( ROW(U32)=2, "+", IF(COUNTIF($B32:T32,"X")=0, "+", "-") ),
  IF(
    $A32&lt;U$1,
    "O",
    IF( OFFSET(U$1, COLUMN(U32)-1, 0)="-", "O", IF(MOD($A32, U$1)=0, "X", "O") )
  )
)</f>
        <v>O</v>
      </c>
      <c r="V32" s="45" t="str">
        <f ca="1">IF(
  $A32=V$1,
  IF( ROW(V32)=2, "+", IF(COUNTIF($B32:U32,"X")=0, "+", "-") ),
  IF(
    $A32&lt;V$1,
    "O",
    IF( OFFSET(V$1, COLUMN(V32)-1, 0)="-", "O", IF(MOD($A32, V$1)=0, "X", "O") )
  )
)</f>
        <v>O</v>
      </c>
      <c r="W32" s="44" t="str">
        <f ca="1">IF(
  $A32=W$1,
  IF( ROW(W32)=2, "+", IF(COUNTIF($B32:V32,"X")=0, "+", "-") ),
  IF(
    $A32&lt;W$1,
    "O",
    IF( OFFSET(W$1, COLUMN(W32)-1, 0)="-", "O", IF(MOD($A32, W$1)=0, "X", "O") )
  )
)</f>
        <v>O</v>
      </c>
      <c r="X32" s="45" t="str">
        <f ca="1">IF(
  $A32=X$1,
  IF( ROW(X32)=2, "+", IF(COUNTIF($B32:W32,"X")=0, "+", "-") ),
  IF(
    $A32&lt;X$1,
    "O",
    IF( OFFSET(X$1, COLUMN(X32)-1, 0)="-", "O", IF(MOD($A32, X$1)=0, "X", "O") )
  )
)</f>
        <v>O</v>
      </c>
      <c r="Y32" s="45" t="str">
        <f ca="1">IF(
  $A32=Y$1,
  IF( ROW(Y32)=2, "+", IF(COUNTIF($B32:X32,"X")=0, "+", "-") ),
  IF(
    $A32&lt;Y$1,
    "O",
    IF( OFFSET(Y$1, COLUMN(Y32)-1, 0)="-", "O", IF(MOD($A32, Y$1)=0, "X", "O") )
  )
)</f>
        <v>O</v>
      </c>
      <c r="Z32" s="45" t="str">
        <f ca="1">IF(
  $A32=Z$1,
  IF( ROW(Z32)=2, "+", IF(COUNTIF($B32:Y32,"X")=0, "+", "-") ),
  IF(
    $A32&lt;Z$1,
    "O",
    IF( OFFSET(Z$1, COLUMN(Z32)-1, 0)="-", "O", IF(MOD($A32, Z$1)=0, "X", "O") )
  )
)</f>
        <v>O</v>
      </c>
      <c r="AA32" s="45" t="str">
        <f ca="1">IF(
  $A32=AA$1,
  IF( ROW(AA32)=2, "+", IF(COUNTIF($B32:Z32,"X")=0, "+", "-") ),
  IF(
    $A32&lt;AA$1,
    "O",
    IF( OFFSET(AA$1, COLUMN(AA32)-1, 0)="-", "O", IF(MOD($A32, AA$1)=0, "X", "O") )
  )
)</f>
        <v>O</v>
      </c>
      <c r="AB32" s="45" t="str">
        <f ca="1">IF(
  $A32=AB$1,
  IF( ROW(AB32)=2, "+", IF(COUNTIF($B32:AA32,"X")=0, "+", "-") ),
  IF(
    $A32&lt;AB$1,
    "O",
    IF( OFFSET(AB$1, COLUMN(AB32)-1, 0)="-", "O", IF(MOD($A32, AB$1)=0, "X", "O") )
  )
)</f>
        <v>O</v>
      </c>
      <c r="AC32" s="44" t="str">
        <f ca="1">IF(
  $A32=AC$1,
  IF( ROW(AC32)=2, "+", IF(COUNTIF($B32:AB32,"X")=0, "+", "-") ),
  IF(
    $A32&lt;AC$1,
    "O",
    IF( OFFSET(AC$1, COLUMN(AC32)-1, 0)="-", "O", IF(MOD($A32, AC$1)=0, "X", "O") )
  )
)</f>
        <v>O</v>
      </c>
      <c r="AD32" s="45" t="str">
        <f ca="1">IF(
  $A32=AD$1,
  IF( ROW(AD32)=2, "+", IF(COUNTIF($B32:AC32,"X")=0, "+", "-") ),
  IF(
    $A32&lt;AD$1,
    "O",
    IF( OFFSET(AD$1, COLUMN(AD32)-1, 0)="-", "O", IF(MOD($A32, AD$1)=0, "X", "O") )
  )
)</f>
        <v>O</v>
      </c>
      <c r="AE32" s="44" t="str">
        <f ca="1">IF(
  $A32=AE$1,
  IF( ROW(AE32)=2, "+", IF(COUNTIF($B32:AD32,"X")=0, "+", "-") ),
  IF(
    $A32&lt;AE$1,
    "O",
    IF( OFFSET(AE$1, COLUMN(AE32)-1, 0)="-", "O", IF(MOD($A32, AE$1)=0, "X", "O") )
  )
)</f>
        <v>O</v>
      </c>
      <c r="AF32" s="45" t="str">
        <f ca="1">IF(
  $A32=AF$1,
  IF( ROW(AF32)=2, "+", IF(COUNTIF($B32:AE32,"X")=0, "+", "-") ),
  IF(
    $A32&lt;AF$1,
    "O",
    IF( OFFSET(AF$1, COLUMN(AF32)-1, 0)="-", "O", IF(MOD($A32, AF$1)=0, "X", "O") )
  )
)</f>
        <v>-</v>
      </c>
      <c r="AG32" s="45" t="str">
        <f ca="1">IF(
  $A32=AG$1,
  IF( ROW(AG32)=2, "+", IF(COUNTIF($B32:AF32,"X")=0, "+", "-") ),
  IF(
    $A32&lt;AG$1,
    "O",
    IF( OFFSET(AG$1, COLUMN(AG32)-1, 0)="-", "O", IF(MOD($A32, AG$1)=0, "X", "O") )
  )
)</f>
        <v>O</v>
      </c>
      <c r="AH32" s="45" t="str">
        <f ca="1">IF(
  $A32=AH$1,
  IF( ROW(AH32)=2, "+", IF(COUNTIF($B32:AG32,"X")=0, "+", "-") ),
  IF(
    $A32&lt;AH$1,
    "O",
    IF( OFFSET(AH$1, COLUMN(AH32)-1, 0)="-", "O", IF(MOD($A32, AH$1)=0, "X", "O") )
  )
)</f>
        <v>O</v>
      </c>
      <c r="AI32" s="45" t="str">
        <f ca="1">IF(
  $A32=AI$1,
  IF( ROW(AI32)=2, "+", IF(COUNTIF($B32:AH32,"X")=0, "+", "-") ),
  IF(
    $A32&lt;AI$1,
    "O",
    IF( OFFSET(AI$1, COLUMN(AI32)-1, 0)="-", "O", IF(MOD($A32, AI$1)=0, "X", "O") )
  )
)</f>
        <v>O</v>
      </c>
      <c r="AJ32" s="45" t="str">
        <f ca="1">IF(
  $A32=AJ$1,
  IF( ROW(AJ32)=2, "+", IF(COUNTIF($B32:AI32,"X")=0, "+", "-") ),
  IF(
    $A32&lt;AJ$1,
    "O",
    IF( OFFSET(AJ$1, COLUMN(AJ32)-1, 0)="-", "O", IF(MOD($A32, AJ$1)=0, "X", "O") )
  )
)</f>
        <v>O</v>
      </c>
      <c r="AK32" s="45" t="str">
        <f ca="1">IF(
  $A32=AK$1,
  IF( ROW(AK32)=2, "+", IF(COUNTIF($B32:AJ32,"X")=0, "+", "-") ),
  IF(
    $A32&lt;AK$1,
    "O",
    IF( OFFSET(AK$1, COLUMN(AK32)-1, 0)="-", "O", IF(MOD($A32, AK$1)=0, "X", "O") )
  )
)</f>
        <v>O</v>
      </c>
      <c r="AL32" s="45" t="str">
        <f ca="1">IF(
  $A32=AL$1,
  IF( ROW(AL32)=2, "+", IF(COUNTIF($B32:AK32,"X")=0, "+", "-") ),
  IF(
    $A32&lt;AL$1,
    "O",
    IF( OFFSET(AL$1, COLUMN(AL32)-1, 0)="-", "O", IF(MOD($A32, AL$1)=0, "X", "O") )
  )
)</f>
        <v>O</v>
      </c>
      <c r="AM32" s="45" t="str">
        <f ca="1">IF(
  $A32=AM$1,
  IF( ROW(AM32)=2, "+", IF(COUNTIF($B32:AL32,"X")=0, "+", "-") ),
  IF(
    $A32&lt;AM$1,
    "O",
    IF( OFFSET(AM$1, COLUMN(AM32)-1, 0)="-", "O", IF(MOD($A32, AM$1)=0, "X", "O") )
  )
)</f>
        <v>O</v>
      </c>
      <c r="AN32" s="45" t="str">
        <f ca="1">IF(
  $A32=AN$1,
  IF( ROW(AN32)=2, "+", IF(COUNTIF($B32:AM32,"X")=0, "+", "-") ),
  IF(
    $A32&lt;AN$1,
    "O",
    IF( OFFSET(AN$1, COLUMN(AN32)-1, 0)="-", "O", IF(MOD($A32, AN$1)=0, "X", "O") )
  )
)</f>
        <v>O</v>
      </c>
      <c r="AO32" s="45" t="str">
        <f ca="1">IF(
  $A32=AO$1,
  IF( ROW(AO32)=2, "+", IF(COUNTIF($B32:AN32,"X")=0, "+", "-") ),
  IF(
    $A32&lt;AO$1,
    "O",
    IF( OFFSET(AO$1, COLUMN(AO32)-1, 0)="-", "O", IF(MOD($A32, AO$1)=0, "X", "O") )
  )
)</f>
        <v>O</v>
      </c>
      <c r="AP32" s="45" t="str">
        <f ca="1">IF(
  $A32=AP$1,
  IF( ROW(AP32)=2, "+", IF(COUNTIF($B32:AO32,"X")=0, "+", "-") ),
  IF(
    $A32&lt;AP$1,
    "O",
    IF( OFFSET(AP$1, COLUMN(AP32)-1, 0)="-", "O", IF(MOD($A32, AP$1)=0, "X", "O") )
  )
)</f>
        <v>O</v>
      </c>
      <c r="AQ32" s="45" t="str">
        <f ca="1">IF(
  $A32=AQ$1,
  IF( ROW(AQ32)=2, "+", IF(COUNTIF($B32:AP32,"X")=0, "+", "-") ),
  IF(
    $A32&lt;AQ$1,
    "O",
    IF( OFFSET(AQ$1, COLUMN(AQ32)-1, 0)="-", "O", IF(MOD($A32, AQ$1)=0, "X", "O") )
  )
)</f>
        <v>O</v>
      </c>
      <c r="AR32" s="45" t="str">
        <f ca="1">IF(
  $A32=AR$1,
  IF( ROW(AR32)=2, "+", IF(COUNTIF($B32:AQ32,"X")=0, "+", "-") ),
  IF(
    $A32&lt;AR$1,
    "O",
    IF( OFFSET(AR$1, COLUMN(AR32)-1, 0)="-", "O", IF(MOD($A32, AR$1)=0, "X", "O") )
  )
)</f>
        <v>O</v>
      </c>
      <c r="AS32" s="45" t="str">
        <f ca="1">IF(
  $A32=AS$1,
  IF( ROW(AS32)=2, "+", IF(COUNTIF($B32:AR32,"X")=0, "+", "-") ),
  IF(
    $A32&lt;AS$1,
    "O",
    IF( OFFSET(AS$1, COLUMN(AS32)-1, 0)="-", "O", IF(MOD($A32, AS$1)=0, "X", "O") )
  )
)</f>
        <v>O</v>
      </c>
      <c r="AT32" s="45" t="str">
        <f ca="1">IF(
  $A32=AT$1,
  IF( ROW(AT32)=2, "+", IF(COUNTIF($B32:AS32,"X")=0, "+", "-") ),
  IF(
    $A32&lt;AT$1,
    "O",
    IF( OFFSET(AT$1, COLUMN(AT32)-1, 0)="-", "O", IF(MOD($A32, AT$1)=0, "X", "O") )
  )
)</f>
        <v>O</v>
      </c>
      <c r="AU32" s="45" t="str">
        <f ca="1">IF(
  $A32=AU$1,
  IF( ROW(AU32)=2, "+", IF(COUNTIF($B32:AT32,"X")=0, "+", "-") ),
  IF(
    $A32&lt;AU$1,
    "O",
    IF( OFFSET(AU$1, COLUMN(AU32)-1, 0)="-", "O", IF(MOD($A32, AU$1)=0, "X", "O") )
  )
)</f>
        <v>O</v>
      </c>
      <c r="AV32" s="45" t="str">
        <f ca="1">IF(
  $A32=AV$1,
  IF( ROW(AV32)=2, "+", IF(COUNTIF($B32:AU32,"X")=0, "+", "-") ),
  IF(
    $A32&lt;AV$1,
    "O",
    IF( OFFSET(AV$1, COLUMN(AV32)-1, 0)="-", "O", IF(MOD($A32, AV$1)=0, "X", "O") )
  )
)</f>
        <v>O</v>
      </c>
      <c r="AW32" s="45" t="str">
        <f ca="1">IF(
  $A32=AW$1,
  IF( ROW(AW32)=2, "+", IF(COUNTIF($B32:AV32,"X")=0, "+", "-") ),
  IF(
    $A32&lt;AW$1,
    "O",
    IF( OFFSET(AW$1, COLUMN(AW32)-1, 0)="-", "O", IF(MOD($A32, AW$1)=0, "X", "O") )
  )
)</f>
        <v>O</v>
      </c>
      <c r="AX32" s="45" t="str">
        <f ca="1">IF(
  $A32=AX$1,
  IF( ROW(AX32)=2, "+", IF(COUNTIF($B32:AW32,"X")=0, "+", "-") ),
  IF(
    $A32&lt;AX$1,
    "O",
    IF( OFFSET(AX$1, COLUMN(AX32)-1, 0)="-", "O", IF(MOD($A32, AX$1)=0, "X", "O") )
  )
)</f>
        <v>O</v>
      </c>
      <c r="AY32" s="45" t="str">
        <f ca="1">IF(
  $A32=AY$1,
  IF( ROW(AY32)=2, "+", IF(COUNTIF($B32:AX32,"X")=0, "+", "-") ),
  IF(
    $A32&lt;AY$1,
    "O",
    IF( OFFSET(AY$1, COLUMN(AY32)-1, 0)="-", "O", IF(MOD($A32, AY$1)=0, "X", "O") )
  )
)</f>
        <v>O</v>
      </c>
      <c r="AZ32" s="45" t="str">
        <f ca="1">IF(
  $A32=AZ$1,
  IF( ROW(AZ32)=2, "+", IF(COUNTIF($B32:AY32,"X")=0, "+", "-") ),
  IF(
    $A32&lt;AZ$1,
    "O",
    IF( OFFSET(AZ$1, COLUMN(AZ32)-1, 0)="-", "O", IF(MOD($A32, AZ$1)=0, "X", "O") )
  )
)</f>
        <v>O</v>
      </c>
      <c r="BA32" s="45" t="str">
        <f ca="1">IF(
  $A32=BA$1,
  IF( ROW(BA32)=2, "+", IF(COUNTIF($B32:AZ32,"X")=0, "+", "-") ),
  IF(
    $A32&lt;BA$1,
    "O",
    IF( OFFSET(BA$1, COLUMN(BA32)-1, 0)="-", "O", IF(MOD($A32, BA$1)=0, "X", "O") )
  )
)</f>
        <v>O</v>
      </c>
      <c r="BB32" s="45" t="str">
        <f ca="1">IF(
  $A32=BB$1,
  IF( ROW(BB32)=2, "+", IF(COUNTIF($B32:BA32,"X")=0, "+", "-") ),
  IF(
    $A32&lt;BB$1,
    "O",
    IF( OFFSET(BB$1, COLUMN(BB32)-1, 0)="-", "O", IF(MOD($A32, BB$1)=0, "X", "O") )
  )
)</f>
        <v>O</v>
      </c>
      <c r="BC32" s="45" t="str">
        <f ca="1">IF(
  $A32=BC$1,
  IF( ROW(BC32)=2, "+", IF(COUNTIF($B32:BB32,"X")=0, "+", "-") ),
  IF(
    $A32&lt;BC$1,
    "O",
    IF( OFFSET(BC$1, COLUMN(BC32)-1, 0)="-", "O", IF(MOD($A32, BC$1)=0, "X", "O") )
  )
)</f>
        <v>O</v>
      </c>
      <c r="BD32" s="45" t="str">
        <f ca="1">IF(
  $A32=BD$1,
  IF( ROW(BD32)=2, "+", IF(COUNTIF($B32:BC32,"X")=0, "+", "-") ),
  IF(
    $A32&lt;BD$1,
    "O",
    IF( OFFSET(BD$1, COLUMN(BD32)-1, 0)="-", "O", IF(MOD($A32, BD$1)=0, "X", "O") )
  )
)</f>
        <v>O</v>
      </c>
      <c r="BE32" s="45" t="str">
        <f ca="1">IF(
  $A32=BE$1,
  IF( ROW(BE32)=2, "+", IF(COUNTIF($B32:BD32,"X")=0, "+", "-") ),
  IF(
    $A32&lt;BE$1,
    "O",
    IF( OFFSET(BE$1, COLUMN(BE32)-1, 0)="-", "O", IF(MOD($A32, BE$1)=0, "X", "O") )
  )
)</f>
        <v>O</v>
      </c>
      <c r="BF32" s="45" t="str">
        <f ca="1">IF(
  $A32=BF$1,
  IF( ROW(BF32)=2, "+", IF(COUNTIF($B32:BE32,"X")=0, "+", "-") ),
  IF(
    $A32&lt;BF$1,
    "O",
    IF( OFFSET(BF$1, COLUMN(BF32)-1, 0)="-", "O", IF(MOD($A32, BF$1)=0, "X", "O") )
  )
)</f>
        <v>O</v>
      </c>
      <c r="BG32" s="45" t="str">
        <f ca="1">IF(
  $A32=BG$1,
  IF( ROW(BG32)=2, "+", IF(COUNTIF($B32:BF32,"X")=0, "+", "-") ),
  IF(
    $A32&lt;BG$1,
    "O",
    IF( OFFSET(BG$1, COLUMN(BG32)-1, 0)="-", "O", IF(MOD($A32, BG$1)=0, "X", "O") )
  )
)</f>
        <v>O</v>
      </c>
      <c r="BH32" s="45" t="str">
        <f ca="1">IF(
  $A32=BH$1,
  IF( ROW(BH32)=2, "+", IF(COUNTIF($B32:BG32,"X")=0, "+", "-") ),
  IF(
    $A32&lt;BH$1,
    "O",
    IF( OFFSET(BH$1, COLUMN(BH32)-1, 0)="-", "O", IF(MOD($A32, BH$1)=0, "X", "O") )
  )
)</f>
        <v>O</v>
      </c>
    </row>
    <row r="33" spans="1:60" s="46" customFormat="1" x14ac:dyDescent="0.25">
      <c r="A33">
        <v>33</v>
      </c>
      <c r="B33" s="44" t="str">
        <f ca="1">IF(
  $A33=B$1,
  IF( ROW(B33)=2, "+", IF(COUNTIF(A33:$B33,"X")=0, "+", "-") ),
  IF(
    $A33&lt;B$1,
    "O",
    IF( OFFSET(B$1, COLUMN(B33)-1, 0)="-", "O", IF(MOD($A33, B$1)=0, "X", "O") )
  )
)</f>
        <v>O</v>
      </c>
      <c r="C33" s="44" t="str">
        <f ca="1">IF(
  $A33=C$1,
  IF( ROW(C33)=2, "+", IF(COUNTIF(B33:$B33,"X")=0, "+", "-") ),
  IF(
    $A33&lt;C$1,
    "O",
    IF( OFFSET(C$1, COLUMN(C33)-1, 0)="-", "O", IF(MOD($A33, C$1)=0, "X", "O") )
  )
)</f>
        <v>X</v>
      </c>
      <c r="D33" s="45" t="str">
        <f ca="1">IF(
  $A33=D$1,
  IF( ROW(D33)=2, "+", IF(COUNTIF($B33:C33,"X")=0, "+", "-") ),
  IF(
    $A33&lt;D$1,
    "O",
    IF( OFFSET(D$1, COLUMN(D33)-1, 0)="-", "O", IF(MOD($A33, D$1)=0, "X", "O") )
  )
)</f>
        <v>O</v>
      </c>
      <c r="E33" s="44" t="str">
        <f ca="1">IF(
  $A33=E$1,
  IF( ROW(E33)=2, "+", IF(COUNTIF($B33:D33,"X")=0, "+", "-") ),
  IF(
    $A33&lt;E$1,
    "O",
    IF( OFFSET(E$1, COLUMN(E33)-1, 0)="-", "O", IF(MOD($A33, E$1)=0, "X", "O") )
  )
)</f>
        <v>O</v>
      </c>
      <c r="F33" s="45" t="str">
        <f ca="1">IF(
  $A33=F$1,
  IF( ROW(F33)=2, "+", IF(COUNTIF($B33:E33,"X")=0, "+", "-") ),
  IF(
    $A33&lt;F$1,
    "O",
    IF( OFFSET(F$1, COLUMN(F33)-1, 0)="-", "O", IF(MOD($A33, F$1)=0, "X", "O") )
  )
)</f>
        <v>O</v>
      </c>
      <c r="G33" s="44" t="str">
        <f ca="1">IF(
  $A33=G$1,
  IF( ROW(G33)=2, "+", IF(COUNTIF($B33:F33,"X")=0, "+", "-") ),
  IF(
    $A33&lt;G$1,
    "O",
    IF( OFFSET(G$1, COLUMN(G33)-1, 0)="-", "O", IF(MOD($A33, G$1)=0, "X", "O") )
  )
)</f>
        <v>O</v>
      </c>
      <c r="H33" s="45" t="str">
        <f ca="1">IF(
  $A33=H$1,
  IF( ROW(H33)=2, "+", IF(COUNTIF($B33:G33,"X")=0, "+", "-") ),
  IF(
    $A33&lt;H$1,
    "O",
    IF( OFFSET(H$1, COLUMN(H33)-1, 0)="-", "O", IF(MOD($A33, H$1)=0, "X", "O") )
  )
)</f>
        <v>O</v>
      </c>
      <c r="I33" s="45" t="str">
        <f ca="1">IF(
  $A33=I$1,
  IF( ROW(I33)=2, "+", IF(COUNTIF($B33:H33,"X")=0, "+", "-") ),
  IF(
    $A33&lt;I$1,
    "O",
    IF( OFFSET(I$1, COLUMN(I33)-1, 0)="-", "O", IF(MOD($A33, I$1)=0, "X", "O") )
  )
)</f>
        <v>O</v>
      </c>
      <c r="J33" s="45" t="str">
        <f ca="1">IF(
  $A33=J$1,
  IF( ROW(J33)=2, "+", IF(COUNTIF($B33:I33,"X")=0, "+", "-") ),
  IF(
    $A33&lt;J$1,
    "O",
    IF( OFFSET(J$1, COLUMN(J33)-1, 0)="-", "O", IF(MOD($A33, J$1)=0, "X", "O") )
  )
)</f>
        <v>O</v>
      </c>
      <c r="K33" s="44" t="str">
        <f ca="1">IF(
  $A33=K$1,
  IF( ROW(K33)=2, "+", IF(COUNTIF($B33:J33,"X")=0, "+", "-") ),
  IF(
    $A33&lt;K$1,
    "O",
    IF( OFFSET(K$1, COLUMN(K33)-1, 0)="-", "O", IF(MOD($A33, K$1)=0, "X", "O") )
  )
)</f>
        <v>X</v>
      </c>
      <c r="L33" s="45" t="str">
        <f ca="1">IF(
  $A33=L$1,
  IF( ROW(L33)=2, "+", IF(COUNTIF($B33:K33,"X")=0, "+", "-") ),
  IF(
    $A33&lt;L$1,
    "O",
    IF( OFFSET(L$1, COLUMN(L33)-1, 0)="-", "O", IF(MOD($A33, L$1)=0, "X", "O") )
  )
)</f>
        <v>O</v>
      </c>
      <c r="M33" s="44" t="str">
        <f ca="1">IF(
  $A33=M$1,
  IF( ROW(M33)=2, "+", IF(COUNTIF($B33:L33,"X")=0, "+", "-") ),
  IF(
    $A33&lt;M$1,
    "O",
    IF( OFFSET(M$1, COLUMN(M33)-1, 0)="-", "O", IF(MOD($A33, M$1)=0, "X", "O") )
  )
)</f>
        <v>O</v>
      </c>
      <c r="N33" s="45" t="str">
        <f ca="1">IF(
  $A33=N$1,
  IF( ROW(N33)=2, "+", IF(COUNTIF($B33:M33,"X")=0, "+", "-") ),
  IF(
    $A33&lt;N$1,
    "O",
    IF( OFFSET(N$1, COLUMN(N33)-1, 0)="-", "O", IF(MOD($A33, N$1)=0, "X", "O") )
  )
)</f>
        <v>O</v>
      </c>
      <c r="O33" s="45" t="str">
        <f ca="1">IF(
  $A33=O$1,
  IF( ROW(O33)=2, "+", IF(COUNTIF($B33:N33,"X")=0, "+", "-") ),
  IF(
    $A33&lt;O$1,
    "O",
    IF( OFFSET(O$1, COLUMN(O33)-1, 0)="-", "O", IF(MOD($A33, O$1)=0, "X", "O") )
  )
)</f>
        <v>O</v>
      </c>
      <c r="P33" s="45" t="str">
        <f ca="1">IF(
  $A33=P$1,
  IF( ROW(P33)=2, "+", IF(COUNTIF($B33:O33,"X")=0, "+", "-") ),
  IF(
    $A33&lt;P$1,
    "O",
    IF( OFFSET(P$1, COLUMN(P33)-1, 0)="-", "O", IF(MOD($A33, P$1)=0, "X", "O") )
  )
)</f>
        <v>O</v>
      </c>
      <c r="Q33" s="44" t="str">
        <f ca="1">IF(
  $A33=Q$1,
  IF( ROW(Q33)=2, "+", IF(COUNTIF($B33:P33,"X")=0, "+", "-") ),
  IF(
    $A33&lt;Q$1,
    "O",
    IF( OFFSET(Q$1, COLUMN(Q33)-1, 0)="-", "O", IF(MOD($A33, Q$1)=0, "X", "O") )
  )
)</f>
        <v>O</v>
      </c>
      <c r="R33" s="45" t="str">
        <f ca="1">IF(
  $A33=R$1,
  IF( ROW(R33)=2, "+", IF(COUNTIF($B33:Q33,"X")=0, "+", "-") ),
  IF(
    $A33&lt;R$1,
    "O",
    IF( OFFSET(R$1, COLUMN(R33)-1, 0)="-", "O", IF(MOD($A33, R$1)=0, "X", "O") )
  )
)</f>
        <v>O</v>
      </c>
      <c r="S33" s="44" t="str">
        <f ca="1">IF(
  $A33=S$1,
  IF( ROW(S33)=2, "+", IF(COUNTIF($B33:R33,"X")=0, "+", "-") ),
  IF(
    $A33&lt;S$1,
    "O",
    IF( OFFSET(S$1, COLUMN(S33)-1, 0)="-", "O", IF(MOD($A33, S$1)=0, "X", "O") )
  )
)</f>
        <v>O</v>
      </c>
      <c r="T33" s="45" t="str">
        <f ca="1">IF(
  $A33=T$1,
  IF( ROW(T33)=2, "+", IF(COUNTIF($B33:S33,"X")=0, "+", "-") ),
  IF(
    $A33&lt;T$1,
    "O",
    IF( OFFSET(T$1, COLUMN(T33)-1, 0)="-", "O", IF(MOD($A33, T$1)=0, "X", "O") )
  )
)</f>
        <v>O</v>
      </c>
      <c r="U33" s="45" t="str">
        <f ca="1">IF(
  $A33=U$1,
  IF( ROW(U33)=2, "+", IF(COUNTIF($B33:T33,"X")=0, "+", "-") ),
  IF(
    $A33&lt;U$1,
    "O",
    IF( OFFSET(U$1, COLUMN(U33)-1, 0)="-", "O", IF(MOD($A33, U$1)=0, "X", "O") )
  )
)</f>
        <v>O</v>
      </c>
      <c r="V33" s="45" t="str">
        <f ca="1">IF(
  $A33=V$1,
  IF( ROW(V33)=2, "+", IF(COUNTIF($B33:U33,"X")=0, "+", "-") ),
  IF(
    $A33&lt;V$1,
    "O",
    IF( OFFSET(V$1, COLUMN(V33)-1, 0)="-", "O", IF(MOD($A33, V$1)=0, "X", "O") )
  )
)</f>
        <v>O</v>
      </c>
      <c r="W33" s="44" t="str">
        <f ca="1">IF(
  $A33=W$1,
  IF( ROW(W33)=2, "+", IF(COUNTIF($B33:V33,"X")=0, "+", "-") ),
  IF(
    $A33&lt;W$1,
    "O",
    IF( OFFSET(W$1, COLUMN(W33)-1, 0)="-", "O", IF(MOD($A33, W$1)=0, "X", "O") )
  )
)</f>
        <v>O</v>
      </c>
      <c r="X33" s="45" t="str">
        <f ca="1">IF(
  $A33=X$1,
  IF( ROW(X33)=2, "+", IF(COUNTIF($B33:W33,"X")=0, "+", "-") ),
  IF(
    $A33&lt;X$1,
    "O",
    IF( OFFSET(X$1, COLUMN(X33)-1, 0)="-", "O", IF(MOD($A33, X$1)=0, "X", "O") )
  )
)</f>
        <v>O</v>
      </c>
      <c r="Y33" s="45" t="str">
        <f ca="1">IF(
  $A33=Y$1,
  IF( ROW(Y33)=2, "+", IF(COUNTIF($B33:X33,"X")=0, "+", "-") ),
  IF(
    $A33&lt;Y$1,
    "O",
    IF( OFFSET(Y$1, COLUMN(Y33)-1, 0)="-", "O", IF(MOD($A33, Y$1)=0, "X", "O") )
  )
)</f>
        <v>O</v>
      </c>
      <c r="Z33" s="45" t="str">
        <f ca="1">IF(
  $A33=Z$1,
  IF( ROW(Z33)=2, "+", IF(COUNTIF($B33:Y33,"X")=0, "+", "-") ),
  IF(
    $A33&lt;Z$1,
    "O",
    IF( OFFSET(Z$1, COLUMN(Z33)-1, 0)="-", "O", IF(MOD($A33, Z$1)=0, "X", "O") )
  )
)</f>
        <v>O</v>
      </c>
      <c r="AA33" s="45" t="str">
        <f ca="1">IF(
  $A33=AA$1,
  IF( ROW(AA33)=2, "+", IF(COUNTIF($B33:Z33,"X")=0, "+", "-") ),
  IF(
    $A33&lt;AA$1,
    "O",
    IF( OFFSET(AA$1, COLUMN(AA33)-1, 0)="-", "O", IF(MOD($A33, AA$1)=0, "X", "O") )
  )
)</f>
        <v>O</v>
      </c>
      <c r="AB33" s="45" t="str">
        <f ca="1">IF(
  $A33=AB$1,
  IF( ROW(AB33)=2, "+", IF(COUNTIF($B33:AA33,"X")=0, "+", "-") ),
  IF(
    $A33&lt;AB$1,
    "O",
    IF( OFFSET(AB$1, COLUMN(AB33)-1, 0)="-", "O", IF(MOD($A33, AB$1)=0, "X", "O") )
  )
)</f>
        <v>O</v>
      </c>
      <c r="AC33" s="44" t="str">
        <f ca="1">IF(
  $A33=AC$1,
  IF( ROW(AC33)=2, "+", IF(COUNTIF($B33:AB33,"X")=0, "+", "-") ),
  IF(
    $A33&lt;AC$1,
    "O",
    IF( OFFSET(AC$1, COLUMN(AC33)-1, 0)="-", "O", IF(MOD($A33, AC$1)=0, "X", "O") )
  )
)</f>
        <v>O</v>
      </c>
      <c r="AD33" s="45" t="str">
        <f ca="1">IF(
  $A33=AD$1,
  IF( ROW(AD33)=2, "+", IF(COUNTIF($B33:AC33,"X")=0, "+", "-") ),
  IF(
    $A33&lt;AD$1,
    "O",
    IF( OFFSET(AD$1, COLUMN(AD33)-1, 0)="-", "O", IF(MOD($A33, AD$1)=0, "X", "O") )
  )
)</f>
        <v>O</v>
      </c>
      <c r="AE33" s="44" t="str">
        <f ca="1">IF(
  $A33=AE$1,
  IF( ROW(AE33)=2, "+", IF(COUNTIF($B33:AD33,"X")=0, "+", "-") ),
  IF(
    $A33&lt;AE$1,
    "O",
    IF( OFFSET(AE$1, COLUMN(AE33)-1, 0)="-", "O", IF(MOD($A33, AE$1)=0, "X", "O") )
  )
)</f>
        <v>O</v>
      </c>
      <c r="AF33" s="45" t="str">
        <f ca="1">IF(
  $A33=AF$1,
  IF( ROW(AF33)=2, "+", IF(COUNTIF($B33:AE33,"X")=0, "+", "-") ),
  IF(
    $A33&lt;AF$1,
    "O",
    IF( OFFSET(AF$1, COLUMN(AF33)-1, 0)="-", "O", IF(MOD($A33, AF$1)=0, "X", "O") )
  )
)</f>
        <v>O</v>
      </c>
      <c r="AG33" s="45" t="str">
        <f ca="1">IF(
  $A33=AG$1,
  IF( ROW(AG33)=2, "+", IF(COUNTIF($B33:AF33,"X")=0, "+", "-") ),
  IF(
    $A33&lt;AG$1,
    "O",
    IF( OFFSET(AG$1, COLUMN(AG33)-1, 0)="-", "O", IF(MOD($A33, AG$1)=0, "X", "O") )
  )
)</f>
        <v>-</v>
      </c>
      <c r="AH33" s="45" t="str">
        <f ca="1">IF(
  $A33=AH$1,
  IF( ROW(AH33)=2, "+", IF(COUNTIF($B33:AG33,"X")=0, "+", "-") ),
  IF(
    $A33&lt;AH$1,
    "O",
    IF( OFFSET(AH$1, COLUMN(AH33)-1, 0)="-", "O", IF(MOD($A33, AH$1)=0, "X", "O") )
  )
)</f>
        <v>O</v>
      </c>
      <c r="AI33" s="45" t="str">
        <f ca="1">IF(
  $A33=AI$1,
  IF( ROW(AI33)=2, "+", IF(COUNTIF($B33:AH33,"X")=0, "+", "-") ),
  IF(
    $A33&lt;AI$1,
    "O",
    IF( OFFSET(AI$1, COLUMN(AI33)-1, 0)="-", "O", IF(MOD($A33, AI$1)=0, "X", "O") )
  )
)</f>
        <v>O</v>
      </c>
      <c r="AJ33" s="45" t="str">
        <f ca="1">IF(
  $A33=AJ$1,
  IF( ROW(AJ33)=2, "+", IF(COUNTIF($B33:AI33,"X")=0, "+", "-") ),
  IF(
    $A33&lt;AJ$1,
    "O",
    IF( OFFSET(AJ$1, COLUMN(AJ33)-1, 0)="-", "O", IF(MOD($A33, AJ$1)=0, "X", "O") )
  )
)</f>
        <v>O</v>
      </c>
      <c r="AK33" s="45" t="str">
        <f ca="1">IF(
  $A33=AK$1,
  IF( ROW(AK33)=2, "+", IF(COUNTIF($B33:AJ33,"X")=0, "+", "-") ),
  IF(
    $A33&lt;AK$1,
    "O",
    IF( OFFSET(AK$1, COLUMN(AK33)-1, 0)="-", "O", IF(MOD($A33, AK$1)=0, "X", "O") )
  )
)</f>
        <v>O</v>
      </c>
      <c r="AL33" s="45" t="str">
        <f ca="1">IF(
  $A33=AL$1,
  IF( ROW(AL33)=2, "+", IF(COUNTIF($B33:AK33,"X")=0, "+", "-") ),
  IF(
    $A33&lt;AL$1,
    "O",
    IF( OFFSET(AL$1, COLUMN(AL33)-1, 0)="-", "O", IF(MOD($A33, AL$1)=0, "X", "O") )
  )
)</f>
        <v>O</v>
      </c>
      <c r="AM33" s="45" t="str">
        <f ca="1">IF(
  $A33=AM$1,
  IF( ROW(AM33)=2, "+", IF(COUNTIF($B33:AL33,"X")=0, "+", "-") ),
  IF(
    $A33&lt;AM$1,
    "O",
    IF( OFFSET(AM$1, COLUMN(AM33)-1, 0)="-", "O", IF(MOD($A33, AM$1)=0, "X", "O") )
  )
)</f>
        <v>O</v>
      </c>
      <c r="AN33" s="45" t="str">
        <f ca="1">IF(
  $A33=AN$1,
  IF( ROW(AN33)=2, "+", IF(COUNTIF($B33:AM33,"X")=0, "+", "-") ),
  IF(
    $A33&lt;AN$1,
    "O",
    IF( OFFSET(AN$1, COLUMN(AN33)-1, 0)="-", "O", IF(MOD($A33, AN$1)=0, "X", "O") )
  )
)</f>
        <v>O</v>
      </c>
      <c r="AO33" s="45" t="str">
        <f ca="1">IF(
  $A33=AO$1,
  IF( ROW(AO33)=2, "+", IF(COUNTIF($B33:AN33,"X")=0, "+", "-") ),
  IF(
    $A33&lt;AO$1,
    "O",
    IF( OFFSET(AO$1, COLUMN(AO33)-1, 0)="-", "O", IF(MOD($A33, AO$1)=0, "X", "O") )
  )
)</f>
        <v>O</v>
      </c>
      <c r="AP33" s="45" t="str">
        <f ca="1">IF(
  $A33=AP$1,
  IF( ROW(AP33)=2, "+", IF(COUNTIF($B33:AO33,"X")=0, "+", "-") ),
  IF(
    $A33&lt;AP$1,
    "O",
    IF( OFFSET(AP$1, COLUMN(AP33)-1, 0)="-", "O", IF(MOD($A33, AP$1)=0, "X", "O") )
  )
)</f>
        <v>O</v>
      </c>
      <c r="AQ33" s="45" t="str">
        <f ca="1">IF(
  $A33=AQ$1,
  IF( ROW(AQ33)=2, "+", IF(COUNTIF($B33:AP33,"X")=0, "+", "-") ),
  IF(
    $A33&lt;AQ$1,
    "O",
    IF( OFFSET(AQ$1, COLUMN(AQ33)-1, 0)="-", "O", IF(MOD($A33, AQ$1)=0, "X", "O") )
  )
)</f>
        <v>O</v>
      </c>
      <c r="AR33" s="45" t="str">
        <f ca="1">IF(
  $A33=AR$1,
  IF( ROW(AR33)=2, "+", IF(COUNTIF($B33:AQ33,"X")=0, "+", "-") ),
  IF(
    $A33&lt;AR$1,
    "O",
    IF( OFFSET(AR$1, COLUMN(AR33)-1, 0)="-", "O", IF(MOD($A33, AR$1)=0, "X", "O") )
  )
)</f>
        <v>O</v>
      </c>
      <c r="AS33" s="45" t="str">
        <f ca="1">IF(
  $A33=AS$1,
  IF( ROW(AS33)=2, "+", IF(COUNTIF($B33:AR33,"X")=0, "+", "-") ),
  IF(
    $A33&lt;AS$1,
    "O",
    IF( OFFSET(AS$1, COLUMN(AS33)-1, 0)="-", "O", IF(MOD($A33, AS$1)=0, "X", "O") )
  )
)</f>
        <v>O</v>
      </c>
      <c r="AT33" s="45" t="str">
        <f ca="1">IF(
  $A33=AT$1,
  IF( ROW(AT33)=2, "+", IF(COUNTIF($B33:AS33,"X")=0, "+", "-") ),
  IF(
    $A33&lt;AT$1,
    "O",
    IF( OFFSET(AT$1, COLUMN(AT33)-1, 0)="-", "O", IF(MOD($A33, AT$1)=0, "X", "O") )
  )
)</f>
        <v>O</v>
      </c>
      <c r="AU33" s="45" t="str">
        <f ca="1">IF(
  $A33=AU$1,
  IF( ROW(AU33)=2, "+", IF(COUNTIF($B33:AT33,"X")=0, "+", "-") ),
  IF(
    $A33&lt;AU$1,
    "O",
    IF( OFFSET(AU$1, COLUMN(AU33)-1, 0)="-", "O", IF(MOD($A33, AU$1)=0, "X", "O") )
  )
)</f>
        <v>O</v>
      </c>
      <c r="AV33" s="45" t="str">
        <f ca="1">IF(
  $A33=AV$1,
  IF( ROW(AV33)=2, "+", IF(COUNTIF($B33:AU33,"X")=0, "+", "-") ),
  IF(
    $A33&lt;AV$1,
    "O",
    IF( OFFSET(AV$1, COLUMN(AV33)-1, 0)="-", "O", IF(MOD($A33, AV$1)=0, "X", "O") )
  )
)</f>
        <v>O</v>
      </c>
      <c r="AW33" s="45" t="str">
        <f ca="1">IF(
  $A33=AW$1,
  IF( ROW(AW33)=2, "+", IF(COUNTIF($B33:AV33,"X")=0, "+", "-") ),
  IF(
    $A33&lt;AW$1,
    "O",
    IF( OFFSET(AW$1, COLUMN(AW33)-1, 0)="-", "O", IF(MOD($A33, AW$1)=0, "X", "O") )
  )
)</f>
        <v>O</v>
      </c>
      <c r="AX33" s="45" t="str">
        <f ca="1">IF(
  $A33=AX$1,
  IF( ROW(AX33)=2, "+", IF(COUNTIF($B33:AW33,"X")=0, "+", "-") ),
  IF(
    $A33&lt;AX$1,
    "O",
    IF( OFFSET(AX$1, COLUMN(AX33)-1, 0)="-", "O", IF(MOD($A33, AX$1)=0, "X", "O") )
  )
)</f>
        <v>O</v>
      </c>
      <c r="AY33" s="45" t="str">
        <f ca="1">IF(
  $A33=AY$1,
  IF( ROW(AY33)=2, "+", IF(COUNTIF($B33:AX33,"X")=0, "+", "-") ),
  IF(
    $A33&lt;AY$1,
    "O",
    IF( OFFSET(AY$1, COLUMN(AY33)-1, 0)="-", "O", IF(MOD($A33, AY$1)=0, "X", "O") )
  )
)</f>
        <v>O</v>
      </c>
      <c r="AZ33" s="45" t="str">
        <f ca="1">IF(
  $A33=AZ$1,
  IF( ROW(AZ33)=2, "+", IF(COUNTIF($B33:AY33,"X")=0, "+", "-") ),
  IF(
    $A33&lt;AZ$1,
    "O",
    IF( OFFSET(AZ$1, COLUMN(AZ33)-1, 0)="-", "O", IF(MOD($A33, AZ$1)=0, "X", "O") )
  )
)</f>
        <v>O</v>
      </c>
      <c r="BA33" s="45" t="str">
        <f ca="1">IF(
  $A33=BA$1,
  IF( ROW(BA33)=2, "+", IF(COUNTIF($B33:AZ33,"X")=0, "+", "-") ),
  IF(
    $A33&lt;BA$1,
    "O",
    IF( OFFSET(BA$1, COLUMN(BA33)-1, 0)="-", "O", IF(MOD($A33, BA$1)=0, "X", "O") )
  )
)</f>
        <v>O</v>
      </c>
      <c r="BB33" s="45" t="str">
        <f ca="1">IF(
  $A33=BB$1,
  IF( ROW(BB33)=2, "+", IF(COUNTIF($B33:BA33,"X")=0, "+", "-") ),
  IF(
    $A33&lt;BB$1,
    "O",
    IF( OFFSET(BB$1, COLUMN(BB33)-1, 0)="-", "O", IF(MOD($A33, BB$1)=0, "X", "O") )
  )
)</f>
        <v>O</v>
      </c>
      <c r="BC33" s="45" t="str">
        <f ca="1">IF(
  $A33=BC$1,
  IF( ROW(BC33)=2, "+", IF(COUNTIF($B33:BB33,"X")=0, "+", "-") ),
  IF(
    $A33&lt;BC$1,
    "O",
    IF( OFFSET(BC$1, COLUMN(BC33)-1, 0)="-", "O", IF(MOD($A33, BC$1)=0, "X", "O") )
  )
)</f>
        <v>O</v>
      </c>
      <c r="BD33" s="45" t="str">
        <f ca="1">IF(
  $A33=BD$1,
  IF( ROW(BD33)=2, "+", IF(COUNTIF($B33:BC33,"X")=0, "+", "-") ),
  IF(
    $A33&lt;BD$1,
    "O",
    IF( OFFSET(BD$1, COLUMN(BD33)-1, 0)="-", "O", IF(MOD($A33, BD$1)=0, "X", "O") )
  )
)</f>
        <v>O</v>
      </c>
      <c r="BE33" s="45" t="str">
        <f ca="1">IF(
  $A33=BE$1,
  IF( ROW(BE33)=2, "+", IF(COUNTIF($B33:BD33,"X")=0, "+", "-") ),
  IF(
    $A33&lt;BE$1,
    "O",
    IF( OFFSET(BE$1, COLUMN(BE33)-1, 0)="-", "O", IF(MOD($A33, BE$1)=0, "X", "O") )
  )
)</f>
        <v>O</v>
      </c>
      <c r="BF33" s="45" t="str">
        <f ca="1">IF(
  $A33=BF$1,
  IF( ROW(BF33)=2, "+", IF(COUNTIF($B33:BE33,"X")=0, "+", "-") ),
  IF(
    $A33&lt;BF$1,
    "O",
    IF( OFFSET(BF$1, COLUMN(BF33)-1, 0)="-", "O", IF(MOD($A33, BF$1)=0, "X", "O") )
  )
)</f>
        <v>O</v>
      </c>
      <c r="BG33" s="45" t="str">
        <f ca="1">IF(
  $A33=BG$1,
  IF( ROW(BG33)=2, "+", IF(COUNTIF($B33:BF33,"X")=0, "+", "-") ),
  IF(
    $A33&lt;BG$1,
    "O",
    IF( OFFSET(BG$1, COLUMN(BG33)-1, 0)="-", "O", IF(MOD($A33, BG$1)=0, "X", "O") )
  )
)</f>
        <v>O</v>
      </c>
      <c r="BH33" s="45" t="str">
        <f ca="1">IF(
  $A33=BH$1,
  IF( ROW(BH33)=2, "+", IF(COUNTIF($B33:BG33,"X")=0, "+", "-") ),
  IF(
    $A33&lt;BH$1,
    "O",
    IF( OFFSET(BH$1, COLUMN(BH33)-1, 0)="-", "O", IF(MOD($A33, BH$1)=0, "X", "O") )
  )
)</f>
        <v>O</v>
      </c>
    </row>
    <row r="34" spans="1:60" s="46" customFormat="1" x14ac:dyDescent="0.25">
      <c r="A34">
        <v>34</v>
      </c>
      <c r="B34" s="44" t="str">
        <f ca="1">IF(
  $A34=B$1,
  IF( ROW(B34)=2, "+", IF(COUNTIF(A34:$B34,"X")=0, "+", "-") ),
  IF(
    $A34&lt;B$1,
    "O",
    IF( OFFSET(B$1, COLUMN(B34)-1, 0)="-", "O", IF(MOD($A34, B$1)=0, "X", "O") )
  )
)</f>
        <v>X</v>
      </c>
      <c r="C34" s="44" t="str">
        <f ca="1">IF(
  $A34=C$1,
  IF( ROW(C34)=2, "+", IF(COUNTIF(B34:$B34,"X")=0, "+", "-") ),
  IF(
    $A34&lt;C$1,
    "O",
    IF( OFFSET(C$1, COLUMN(C34)-1, 0)="-", "O", IF(MOD($A34, C$1)=0, "X", "O") )
  )
)</f>
        <v>O</v>
      </c>
      <c r="D34" s="45" t="str">
        <f ca="1">IF(
  $A34=D$1,
  IF( ROW(D34)=2, "+", IF(COUNTIF($B34:C34,"X")=0, "+", "-") ),
  IF(
    $A34&lt;D$1,
    "O",
    IF( OFFSET(D$1, COLUMN(D34)-1, 0)="-", "O", IF(MOD($A34, D$1)=0, "X", "O") )
  )
)</f>
        <v>O</v>
      </c>
      <c r="E34" s="44" t="str">
        <f ca="1">IF(
  $A34=E$1,
  IF( ROW(E34)=2, "+", IF(COUNTIF($B34:D34,"X")=0, "+", "-") ),
  IF(
    $A34&lt;E$1,
    "O",
    IF( OFFSET(E$1, COLUMN(E34)-1, 0)="-", "O", IF(MOD($A34, E$1)=0, "X", "O") )
  )
)</f>
        <v>O</v>
      </c>
      <c r="F34" s="45" t="str">
        <f ca="1">IF(
  $A34=F$1,
  IF( ROW(F34)=2, "+", IF(COUNTIF($B34:E34,"X")=0, "+", "-") ),
  IF(
    $A34&lt;F$1,
    "O",
    IF( OFFSET(F$1, COLUMN(F34)-1, 0)="-", "O", IF(MOD($A34, F$1)=0, "X", "O") )
  )
)</f>
        <v>O</v>
      </c>
      <c r="G34" s="44" t="str">
        <f ca="1">IF(
  $A34=G$1,
  IF( ROW(G34)=2, "+", IF(COUNTIF($B34:F34,"X")=0, "+", "-") ),
  IF(
    $A34&lt;G$1,
    "O",
    IF( OFFSET(G$1, COLUMN(G34)-1, 0)="-", "O", IF(MOD($A34, G$1)=0, "X", "O") )
  )
)</f>
        <v>O</v>
      </c>
      <c r="H34" s="45" t="str">
        <f ca="1">IF(
  $A34=H$1,
  IF( ROW(H34)=2, "+", IF(COUNTIF($B34:G34,"X")=0, "+", "-") ),
  IF(
    $A34&lt;H$1,
    "O",
    IF( OFFSET(H$1, COLUMN(H34)-1, 0)="-", "O", IF(MOD($A34, H$1)=0, "X", "O") )
  )
)</f>
        <v>O</v>
      </c>
      <c r="I34" s="45" t="str">
        <f ca="1">IF(
  $A34=I$1,
  IF( ROW(I34)=2, "+", IF(COUNTIF($B34:H34,"X")=0, "+", "-") ),
  IF(
    $A34&lt;I$1,
    "O",
    IF( OFFSET(I$1, COLUMN(I34)-1, 0)="-", "O", IF(MOD($A34, I$1)=0, "X", "O") )
  )
)</f>
        <v>O</v>
      </c>
      <c r="J34" s="45" t="str">
        <f ca="1">IF(
  $A34=J$1,
  IF( ROW(J34)=2, "+", IF(COUNTIF($B34:I34,"X")=0, "+", "-") ),
  IF(
    $A34&lt;J$1,
    "O",
    IF( OFFSET(J$1, COLUMN(J34)-1, 0)="-", "O", IF(MOD($A34, J$1)=0, "X", "O") )
  )
)</f>
        <v>O</v>
      </c>
      <c r="K34" s="44" t="str">
        <f ca="1">IF(
  $A34=K$1,
  IF( ROW(K34)=2, "+", IF(COUNTIF($B34:J34,"X")=0, "+", "-") ),
  IF(
    $A34&lt;K$1,
    "O",
    IF( OFFSET(K$1, COLUMN(K34)-1, 0)="-", "O", IF(MOD($A34, K$1)=0, "X", "O") )
  )
)</f>
        <v>O</v>
      </c>
      <c r="L34" s="45" t="str">
        <f ca="1">IF(
  $A34=L$1,
  IF( ROW(L34)=2, "+", IF(COUNTIF($B34:K34,"X")=0, "+", "-") ),
  IF(
    $A34&lt;L$1,
    "O",
    IF( OFFSET(L$1, COLUMN(L34)-1, 0)="-", "O", IF(MOD($A34, L$1)=0, "X", "O") )
  )
)</f>
        <v>O</v>
      </c>
      <c r="M34" s="44" t="str">
        <f ca="1">IF(
  $A34=M$1,
  IF( ROW(M34)=2, "+", IF(COUNTIF($B34:L34,"X")=0, "+", "-") ),
  IF(
    $A34&lt;M$1,
    "O",
    IF( OFFSET(M$1, COLUMN(M34)-1, 0)="-", "O", IF(MOD($A34, M$1)=0, "X", "O") )
  )
)</f>
        <v>O</v>
      </c>
      <c r="N34" s="45" t="str">
        <f ca="1">IF(
  $A34=N$1,
  IF( ROW(N34)=2, "+", IF(COUNTIF($B34:M34,"X")=0, "+", "-") ),
  IF(
    $A34&lt;N$1,
    "O",
    IF( OFFSET(N$1, COLUMN(N34)-1, 0)="-", "O", IF(MOD($A34, N$1)=0, "X", "O") )
  )
)</f>
        <v>O</v>
      </c>
      <c r="O34" s="45" t="str">
        <f ca="1">IF(
  $A34=O$1,
  IF( ROW(O34)=2, "+", IF(COUNTIF($B34:N34,"X")=0, "+", "-") ),
  IF(
    $A34&lt;O$1,
    "O",
    IF( OFFSET(O$1, COLUMN(O34)-1, 0)="-", "O", IF(MOD($A34, O$1)=0, "X", "O") )
  )
)</f>
        <v>O</v>
      </c>
      <c r="P34" s="45" t="str">
        <f ca="1">IF(
  $A34=P$1,
  IF( ROW(P34)=2, "+", IF(COUNTIF($B34:O34,"X")=0, "+", "-") ),
  IF(
    $A34&lt;P$1,
    "O",
    IF( OFFSET(P$1, COLUMN(P34)-1, 0)="-", "O", IF(MOD($A34, P$1)=0, "X", "O") )
  )
)</f>
        <v>O</v>
      </c>
      <c r="Q34" s="44" t="str">
        <f ca="1">IF(
  $A34=Q$1,
  IF( ROW(Q34)=2, "+", IF(COUNTIF($B34:P34,"X")=0, "+", "-") ),
  IF(
    $A34&lt;Q$1,
    "O",
    IF( OFFSET(Q$1, COLUMN(Q34)-1, 0)="-", "O", IF(MOD($A34, Q$1)=0, "X", "O") )
  )
)</f>
        <v>X</v>
      </c>
      <c r="R34" s="45" t="str">
        <f ca="1">IF(
  $A34=R$1,
  IF( ROW(R34)=2, "+", IF(COUNTIF($B34:Q34,"X")=0, "+", "-") ),
  IF(
    $A34&lt;R$1,
    "O",
    IF( OFFSET(R$1, COLUMN(R34)-1, 0)="-", "O", IF(MOD($A34, R$1)=0, "X", "O") )
  )
)</f>
        <v>O</v>
      </c>
      <c r="S34" s="44" t="str">
        <f ca="1">IF(
  $A34=S$1,
  IF( ROW(S34)=2, "+", IF(COUNTIF($B34:R34,"X")=0, "+", "-") ),
  IF(
    $A34&lt;S$1,
    "O",
    IF( OFFSET(S$1, COLUMN(S34)-1, 0)="-", "O", IF(MOD($A34, S$1)=0, "X", "O") )
  )
)</f>
        <v>O</v>
      </c>
      <c r="T34" s="45" t="str">
        <f ca="1">IF(
  $A34=T$1,
  IF( ROW(T34)=2, "+", IF(COUNTIF($B34:S34,"X")=0, "+", "-") ),
  IF(
    $A34&lt;T$1,
    "O",
    IF( OFFSET(T$1, COLUMN(T34)-1, 0)="-", "O", IF(MOD($A34, T$1)=0, "X", "O") )
  )
)</f>
        <v>O</v>
      </c>
      <c r="U34" s="45" t="str">
        <f ca="1">IF(
  $A34=U$1,
  IF( ROW(U34)=2, "+", IF(COUNTIF($B34:T34,"X")=0, "+", "-") ),
  IF(
    $A34&lt;U$1,
    "O",
    IF( OFFSET(U$1, COLUMN(U34)-1, 0)="-", "O", IF(MOD($A34, U$1)=0, "X", "O") )
  )
)</f>
        <v>O</v>
      </c>
      <c r="V34" s="45" t="str">
        <f ca="1">IF(
  $A34=V$1,
  IF( ROW(V34)=2, "+", IF(COUNTIF($B34:U34,"X")=0, "+", "-") ),
  IF(
    $A34&lt;V$1,
    "O",
    IF( OFFSET(V$1, COLUMN(V34)-1, 0)="-", "O", IF(MOD($A34, V$1)=0, "X", "O") )
  )
)</f>
        <v>O</v>
      </c>
      <c r="W34" s="44" t="str">
        <f ca="1">IF(
  $A34=W$1,
  IF( ROW(W34)=2, "+", IF(COUNTIF($B34:V34,"X")=0, "+", "-") ),
  IF(
    $A34&lt;W$1,
    "O",
    IF( OFFSET(W$1, COLUMN(W34)-1, 0)="-", "O", IF(MOD($A34, W$1)=0, "X", "O") )
  )
)</f>
        <v>O</v>
      </c>
      <c r="X34" s="45" t="str">
        <f ca="1">IF(
  $A34=X$1,
  IF( ROW(X34)=2, "+", IF(COUNTIF($B34:W34,"X")=0, "+", "-") ),
  IF(
    $A34&lt;X$1,
    "O",
    IF( OFFSET(X$1, COLUMN(X34)-1, 0)="-", "O", IF(MOD($A34, X$1)=0, "X", "O") )
  )
)</f>
        <v>O</v>
      </c>
      <c r="Y34" s="45" t="str">
        <f ca="1">IF(
  $A34=Y$1,
  IF( ROW(Y34)=2, "+", IF(COUNTIF($B34:X34,"X")=0, "+", "-") ),
  IF(
    $A34&lt;Y$1,
    "O",
    IF( OFFSET(Y$1, COLUMN(Y34)-1, 0)="-", "O", IF(MOD($A34, Y$1)=0, "X", "O") )
  )
)</f>
        <v>O</v>
      </c>
      <c r="Z34" s="45" t="str">
        <f ca="1">IF(
  $A34=Z$1,
  IF( ROW(Z34)=2, "+", IF(COUNTIF($B34:Y34,"X")=0, "+", "-") ),
  IF(
    $A34&lt;Z$1,
    "O",
    IF( OFFSET(Z$1, COLUMN(Z34)-1, 0)="-", "O", IF(MOD($A34, Z$1)=0, "X", "O") )
  )
)</f>
        <v>O</v>
      </c>
      <c r="AA34" s="45" t="str">
        <f ca="1">IF(
  $A34=AA$1,
  IF( ROW(AA34)=2, "+", IF(COUNTIF($B34:Z34,"X")=0, "+", "-") ),
  IF(
    $A34&lt;AA$1,
    "O",
    IF( OFFSET(AA$1, COLUMN(AA34)-1, 0)="-", "O", IF(MOD($A34, AA$1)=0, "X", "O") )
  )
)</f>
        <v>O</v>
      </c>
      <c r="AB34" s="45" t="str">
        <f ca="1">IF(
  $A34=AB$1,
  IF( ROW(AB34)=2, "+", IF(COUNTIF($B34:AA34,"X")=0, "+", "-") ),
  IF(
    $A34&lt;AB$1,
    "O",
    IF( OFFSET(AB$1, COLUMN(AB34)-1, 0)="-", "O", IF(MOD($A34, AB$1)=0, "X", "O") )
  )
)</f>
        <v>O</v>
      </c>
      <c r="AC34" s="44" t="str">
        <f ca="1">IF(
  $A34=AC$1,
  IF( ROW(AC34)=2, "+", IF(COUNTIF($B34:AB34,"X")=0, "+", "-") ),
  IF(
    $A34&lt;AC$1,
    "O",
    IF( OFFSET(AC$1, COLUMN(AC34)-1, 0)="-", "O", IF(MOD($A34, AC$1)=0, "X", "O") )
  )
)</f>
        <v>O</v>
      </c>
      <c r="AD34" s="45" t="str">
        <f ca="1">IF(
  $A34=AD$1,
  IF( ROW(AD34)=2, "+", IF(COUNTIF($B34:AC34,"X")=0, "+", "-") ),
  IF(
    $A34&lt;AD$1,
    "O",
    IF( OFFSET(AD$1, COLUMN(AD34)-1, 0)="-", "O", IF(MOD($A34, AD$1)=0, "X", "O") )
  )
)</f>
        <v>O</v>
      </c>
      <c r="AE34" s="44" t="str">
        <f ca="1">IF(
  $A34=AE$1,
  IF( ROW(AE34)=2, "+", IF(COUNTIF($B34:AD34,"X")=0, "+", "-") ),
  IF(
    $A34&lt;AE$1,
    "O",
    IF( OFFSET(AE$1, COLUMN(AE34)-1, 0)="-", "O", IF(MOD($A34, AE$1)=0, "X", "O") )
  )
)</f>
        <v>O</v>
      </c>
      <c r="AF34" s="45" t="str">
        <f ca="1">IF(
  $A34=AF$1,
  IF( ROW(AF34)=2, "+", IF(COUNTIF($B34:AE34,"X")=0, "+", "-") ),
  IF(
    $A34&lt;AF$1,
    "O",
    IF( OFFSET(AF$1, COLUMN(AF34)-1, 0)="-", "O", IF(MOD($A34, AF$1)=0, "X", "O") )
  )
)</f>
        <v>O</v>
      </c>
      <c r="AG34" s="45" t="str">
        <f ca="1">IF(
  $A34=AG$1,
  IF( ROW(AG34)=2, "+", IF(COUNTIF($B34:AF34,"X")=0, "+", "-") ),
  IF(
    $A34&lt;AG$1,
    "O",
    IF( OFFSET(AG$1, COLUMN(AG34)-1, 0)="-", "O", IF(MOD($A34, AG$1)=0, "X", "O") )
  )
)</f>
        <v>O</v>
      </c>
      <c r="AH34" s="45" t="str">
        <f ca="1">IF(
  $A34=AH$1,
  IF( ROW(AH34)=2, "+", IF(COUNTIF($B34:AG34,"X")=0, "+", "-") ),
  IF(
    $A34&lt;AH$1,
    "O",
    IF( OFFSET(AH$1, COLUMN(AH34)-1, 0)="-", "O", IF(MOD($A34, AH$1)=0, "X", "O") )
  )
)</f>
        <v>-</v>
      </c>
      <c r="AI34" s="45" t="str">
        <f ca="1">IF(
  $A34=AI$1,
  IF( ROW(AI34)=2, "+", IF(COUNTIF($B34:AH34,"X")=0, "+", "-") ),
  IF(
    $A34&lt;AI$1,
    "O",
    IF( OFFSET(AI$1, COLUMN(AI34)-1, 0)="-", "O", IF(MOD($A34, AI$1)=0, "X", "O") )
  )
)</f>
        <v>O</v>
      </c>
      <c r="AJ34" s="45" t="str">
        <f ca="1">IF(
  $A34=AJ$1,
  IF( ROW(AJ34)=2, "+", IF(COUNTIF($B34:AI34,"X")=0, "+", "-") ),
  IF(
    $A34&lt;AJ$1,
    "O",
    IF( OFFSET(AJ$1, COLUMN(AJ34)-1, 0)="-", "O", IF(MOD($A34, AJ$1)=0, "X", "O") )
  )
)</f>
        <v>O</v>
      </c>
      <c r="AK34" s="45" t="str">
        <f ca="1">IF(
  $A34=AK$1,
  IF( ROW(AK34)=2, "+", IF(COUNTIF($B34:AJ34,"X")=0, "+", "-") ),
  IF(
    $A34&lt;AK$1,
    "O",
    IF( OFFSET(AK$1, COLUMN(AK34)-1, 0)="-", "O", IF(MOD($A34, AK$1)=0, "X", "O") )
  )
)</f>
        <v>O</v>
      </c>
      <c r="AL34" s="45" t="str">
        <f ca="1">IF(
  $A34=AL$1,
  IF( ROW(AL34)=2, "+", IF(COUNTIF($B34:AK34,"X")=0, "+", "-") ),
  IF(
    $A34&lt;AL$1,
    "O",
    IF( OFFSET(AL$1, COLUMN(AL34)-1, 0)="-", "O", IF(MOD($A34, AL$1)=0, "X", "O") )
  )
)</f>
        <v>O</v>
      </c>
      <c r="AM34" s="45" t="str">
        <f ca="1">IF(
  $A34=AM$1,
  IF( ROW(AM34)=2, "+", IF(COUNTIF($B34:AL34,"X")=0, "+", "-") ),
  IF(
    $A34&lt;AM$1,
    "O",
    IF( OFFSET(AM$1, COLUMN(AM34)-1, 0)="-", "O", IF(MOD($A34, AM$1)=0, "X", "O") )
  )
)</f>
        <v>O</v>
      </c>
      <c r="AN34" s="45" t="str">
        <f ca="1">IF(
  $A34=AN$1,
  IF( ROW(AN34)=2, "+", IF(COUNTIF($B34:AM34,"X")=0, "+", "-") ),
  IF(
    $A34&lt;AN$1,
    "O",
    IF( OFFSET(AN$1, COLUMN(AN34)-1, 0)="-", "O", IF(MOD($A34, AN$1)=0, "X", "O") )
  )
)</f>
        <v>O</v>
      </c>
      <c r="AO34" s="45" t="str">
        <f ca="1">IF(
  $A34=AO$1,
  IF( ROW(AO34)=2, "+", IF(COUNTIF($B34:AN34,"X")=0, "+", "-") ),
  IF(
    $A34&lt;AO$1,
    "O",
    IF( OFFSET(AO$1, COLUMN(AO34)-1, 0)="-", "O", IF(MOD($A34, AO$1)=0, "X", "O") )
  )
)</f>
        <v>O</v>
      </c>
      <c r="AP34" s="45" t="str">
        <f ca="1">IF(
  $A34=AP$1,
  IF( ROW(AP34)=2, "+", IF(COUNTIF($B34:AO34,"X")=0, "+", "-") ),
  IF(
    $A34&lt;AP$1,
    "O",
    IF( OFFSET(AP$1, COLUMN(AP34)-1, 0)="-", "O", IF(MOD($A34, AP$1)=0, "X", "O") )
  )
)</f>
        <v>O</v>
      </c>
      <c r="AQ34" s="45" t="str">
        <f ca="1">IF(
  $A34=AQ$1,
  IF( ROW(AQ34)=2, "+", IF(COUNTIF($B34:AP34,"X")=0, "+", "-") ),
  IF(
    $A34&lt;AQ$1,
    "O",
    IF( OFFSET(AQ$1, COLUMN(AQ34)-1, 0)="-", "O", IF(MOD($A34, AQ$1)=0, "X", "O") )
  )
)</f>
        <v>O</v>
      </c>
      <c r="AR34" s="45" t="str">
        <f ca="1">IF(
  $A34=AR$1,
  IF( ROW(AR34)=2, "+", IF(COUNTIF($B34:AQ34,"X")=0, "+", "-") ),
  IF(
    $A34&lt;AR$1,
    "O",
    IF( OFFSET(AR$1, COLUMN(AR34)-1, 0)="-", "O", IF(MOD($A34, AR$1)=0, "X", "O") )
  )
)</f>
        <v>O</v>
      </c>
      <c r="AS34" s="45" t="str">
        <f ca="1">IF(
  $A34=AS$1,
  IF( ROW(AS34)=2, "+", IF(COUNTIF($B34:AR34,"X")=0, "+", "-") ),
  IF(
    $A34&lt;AS$1,
    "O",
    IF( OFFSET(AS$1, COLUMN(AS34)-1, 0)="-", "O", IF(MOD($A34, AS$1)=0, "X", "O") )
  )
)</f>
        <v>O</v>
      </c>
      <c r="AT34" s="45" t="str">
        <f ca="1">IF(
  $A34=AT$1,
  IF( ROW(AT34)=2, "+", IF(COUNTIF($B34:AS34,"X")=0, "+", "-") ),
  IF(
    $A34&lt;AT$1,
    "O",
    IF( OFFSET(AT$1, COLUMN(AT34)-1, 0)="-", "O", IF(MOD($A34, AT$1)=0, "X", "O") )
  )
)</f>
        <v>O</v>
      </c>
      <c r="AU34" s="45" t="str">
        <f ca="1">IF(
  $A34=AU$1,
  IF( ROW(AU34)=2, "+", IF(COUNTIF($B34:AT34,"X")=0, "+", "-") ),
  IF(
    $A34&lt;AU$1,
    "O",
    IF( OFFSET(AU$1, COLUMN(AU34)-1, 0)="-", "O", IF(MOD($A34, AU$1)=0, "X", "O") )
  )
)</f>
        <v>O</v>
      </c>
      <c r="AV34" s="45" t="str">
        <f ca="1">IF(
  $A34=AV$1,
  IF( ROW(AV34)=2, "+", IF(COUNTIF($B34:AU34,"X")=0, "+", "-") ),
  IF(
    $A34&lt;AV$1,
    "O",
    IF( OFFSET(AV$1, COLUMN(AV34)-1, 0)="-", "O", IF(MOD($A34, AV$1)=0, "X", "O") )
  )
)</f>
        <v>O</v>
      </c>
      <c r="AW34" s="45" t="str">
        <f ca="1">IF(
  $A34=AW$1,
  IF( ROW(AW34)=2, "+", IF(COUNTIF($B34:AV34,"X")=0, "+", "-") ),
  IF(
    $A34&lt;AW$1,
    "O",
    IF( OFFSET(AW$1, COLUMN(AW34)-1, 0)="-", "O", IF(MOD($A34, AW$1)=0, "X", "O") )
  )
)</f>
        <v>O</v>
      </c>
      <c r="AX34" s="45" t="str">
        <f ca="1">IF(
  $A34=AX$1,
  IF( ROW(AX34)=2, "+", IF(COUNTIF($B34:AW34,"X")=0, "+", "-") ),
  IF(
    $A34&lt;AX$1,
    "O",
    IF( OFFSET(AX$1, COLUMN(AX34)-1, 0)="-", "O", IF(MOD($A34, AX$1)=0, "X", "O") )
  )
)</f>
        <v>O</v>
      </c>
      <c r="AY34" s="45" t="str">
        <f ca="1">IF(
  $A34=AY$1,
  IF( ROW(AY34)=2, "+", IF(COUNTIF($B34:AX34,"X")=0, "+", "-") ),
  IF(
    $A34&lt;AY$1,
    "O",
    IF( OFFSET(AY$1, COLUMN(AY34)-1, 0)="-", "O", IF(MOD($A34, AY$1)=0, "X", "O") )
  )
)</f>
        <v>O</v>
      </c>
      <c r="AZ34" s="45" t="str">
        <f ca="1">IF(
  $A34=AZ$1,
  IF( ROW(AZ34)=2, "+", IF(COUNTIF($B34:AY34,"X")=0, "+", "-") ),
  IF(
    $A34&lt;AZ$1,
    "O",
    IF( OFFSET(AZ$1, COLUMN(AZ34)-1, 0)="-", "O", IF(MOD($A34, AZ$1)=0, "X", "O") )
  )
)</f>
        <v>O</v>
      </c>
      <c r="BA34" s="45" t="str">
        <f ca="1">IF(
  $A34=BA$1,
  IF( ROW(BA34)=2, "+", IF(COUNTIF($B34:AZ34,"X")=0, "+", "-") ),
  IF(
    $A34&lt;BA$1,
    "O",
    IF( OFFSET(BA$1, COLUMN(BA34)-1, 0)="-", "O", IF(MOD($A34, BA$1)=0, "X", "O") )
  )
)</f>
        <v>O</v>
      </c>
      <c r="BB34" s="45" t="str">
        <f ca="1">IF(
  $A34=BB$1,
  IF( ROW(BB34)=2, "+", IF(COUNTIF($B34:BA34,"X")=0, "+", "-") ),
  IF(
    $A34&lt;BB$1,
    "O",
    IF( OFFSET(BB$1, COLUMN(BB34)-1, 0)="-", "O", IF(MOD($A34, BB$1)=0, "X", "O") )
  )
)</f>
        <v>O</v>
      </c>
      <c r="BC34" s="45" t="str">
        <f ca="1">IF(
  $A34=BC$1,
  IF( ROW(BC34)=2, "+", IF(COUNTIF($B34:BB34,"X")=0, "+", "-") ),
  IF(
    $A34&lt;BC$1,
    "O",
    IF( OFFSET(BC$1, COLUMN(BC34)-1, 0)="-", "O", IF(MOD($A34, BC$1)=0, "X", "O") )
  )
)</f>
        <v>O</v>
      </c>
      <c r="BD34" s="45" t="str">
        <f ca="1">IF(
  $A34=BD$1,
  IF( ROW(BD34)=2, "+", IF(COUNTIF($B34:BC34,"X")=0, "+", "-") ),
  IF(
    $A34&lt;BD$1,
    "O",
    IF( OFFSET(BD$1, COLUMN(BD34)-1, 0)="-", "O", IF(MOD($A34, BD$1)=0, "X", "O") )
  )
)</f>
        <v>O</v>
      </c>
      <c r="BE34" s="45" t="str">
        <f ca="1">IF(
  $A34=BE$1,
  IF( ROW(BE34)=2, "+", IF(COUNTIF($B34:BD34,"X")=0, "+", "-") ),
  IF(
    $A34&lt;BE$1,
    "O",
    IF( OFFSET(BE$1, COLUMN(BE34)-1, 0)="-", "O", IF(MOD($A34, BE$1)=0, "X", "O") )
  )
)</f>
        <v>O</v>
      </c>
      <c r="BF34" s="45" t="str">
        <f ca="1">IF(
  $A34=BF$1,
  IF( ROW(BF34)=2, "+", IF(COUNTIF($B34:BE34,"X")=0, "+", "-") ),
  IF(
    $A34&lt;BF$1,
    "O",
    IF( OFFSET(BF$1, COLUMN(BF34)-1, 0)="-", "O", IF(MOD($A34, BF$1)=0, "X", "O") )
  )
)</f>
        <v>O</v>
      </c>
      <c r="BG34" s="45" t="str">
        <f ca="1">IF(
  $A34=BG$1,
  IF( ROW(BG34)=2, "+", IF(COUNTIF($B34:BF34,"X")=0, "+", "-") ),
  IF(
    $A34&lt;BG$1,
    "O",
    IF( OFFSET(BG$1, COLUMN(BG34)-1, 0)="-", "O", IF(MOD($A34, BG$1)=0, "X", "O") )
  )
)</f>
        <v>O</v>
      </c>
      <c r="BH34" s="45" t="str">
        <f ca="1">IF(
  $A34=BH$1,
  IF( ROW(BH34)=2, "+", IF(COUNTIF($B34:BG34,"X")=0, "+", "-") ),
  IF(
    $A34&lt;BH$1,
    "O",
    IF( OFFSET(BH$1, COLUMN(BH34)-1, 0)="-", "O", IF(MOD($A34, BH$1)=0, "X", "O") )
  )
)</f>
        <v>O</v>
      </c>
    </row>
    <row r="35" spans="1:60" s="46" customFormat="1" x14ac:dyDescent="0.25">
      <c r="A35">
        <v>35</v>
      </c>
      <c r="B35" s="44" t="str">
        <f ca="1">IF(
  $A35=B$1,
  IF( ROW(B35)=2, "+", IF(COUNTIF(A35:$B35,"X")=0, "+", "-") ),
  IF(
    $A35&lt;B$1,
    "O",
    IF( OFFSET(B$1, COLUMN(B35)-1, 0)="-", "O", IF(MOD($A35, B$1)=0, "X", "O") )
  )
)</f>
        <v>O</v>
      </c>
      <c r="C35" s="44" t="str">
        <f ca="1">IF(
  $A35=C$1,
  IF( ROW(C35)=2, "+", IF(COUNTIF(B35:$B35,"X")=0, "+", "-") ),
  IF(
    $A35&lt;C$1,
    "O",
    IF( OFFSET(C$1, COLUMN(C35)-1, 0)="-", "O", IF(MOD($A35, C$1)=0, "X", "O") )
  )
)</f>
        <v>O</v>
      </c>
      <c r="D35" s="45" t="str">
        <f ca="1">IF(
  $A35=D$1,
  IF( ROW(D35)=2, "+", IF(COUNTIF($B35:C35,"X")=0, "+", "-") ),
  IF(
    $A35&lt;D$1,
    "O",
    IF( OFFSET(D$1, COLUMN(D35)-1, 0)="-", "O", IF(MOD($A35, D$1)=0, "X", "O") )
  )
)</f>
        <v>O</v>
      </c>
      <c r="E35" s="44" t="str">
        <f ca="1">IF(
  $A35=E$1,
  IF( ROW(E35)=2, "+", IF(COUNTIF($B35:D35,"X")=0, "+", "-") ),
  IF(
    $A35&lt;E$1,
    "O",
    IF( OFFSET(E$1, COLUMN(E35)-1, 0)="-", "O", IF(MOD($A35, E$1)=0, "X", "O") )
  )
)</f>
        <v>X</v>
      </c>
      <c r="F35" s="45" t="str">
        <f ca="1">IF(
  $A35=F$1,
  IF( ROW(F35)=2, "+", IF(COUNTIF($B35:E35,"X")=0, "+", "-") ),
  IF(
    $A35&lt;F$1,
    "O",
    IF( OFFSET(F$1, COLUMN(F35)-1, 0)="-", "O", IF(MOD($A35, F$1)=0, "X", "O") )
  )
)</f>
        <v>O</v>
      </c>
      <c r="G35" s="44" t="str">
        <f ca="1">IF(
  $A35=G$1,
  IF( ROW(G35)=2, "+", IF(COUNTIF($B35:F35,"X")=0, "+", "-") ),
  IF(
    $A35&lt;G$1,
    "O",
    IF( OFFSET(G$1, COLUMN(G35)-1, 0)="-", "O", IF(MOD($A35, G$1)=0, "X", "O") )
  )
)</f>
        <v>X</v>
      </c>
      <c r="H35" s="45" t="str">
        <f ca="1">IF(
  $A35=H$1,
  IF( ROW(H35)=2, "+", IF(COUNTIF($B35:G35,"X")=0, "+", "-") ),
  IF(
    $A35&lt;H$1,
    "O",
    IF( OFFSET(H$1, COLUMN(H35)-1, 0)="-", "O", IF(MOD($A35, H$1)=0, "X", "O") )
  )
)</f>
        <v>O</v>
      </c>
      <c r="I35" s="45" t="str">
        <f ca="1">IF(
  $A35=I$1,
  IF( ROW(I35)=2, "+", IF(COUNTIF($B35:H35,"X")=0, "+", "-") ),
  IF(
    $A35&lt;I$1,
    "O",
    IF( OFFSET(I$1, COLUMN(I35)-1, 0)="-", "O", IF(MOD($A35, I$1)=0, "X", "O") )
  )
)</f>
        <v>O</v>
      </c>
      <c r="J35" s="45" t="str">
        <f ca="1">IF(
  $A35=J$1,
  IF( ROW(J35)=2, "+", IF(COUNTIF($B35:I35,"X")=0, "+", "-") ),
  IF(
    $A35&lt;J$1,
    "O",
    IF( OFFSET(J$1, COLUMN(J35)-1, 0)="-", "O", IF(MOD($A35, J$1)=0, "X", "O") )
  )
)</f>
        <v>O</v>
      </c>
      <c r="K35" s="44" t="str">
        <f ca="1">IF(
  $A35=K$1,
  IF( ROW(K35)=2, "+", IF(COUNTIF($B35:J35,"X")=0, "+", "-") ),
  IF(
    $A35&lt;K$1,
    "O",
    IF( OFFSET(K$1, COLUMN(K35)-1, 0)="-", "O", IF(MOD($A35, K$1)=0, "X", "O") )
  )
)</f>
        <v>O</v>
      </c>
      <c r="L35" s="45" t="str">
        <f ca="1">IF(
  $A35=L$1,
  IF( ROW(L35)=2, "+", IF(COUNTIF($B35:K35,"X")=0, "+", "-") ),
  IF(
    $A35&lt;L$1,
    "O",
    IF( OFFSET(L$1, COLUMN(L35)-1, 0)="-", "O", IF(MOD($A35, L$1)=0, "X", "O") )
  )
)</f>
        <v>O</v>
      </c>
      <c r="M35" s="44" t="str">
        <f ca="1">IF(
  $A35=M$1,
  IF( ROW(M35)=2, "+", IF(COUNTIF($B35:L35,"X")=0, "+", "-") ),
  IF(
    $A35&lt;M$1,
    "O",
    IF( OFFSET(M$1, COLUMN(M35)-1, 0)="-", "O", IF(MOD($A35, M$1)=0, "X", "O") )
  )
)</f>
        <v>O</v>
      </c>
      <c r="N35" s="45" t="str">
        <f ca="1">IF(
  $A35=N$1,
  IF( ROW(N35)=2, "+", IF(COUNTIF($B35:M35,"X")=0, "+", "-") ),
  IF(
    $A35&lt;N$1,
    "O",
    IF( OFFSET(N$1, COLUMN(N35)-1, 0)="-", "O", IF(MOD($A35, N$1)=0, "X", "O") )
  )
)</f>
        <v>O</v>
      </c>
      <c r="O35" s="45" t="str">
        <f ca="1">IF(
  $A35=O$1,
  IF( ROW(O35)=2, "+", IF(COUNTIF($B35:N35,"X")=0, "+", "-") ),
  IF(
    $A35&lt;O$1,
    "O",
    IF( OFFSET(O$1, COLUMN(O35)-1, 0)="-", "O", IF(MOD($A35, O$1)=0, "X", "O") )
  )
)</f>
        <v>O</v>
      </c>
      <c r="P35" s="45" t="str">
        <f ca="1">IF(
  $A35=P$1,
  IF( ROW(P35)=2, "+", IF(COUNTIF($B35:O35,"X")=0, "+", "-") ),
  IF(
    $A35&lt;P$1,
    "O",
    IF( OFFSET(P$1, COLUMN(P35)-1, 0)="-", "O", IF(MOD($A35, P$1)=0, "X", "O") )
  )
)</f>
        <v>O</v>
      </c>
      <c r="Q35" s="44" t="str">
        <f ca="1">IF(
  $A35=Q$1,
  IF( ROW(Q35)=2, "+", IF(COUNTIF($B35:P35,"X")=0, "+", "-") ),
  IF(
    $A35&lt;Q$1,
    "O",
    IF( OFFSET(Q$1, COLUMN(Q35)-1, 0)="-", "O", IF(MOD($A35, Q$1)=0, "X", "O") )
  )
)</f>
        <v>O</v>
      </c>
      <c r="R35" s="45" t="str">
        <f ca="1">IF(
  $A35=R$1,
  IF( ROW(R35)=2, "+", IF(COUNTIF($B35:Q35,"X")=0, "+", "-") ),
  IF(
    $A35&lt;R$1,
    "O",
    IF( OFFSET(R$1, COLUMN(R35)-1, 0)="-", "O", IF(MOD($A35, R$1)=0, "X", "O") )
  )
)</f>
        <v>O</v>
      </c>
      <c r="S35" s="44" t="str">
        <f ca="1">IF(
  $A35=S$1,
  IF( ROW(S35)=2, "+", IF(COUNTIF($B35:R35,"X")=0, "+", "-") ),
  IF(
    $A35&lt;S$1,
    "O",
    IF( OFFSET(S$1, COLUMN(S35)-1, 0)="-", "O", IF(MOD($A35, S$1)=0, "X", "O") )
  )
)</f>
        <v>O</v>
      </c>
      <c r="T35" s="45" t="str">
        <f ca="1">IF(
  $A35=T$1,
  IF( ROW(T35)=2, "+", IF(COUNTIF($B35:S35,"X")=0, "+", "-") ),
  IF(
    $A35&lt;T$1,
    "O",
    IF( OFFSET(T$1, COLUMN(T35)-1, 0)="-", "O", IF(MOD($A35, T$1)=0, "X", "O") )
  )
)</f>
        <v>O</v>
      </c>
      <c r="U35" s="45" t="str">
        <f ca="1">IF(
  $A35=U$1,
  IF( ROW(U35)=2, "+", IF(COUNTIF($B35:T35,"X")=0, "+", "-") ),
  IF(
    $A35&lt;U$1,
    "O",
    IF( OFFSET(U$1, COLUMN(U35)-1, 0)="-", "O", IF(MOD($A35, U$1)=0, "X", "O") )
  )
)</f>
        <v>O</v>
      </c>
      <c r="V35" s="45" t="str">
        <f ca="1">IF(
  $A35=V$1,
  IF( ROW(V35)=2, "+", IF(COUNTIF($B35:U35,"X")=0, "+", "-") ),
  IF(
    $A35&lt;V$1,
    "O",
    IF( OFFSET(V$1, COLUMN(V35)-1, 0)="-", "O", IF(MOD($A35, V$1)=0, "X", "O") )
  )
)</f>
        <v>O</v>
      </c>
      <c r="W35" s="44" t="str">
        <f ca="1">IF(
  $A35=W$1,
  IF( ROW(W35)=2, "+", IF(COUNTIF($B35:V35,"X")=0, "+", "-") ),
  IF(
    $A35&lt;W$1,
    "O",
    IF( OFFSET(W$1, COLUMN(W35)-1, 0)="-", "O", IF(MOD($A35, W$1)=0, "X", "O") )
  )
)</f>
        <v>O</v>
      </c>
      <c r="X35" s="45" t="str">
        <f ca="1">IF(
  $A35=X$1,
  IF( ROW(X35)=2, "+", IF(COUNTIF($B35:W35,"X")=0, "+", "-") ),
  IF(
    $A35&lt;X$1,
    "O",
    IF( OFFSET(X$1, COLUMN(X35)-1, 0)="-", "O", IF(MOD($A35, X$1)=0, "X", "O") )
  )
)</f>
        <v>O</v>
      </c>
      <c r="Y35" s="45" t="str">
        <f ca="1">IF(
  $A35=Y$1,
  IF( ROW(Y35)=2, "+", IF(COUNTIF($B35:X35,"X")=0, "+", "-") ),
  IF(
    $A35&lt;Y$1,
    "O",
    IF( OFFSET(Y$1, COLUMN(Y35)-1, 0)="-", "O", IF(MOD($A35, Y$1)=0, "X", "O") )
  )
)</f>
        <v>O</v>
      </c>
      <c r="Z35" s="45" t="str">
        <f ca="1">IF(
  $A35=Z$1,
  IF( ROW(Z35)=2, "+", IF(COUNTIF($B35:Y35,"X")=0, "+", "-") ),
  IF(
    $A35&lt;Z$1,
    "O",
    IF( OFFSET(Z$1, COLUMN(Z35)-1, 0)="-", "O", IF(MOD($A35, Z$1)=0, "X", "O") )
  )
)</f>
        <v>O</v>
      </c>
      <c r="AA35" s="45" t="str">
        <f ca="1">IF(
  $A35=AA$1,
  IF( ROW(AA35)=2, "+", IF(COUNTIF($B35:Z35,"X")=0, "+", "-") ),
  IF(
    $A35&lt;AA$1,
    "O",
    IF( OFFSET(AA$1, COLUMN(AA35)-1, 0)="-", "O", IF(MOD($A35, AA$1)=0, "X", "O") )
  )
)</f>
        <v>O</v>
      </c>
      <c r="AB35" s="45" t="str">
        <f ca="1">IF(
  $A35=AB$1,
  IF( ROW(AB35)=2, "+", IF(COUNTIF($B35:AA35,"X")=0, "+", "-") ),
  IF(
    $A35&lt;AB$1,
    "O",
    IF( OFFSET(AB$1, COLUMN(AB35)-1, 0)="-", "O", IF(MOD($A35, AB$1)=0, "X", "O") )
  )
)</f>
        <v>O</v>
      </c>
      <c r="AC35" s="44" t="str">
        <f ca="1">IF(
  $A35=AC$1,
  IF( ROW(AC35)=2, "+", IF(COUNTIF($B35:AB35,"X")=0, "+", "-") ),
  IF(
    $A35&lt;AC$1,
    "O",
    IF( OFFSET(AC$1, COLUMN(AC35)-1, 0)="-", "O", IF(MOD($A35, AC$1)=0, "X", "O") )
  )
)</f>
        <v>O</v>
      </c>
      <c r="AD35" s="45" t="str">
        <f ca="1">IF(
  $A35=AD$1,
  IF( ROW(AD35)=2, "+", IF(COUNTIF($B35:AC35,"X")=0, "+", "-") ),
  IF(
    $A35&lt;AD$1,
    "O",
    IF( OFFSET(AD$1, COLUMN(AD35)-1, 0)="-", "O", IF(MOD($A35, AD$1)=0, "X", "O") )
  )
)</f>
        <v>O</v>
      </c>
      <c r="AE35" s="44" t="str">
        <f ca="1">IF(
  $A35=AE$1,
  IF( ROW(AE35)=2, "+", IF(COUNTIF($B35:AD35,"X")=0, "+", "-") ),
  IF(
    $A35&lt;AE$1,
    "O",
    IF( OFFSET(AE$1, COLUMN(AE35)-1, 0)="-", "O", IF(MOD($A35, AE$1)=0, "X", "O") )
  )
)</f>
        <v>O</v>
      </c>
      <c r="AF35" s="45" t="str">
        <f ca="1">IF(
  $A35=AF$1,
  IF( ROW(AF35)=2, "+", IF(COUNTIF($B35:AE35,"X")=0, "+", "-") ),
  IF(
    $A35&lt;AF$1,
    "O",
    IF( OFFSET(AF$1, COLUMN(AF35)-1, 0)="-", "O", IF(MOD($A35, AF$1)=0, "X", "O") )
  )
)</f>
        <v>O</v>
      </c>
      <c r="AG35" s="45" t="str">
        <f ca="1">IF(
  $A35=AG$1,
  IF( ROW(AG35)=2, "+", IF(COUNTIF($B35:AF35,"X")=0, "+", "-") ),
  IF(
    $A35&lt;AG$1,
    "O",
    IF( OFFSET(AG$1, COLUMN(AG35)-1, 0)="-", "O", IF(MOD($A35, AG$1)=0, "X", "O") )
  )
)</f>
        <v>O</v>
      </c>
      <c r="AH35" s="45" t="str">
        <f ca="1">IF(
  $A35=AH$1,
  IF( ROW(AH35)=2, "+", IF(COUNTIF($B35:AG35,"X")=0, "+", "-") ),
  IF(
    $A35&lt;AH$1,
    "O",
    IF( OFFSET(AH$1, COLUMN(AH35)-1, 0)="-", "O", IF(MOD($A35, AH$1)=0, "X", "O") )
  )
)</f>
        <v>O</v>
      </c>
      <c r="AI35" s="45" t="str">
        <f ca="1">IF(
  $A35=AI$1,
  IF( ROW(AI35)=2, "+", IF(COUNTIF($B35:AH35,"X")=0, "+", "-") ),
  IF(
    $A35&lt;AI$1,
    "O",
    IF( OFFSET(AI$1, COLUMN(AI35)-1, 0)="-", "O", IF(MOD($A35, AI$1)=0, "X", "O") )
  )
)</f>
        <v>-</v>
      </c>
      <c r="AJ35" s="45" t="str">
        <f ca="1">IF(
  $A35=AJ$1,
  IF( ROW(AJ35)=2, "+", IF(COUNTIF($B35:AI35,"X")=0, "+", "-") ),
  IF(
    $A35&lt;AJ$1,
    "O",
    IF( OFFSET(AJ$1, COLUMN(AJ35)-1, 0)="-", "O", IF(MOD($A35, AJ$1)=0, "X", "O") )
  )
)</f>
        <v>O</v>
      </c>
      <c r="AK35" s="45" t="str">
        <f ca="1">IF(
  $A35=AK$1,
  IF( ROW(AK35)=2, "+", IF(COUNTIF($B35:AJ35,"X")=0, "+", "-") ),
  IF(
    $A35&lt;AK$1,
    "O",
    IF( OFFSET(AK$1, COLUMN(AK35)-1, 0)="-", "O", IF(MOD($A35, AK$1)=0, "X", "O") )
  )
)</f>
        <v>O</v>
      </c>
      <c r="AL35" s="45" t="str">
        <f ca="1">IF(
  $A35=AL$1,
  IF( ROW(AL35)=2, "+", IF(COUNTIF($B35:AK35,"X")=0, "+", "-") ),
  IF(
    $A35&lt;AL$1,
    "O",
    IF( OFFSET(AL$1, COLUMN(AL35)-1, 0)="-", "O", IF(MOD($A35, AL$1)=0, "X", "O") )
  )
)</f>
        <v>O</v>
      </c>
      <c r="AM35" s="45" t="str">
        <f ca="1">IF(
  $A35=AM$1,
  IF( ROW(AM35)=2, "+", IF(COUNTIF($B35:AL35,"X")=0, "+", "-") ),
  IF(
    $A35&lt;AM$1,
    "O",
    IF( OFFSET(AM$1, COLUMN(AM35)-1, 0)="-", "O", IF(MOD($A35, AM$1)=0, "X", "O") )
  )
)</f>
        <v>O</v>
      </c>
      <c r="AN35" s="45" t="str">
        <f ca="1">IF(
  $A35=AN$1,
  IF( ROW(AN35)=2, "+", IF(COUNTIF($B35:AM35,"X")=0, "+", "-") ),
  IF(
    $A35&lt;AN$1,
    "O",
    IF( OFFSET(AN$1, COLUMN(AN35)-1, 0)="-", "O", IF(MOD($A35, AN$1)=0, "X", "O") )
  )
)</f>
        <v>O</v>
      </c>
      <c r="AO35" s="45" t="str">
        <f ca="1">IF(
  $A35=AO$1,
  IF( ROW(AO35)=2, "+", IF(COUNTIF($B35:AN35,"X")=0, "+", "-") ),
  IF(
    $A35&lt;AO$1,
    "O",
    IF( OFFSET(AO$1, COLUMN(AO35)-1, 0)="-", "O", IF(MOD($A35, AO$1)=0, "X", "O") )
  )
)</f>
        <v>O</v>
      </c>
      <c r="AP35" s="45" t="str">
        <f ca="1">IF(
  $A35=AP$1,
  IF( ROW(AP35)=2, "+", IF(COUNTIF($B35:AO35,"X")=0, "+", "-") ),
  IF(
    $A35&lt;AP$1,
    "O",
    IF( OFFSET(AP$1, COLUMN(AP35)-1, 0)="-", "O", IF(MOD($A35, AP$1)=0, "X", "O") )
  )
)</f>
        <v>O</v>
      </c>
      <c r="AQ35" s="45" t="str">
        <f ca="1">IF(
  $A35=AQ$1,
  IF( ROW(AQ35)=2, "+", IF(COUNTIF($B35:AP35,"X")=0, "+", "-") ),
  IF(
    $A35&lt;AQ$1,
    "O",
    IF( OFFSET(AQ$1, COLUMN(AQ35)-1, 0)="-", "O", IF(MOD($A35, AQ$1)=0, "X", "O") )
  )
)</f>
        <v>O</v>
      </c>
      <c r="AR35" s="45" t="str">
        <f ca="1">IF(
  $A35=AR$1,
  IF( ROW(AR35)=2, "+", IF(COUNTIF($B35:AQ35,"X")=0, "+", "-") ),
  IF(
    $A35&lt;AR$1,
    "O",
    IF( OFFSET(AR$1, COLUMN(AR35)-1, 0)="-", "O", IF(MOD($A35, AR$1)=0, "X", "O") )
  )
)</f>
        <v>O</v>
      </c>
      <c r="AS35" s="45" t="str">
        <f ca="1">IF(
  $A35=AS$1,
  IF( ROW(AS35)=2, "+", IF(COUNTIF($B35:AR35,"X")=0, "+", "-") ),
  IF(
    $A35&lt;AS$1,
    "O",
    IF( OFFSET(AS$1, COLUMN(AS35)-1, 0)="-", "O", IF(MOD($A35, AS$1)=0, "X", "O") )
  )
)</f>
        <v>O</v>
      </c>
      <c r="AT35" s="45" t="str">
        <f ca="1">IF(
  $A35=AT$1,
  IF( ROW(AT35)=2, "+", IF(COUNTIF($B35:AS35,"X")=0, "+", "-") ),
  IF(
    $A35&lt;AT$1,
    "O",
    IF( OFFSET(AT$1, COLUMN(AT35)-1, 0)="-", "O", IF(MOD($A35, AT$1)=0, "X", "O") )
  )
)</f>
        <v>O</v>
      </c>
      <c r="AU35" s="45" t="str">
        <f ca="1">IF(
  $A35=AU$1,
  IF( ROW(AU35)=2, "+", IF(COUNTIF($B35:AT35,"X")=0, "+", "-") ),
  IF(
    $A35&lt;AU$1,
    "O",
    IF( OFFSET(AU$1, COLUMN(AU35)-1, 0)="-", "O", IF(MOD($A35, AU$1)=0, "X", "O") )
  )
)</f>
        <v>O</v>
      </c>
      <c r="AV35" s="45" t="str">
        <f ca="1">IF(
  $A35=AV$1,
  IF( ROW(AV35)=2, "+", IF(COUNTIF($B35:AU35,"X")=0, "+", "-") ),
  IF(
    $A35&lt;AV$1,
    "O",
    IF( OFFSET(AV$1, COLUMN(AV35)-1, 0)="-", "O", IF(MOD($A35, AV$1)=0, "X", "O") )
  )
)</f>
        <v>O</v>
      </c>
      <c r="AW35" s="45" t="str">
        <f ca="1">IF(
  $A35=AW$1,
  IF( ROW(AW35)=2, "+", IF(COUNTIF($B35:AV35,"X")=0, "+", "-") ),
  IF(
    $A35&lt;AW$1,
    "O",
    IF( OFFSET(AW$1, COLUMN(AW35)-1, 0)="-", "O", IF(MOD($A35, AW$1)=0, "X", "O") )
  )
)</f>
        <v>O</v>
      </c>
      <c r="AX35" s="45" t="str">
        <f ca="1">IF(
  $A35=AX$1,
  IF( ROW(AX35)=2, "+", IF(COUNTIF($B35:AW35,"X")=0, "+", "-") ),
  IF(
    $A35&lt;AX$1,
    "O",
    IF( OFFSET(AX$1, COLUMN(AX35)-1, 0)="-", "O", IF(MOD($A35, AX$1)=0, "X", "O") )
  )
)</f>
        <v>O</v>
      </c>
      <c r="AY35" s="45" t="str">
        <f ca="1">IF(
  $A35=AY$1,
  IF( ROW(AY35)=2, "+", IF(COUNTIF($B35:AX35,"X")=0, "+", "-") ),
  IF(
    $A35&lt;AY$1,
    "O",
    IF( OFFSET(AY$1, COLUMN(AY35)-1, 0)="-", "O", IF(MOD($A35, AY$1)=0, "X", "O") )
  )
)</f>
        <v>O</v>
      </c>
      <c r="AZ35" s="45" t="str">
        <f ca="1">IF(
  $A35=AZ$1,
  IF( ROW(AZ35)=2, "+", IF(COUNTIF($B35:AY35,"X")=0, "+", "-") ),
  IF(
    $A35&lt;AZ$1,
    "O",
    IF( OFFSET(AZ$1, COLUMN(AZ35)-1, 0)="-", "O", IF(MOD($A35, AZ$1)=0, "X", "O") )
  )
)</f>
        <v>O</v>
      </c>
      <c r="BA35" s="45" t="str">
        <f ca="1">IF(
  $A35=BA$1,
  IF( ROW(BA35)=2, "+", IF(COUNTIF($B35:AZ35,"X")=0, "+", "-") ),
  IF(
    $A35&lt;BA$1,
    "O",
    IF( OFFSET(BA$1, COLUMN(BA35)-1, 0)="-", "O", IF(MOD($A35, BA$1)=0, "X", "O") )
  )
)</f>
        <v>O</v>
      </c>
      <c r="BB35" s="45" t="str">
        <f ca="1">IF(
  $A35=BB$1,
  IF( ROW(BB35)=2, "+", IF(COUNTIF($B35:BA35,"X")=0, "+", "-") ),
  IF(
    $A35&lt;BB$1,
    "O",
    IF( OFFSET(BB$1, COLUMN(BB35)-1, 0)="-", "O", IF(MOD($A35, BB$1)=0, "X", "O") )
  )
)</f>
        <v>O</v>
      </c>
      <c r="BC35" s="45" t="str">
        <f ca="1">IF(
  $A35=BC$1,
  IF( ROW(BC35)=2, "+", IF(COUNTIF($B35:BB35,"X")=0, "+", "-") ),
  IF(
    $A35&lt;BC$1,
    "O",
    IF( OFFSET(BC$1, COLUMN(BC35)-1, 0)="-", "O", IF(MOD($A35, BC$1)=0, "X", "O") )
  )
)</f>
        <v>O</v>
      </c>
      <c r="BD35" s="45" t="str">
        <f ca="1">IF(
  $A35=BD$1,
  IF( ROW(BD35)=2, "+", IF(COUNTIF($B35:BC35,"X")=0, "+", "-") ),
  IF(
    $A35&lt;BD$1,
    "O",
    IF( OFFSET(BD$1, COLUMN(BD35)-1, 0)="-", "O", IF(MOD($A35, BD$1)=0, "X", "O") )
  )
)</f>
        <v>O</v>
      </c>
      <c r="BE35" s="45" t="str">
        <f ca="1">IF(
  $A35=BE$1,
  IF( ROW(BE35)=2, "+", IF(COUNTIF($B35:BD35,"X")=0, "+", "-") ),
  IF(
    $A35&lt;BE$1,
    "O",
    IF( OFFSET(BE$1, COLUMN(BE35)-1, 0)="-", "O", IF(MOD($A35, BE$1)=0, "X", "O") )
  )
)</f>
        <v>O</v>
      </c>
      <c r="BF35" s="45" t="str">
        <f ca="1">IF(
  $A35=BF$1,
  IF( ROW(BF35)=2, "+", IF(COUNTIF($B35:BE35,"X")=0, "+", "-") ),
  IF(
    $A35&lt;BF$1,
    "O",
    IF( OFFSET(BF$1, COLUMN(BF35)-1, 0)="-", "O", IF(MOD($A35, BF$1)=0, "X", "O") )
  )
)</f>
        <v>O</v>
      </c>
      <c r="BG35" s="45" t="str">
        <f ca="1">IF(
  $A35=BG$1,
  IF( ROW(BG35)=2, "+", IF(COUNTIF($B35:BF35,"X")=0, "+", "-") ),
  IF(
    $A35&lt;BG$1,
    "O",
    IF( OFFSET(BG$1, COLUMN(BG35)-1, 0)="-", "O", IF(MOD($A35, BG$1)=0, "X", "O") )
  )
)</f>
        <v>O</v>
      </c>
      <c r="BH35" s="45" t="str">
        <f ca="1">IF(
  $A35=BH$1,
  IF( ROW(BH35)=2, "+", IF(COUNTIF($B35:BG35,"X")=0, "+", "-") ),
  IF(
    $A35&lt;BH$1,
    "O",
    IF( OFFSET(BH$1, COLUMN(BH35)-1, 0)="-", "O", IF(MOD($A35, BH$1)=0, "X", "O") )
  )
)</f>
        <v>O</v>
      </c>
    </row>
    <row r="36" spans="1:60" s="46" customFormat="1" x14ac:dyDescent="0.25">
      <c r="A36">
        <v>36</v>
      </c>
      <c r="B36" s="44" t="str">
        <f ca="1">IF(
  $A36=B$1,
  IF( ROW(B36)=2, "+", IF(COUNTIF(A36:$B36,"X")=0, "+", "-") ),
  IF(
    $A36&lt;B$1,
    "O",
    IF( OFFSET(B$1, COLUMN(B36)-1, 0)="-", "O", IF(MOD($A36, B$1)=0, "X", "O") )
  )
)</f>
        <v>X</v>
      </c>
      <c r="C36" s="44" t="str">
        <f ca="1">IF(
  $A36=C$1,
  IF( ROW(C36)=2, "+", IF(COUNTIF(B36:$B36,"X")=0, "+", "-") ),
  IF(
    $A36&lt;C$1,
    "O",
    IF( OFFSET(C$1, COLUMN(C36)-1, 0)="-", "O", IF(MOD($A36, C$1)=0, "X", "O") )
  )
)</f>
        <v>X</v>
      </c>
      <c r="D36" s="45" t="str">
        <f ca="1">IF(
  $A36=D$1,
  IF( ROW(D36)=2, "+", IF(COUNTIF($B36:C36,"X")=0, "+", "-") ),
  IF(
    $A36&lt;D$1,
    "O",
    IF( OFFSET(D$1, COLUMN(D36)-1, 0)="-", "O", IF(MOD($A36, D$1)=0, "X", "O") )
  )
)</f>
        <v>O</v>
      </c>
      <c r="E36" s="44" t="str">
        <f ca="1">IF(
  $A36=E$1,
  IF( ROW(E36)=2, "+", IF(COUNTIF($B36:D36,"X")=0, "+", "-") ),
  IF(
    $A36&lt;E$1,
    "O",
    IF( OFFSET(E$1, COLUMN(E36)-1, 0)="-", "O", IF(MOD($A36, E$1)=0, "X", "O") )
  )
)</f>
        <v>O</v>
      </c>
      <c r="F36" s="45" t="str">
        <f ca="1">IF(
  $A36=F$1,
  IF( ROW(F36)=2, "+", IF(COUNTIF($B36:E36,"X")=0, "+", "-") ),
  IF(
    $A36&lt;F$1,
    "O",
    IF( OFFSET(F$1, COLUMN(F36)-1, 0)="-", "O", IF(MOD($A36, F$1)=0, "X", "O") )
  )
)</f>
        <v>O</v>
      </c>
      <c r="G36" s="44" t="str">
        <f ca="1">IF(
  $A36=G$1,
  IF( ROW(G36)=2, "+", IF(COUNTIF($B36:F36,"X")=0, "+", "-") ),
  IF(
    $A36&lt;G$1,
    "O",
    IF( OFFSET(G$1, COLUMN(G36)-1, 0)="-", "O", IF(MOD($A36, G$1)=0, "X", "O") )
  )
)</f>
        <v>O</v>
      </c>
      <c r="H36" s="45" t="str">
        <f ca="1">IF(
  $A36=H$1,
  IF( ROW(H36)=2, "+", IF(COUNTIF($B36:G36,"X")=0, "+", "-") ),
  IF(
    $A36&lt;H$1,
    "O",
    IF( OFFSET(H$1, COLUMN(H36)-1, 0)="-", "O", IF(MOD($A36, H$1)=0, "X", "O") )
  )
)</f>
        <v>O</v>
      </c>
      <c r="I36" s="45" t="str">
        <f ca="1">IF(
  $A36=I$1,
  IF( ROW(I36)=2, "+", IF(COUNTIF($B36:H36,"X")=0, "+", "-") ),
  IF(
    $A36&lt;I$1,
    "O",
    IF( OFFSET(I$1, COLUMN(I36)-1, 0)="-", "O", IF(MOD($A36, I$1)=0, "X", "O") )
  )
)</f>
        <v>O</v>
      </c>
      <c r="J36" s="45" t="str">
        <f ca="1">IF(
  $A36=J$1,
  IF( ROW(J36)=2, "+", IF(COUNTIF($B36:I36,"X")=0, "+", "-") ),
  IF(
    $A36&lt;J$1,
    "O",
    IF( OFFSET(J$1, COLUMN(J36)-1, 0)="-", "O", IF(MOD($A36, J$1)=0, "X", "O") )
  )
)</f>
        <v>O</v>
      </c>
      <c r="K36" s="44" t="str">
        <f ca="1">IF(
  $A36=K$1,
  IF( ROW(K36)=2, "+", IF(COUNTIF($B36:J36,"X")=0, "+", "-") ),
  IF(
    $A36&lt;K$1,
    "O",
    IF( OFFSET(K$1, COLUMN(K36)-1, 0)="-", "O", IF(MOD($A36, K$1)=0, "X", "O") )
  )
)</f>
        <v>O</v>
      </c>
      <c r="L36" s="45" t="str">
        <f ca="1">IF(
  $A36=L$1,
  IF( ROW(L36)=2, "+", IF(COUNTIF($B36:K36,"X")=0, "+", "-") ),
  IF(
    $A36&lt;L$1,
    "O",
    IF( OFFSET(L$1, COLUMN(L36)-1, 0)="-", "O", IF(MOD($A36, L$1)=0, "X", "O") )
  )
)</f>
        <v>O</v>
      </c>
      <c r="M36" s="44" t="str">
        <f ca="1">IF(
  $A36=M$1,
  IF( ROW(M36)=2, "+", IF(COUNTIF($B36:L36,"X")=0, "+", "-") ),
  IF(
    $A36&lt;M$1,
    "O",
    IF( OFFSET(M$1, COLUMN(M36)-1, 0)="-", "O", IF(MOD($A36, M$1)=0, "X", "O") )
  )
)</f>
        <v>O</v>
      </c>
      <c r="N36" s="45" t="str">
        <f ca="1">IF(
  $A36=N$1,
  IF( ROW(N36)=2, "+", IF(COUNTIF($B36:M36,"X")=0, "+", "-") ),
  IF(
    $A36&lt;N$1,
    "O",
    IF( OFFSET(N$1, COLUMN(N36)-1, 0)="-", "O", IF(MOD($A36, N$1)=0, "X", "O") )
  )
)</f>
        <v>O</v>
      </c>
      <c r="O36" s="45" t="str">
        <f ca="1">IF(
  $A36=O$1,
  IF( ROW(O36)=2, "+", IF(COUNTIF($B36:N36,"X")=0, "+", "-") ),
  IF(
    $A36&lt;O$1,
    "O",
    IF( OFFSET(O$1, COLUMN(O36)-1, 0)="-", "O", IF(MOD($A36, O$1)=0, "X", "O") )
  )
)</f>
        <v>O</v>
      </c>
      <c r="P36" s="45" t="str">
        <f ca="1">IF(
  $A36=P$1,
  IF( ROW(P36)=2, "+", IF(COUNTIF($B36:O36,"X")=0, "+", "-") ),
  IF(
    $A36&lt;P$1,
    "O",
    IF( OFFSET(P$1, COLUMN(P36)-1, 0)="-", "O", IF(MOD($A36, P$1)=0, "X", "O") )
  )
)</f>
        <v>O</v>
      </c>
      <c r="Q36" s="44" t="str">
        <f ca="1">IF(
  $A36=Q$1,
  IF( ROW(Q36)=2, "+", IF(COUNTIF($B36:P36,"X")=0, "+", "-") ),
  IF(
    $A36&lt;Q$1,
    "O",
    IF( OFFSET(Q$1, COLUMN(Q36)-1, 0)="-", "O", IF(MOD($A36, Q$1)=0, "X", "O") )
  )
)</f>
        <v>O</v>
      </c>
      <c r="R36" s="45" t="str">
        <f ca="1">IF(
  $A36=R$1,
  IF( ROW(R36)=2, "+", IF(COUNTIF($B36:Q36,"X")=0, "+", "-") ),
  IF(
    $A36&lt;R$1,
    "O",
    IF( OFFSET(R$1, COLUMN(R36)-1, 0)="-", "O", IF(MOD($A36, R$1)=0, "X", "O") )
  )
)</f>
        <v>O</v>
      </c>
      <c r="S36" s="44" t="str">
        <f ca="1">IF(
  $A36=S$1,
  IF( ROW(S36)=2, "+", IF(COUNTIF($B36:R36,"X")=0, "+", "-") ),
  IF(
    $A36&lt;S$1,
    "O",
    IF( OFFSET(S$1, COLUMN(S36)-1, 0)="-", "O", IF(MOD($A36, S$1)=0, "X", "O") )
  )
)</f>
        <v>O</v>
      </c>
      <c r="T36" s="45" t="str">
        <f ca="1">IF(
  $A36=T$1,
  IF( ROW(T36)=2, "+", IF(COUNTIF($B36:S36,"X")=0, "+", "-") ),
  IF(
    $A36&lt;T$1,
    "O",
    IF( OFFSET(T$1, COLUMN(T36)-1, 0)="-", "O", IF(MOD($A36, T$1)=0, "X", "O") )
  )
)</f>
        <v>O</v>
      </c>
      <c r="U36" s="45" t="str">
        <f ca="1">IF(
  $A36=U$1,
  IF( ROW(U36)=2, "+", IF(COUNTIF($B36:T36,"X")=0, "+", "-") ),
  IF(
    $A36&lt;U$1,
    "O",
    IF( OFFSET(U$1, COLUMN(U36)-1, 0)="-", "O", IF(MOD($A36, U$1)=0, "X", "O") )
  )
)</f>
        <v>O</v>
      </c>
      <c r="V36" s="45" t="str">
        <f ca="1">IF(
  $A36=V$1,
  IF( ROW(V36)=2, "+", IF(COUNTIF($B36:U36,"X")=0, "+", "-") ),
  IF(
    $A36&lt;V$1,
    "O",
    IF( OFFSET(V$1, COLUMN(V36)-1, 0)="-", "O", IF(MOD($A36, V$1)=0, "X", "O") )
  )
)</f>
        <v>O</v>
      </c>
      <c r="W36" s="44" t="str">
        <f ca="1">IF(
  $A36=W$1,
  IF( ROW(W36)=2, "+", IF(COUNTIF($B36:V36,"X")=0, "+", "-") ),
  IF(
    $A36&lt;W$1,
    "O",
    IF( OFFSET(W$1, COLUMN(W36)-1, 0)="-", "O", IF(MOD($A36, W$1)=0, "X", "O") )
  )
)</f>
        <v>O</v>
      </c>
      <c r="X36" s="45" t="str">
        <f ca="1">IF(
  $A36=X$1,
  IF( ROW(X36)=2, "+", IF(COUNTIF($B36:W36,"X")=0, "+", "-") ),
  IF(
    $A36&lt;X$1,
    "O",
    IF( OFFSET(X$1, COLUMN(X36)-1, 0)="-", "O", IF(MOD($A36, X$1)=0, "X", "O") )
  )
)</f>
        <v>O</v>
      </c>
      <c r="Y36" s="45" t="str">
        <f ca="1">IF(
  $A36=Y$1,
  IF( ROW(Y36)=2, "+", IF(COUNTIF($B36:X36,"X")=0, "+", "-") ),
  IF(
    $A36&lt;Y$1,
    "O",
    IF( OFFSET(Y$1, COLUMN(Y36)-1, 0)="-", "O", IF(MOD($A36, Y$1)=0, "X", "O") )
  )
)</f>
        <v>O</v>
      </c>
      <c r="Z36" s="45" t="str">
        <f ca="1">IF(
  $A36=Z$1,
  IF( ROW(Z36)=2, "+", IF(COUNTIF($B36:Y36,"X")=0, "+", "-") ),
  IF(
    $A36&lt;Z$1,
    "O",
    IF( OFFSET(Z$1, COLUMN(Z36)-1, 0)="-", "O", IF(MOD($A36, Z$1)=0, "X", "O") )
  )
)</f>
        <v>O</v>
      </c>
      <c r="AA36" s="45" t="str">
        <f ca="1">IF(
  $A36=AA$1,
  IF( ROW(AA36)=2, "+", IF(COUNTIF($B36:Z36,"X")=0, "+", "-") ),
  IF(
    $A36&lt;AA$1,
    "O",
    IF( OFFSET(AA$1, COLUMN(AA36)-1, 0)="-", "O", IF(MOD($A36, AA$1)=0, "X", "O") )
  )
)</f>
        <v>O</v>
      </c>
      <c r="AB36" s="45" t="str">
        <f ca="1">IF(
  $A36=AB$1,
  IF( ROW(AB36)=2, "+", IF(COUNTIF($B36:AA36,"X")=0, "+", "-") ),
  IF(
    $A36&lt;AB$1,
    "O",
    IF( OFFSET(AB$1, COLUMN(AB36)-1, 0)="-", "O", IF(MOD($A36, AB$1)=0, "X", "O") )
  )
)</f>
        <v>O</v>
      </c>
      <c r="AC36" s="44" t="str">
        <f ca="1">IF(
  $A36=AC$1,
  IF( ROW(AC36)=2, "+", IF(COUNTIF($B36:AB36,"X")=0, "+", "-") ),
  IF(
    $A36&lt;AC$1,
    "O",
    IF( OFFSET(AC$1, COLUMN(AC36)-1, 0)="-", "O", IF(MOD($A36, AC$1)=0, "X", "O") )
  )
)</f>
        <v>O</v>
      </c>
      <c r="AD36" s="45" t="str">
        <f ca="1">IF(
  $A36=AD$1,
  IF( ROW(AD36)=2, "+", IF(COUNTIF($B36:AC36,"X")=0, "+", "-") ),
  IF(
    $A36&lt;AD$1,
    "O",
    IF( OFFSET(AD$1, COLUMN(AD36)-1, 0)="-", "O", IF(MOD($A36, AD$1)=0, "X", "O") )
  )
)</f>
        <v>O</v>
      </c>
      <c r="AE36" s="44" t="str">
        <f ca="1">IF(
  $A36=AE$1,
  IF( ROW(AE36)=2, "+", IF(COUNTIF($B36:AD36,"X")=0, "+", "-") ),
  IF(
    $A36&lt;AE$1,
    "O",
    IF( OFFSET(AE$1, COLUMN(AE36)-1, 0)="-", "O", IF(MOD($A36, AE$1)=0, "X", "O") )
  )
)</f>
        <v>O</v>
      </c>
      <c r="AF36" s="45" t="str">
        <f ca="1">IF(
  $A36=AF$1,
  IF( ROW(AF36)=2, "+", IF(COUNTIF($B36:AE36,"X")=0, "+", "-") ),
  IF(
    $A36&lt;AF$1,
    "O",
    IF( OFFSET(AF$1, COLUMN(AF36)-1, 0)="-", "O", IF(MOD($A36, AF$1)=0, "X", "O") )
  )
)</f>
        <v>O</v>
      </c>
      <c r="AG36" s="45" t="str">
        <f ca="1">IF(
  $A36=AG$1,
  IF( ROW(AG36)=2, "+", IF(COUNTIF($B36:AF36,"X")=0, "+", "-") ),
  IF(
    $A36&lt;AG$1,
    "O",
    IF( OFFSET(AG$1, COLUMN(AG36)-1, 0)="-", "O", IF(MOD($A36, AG$1)=0, "X", "O") )
  )
)</f>
        <v>O</v>
      </c>
      <c r="AH36" s="45" t="str">
        <f ca="1">IF(
  $A36=AH$1,
  IF( ROW(AH36)=2, "+", IF(COUNTIF($B36:AG36,"X")=0, "+", "-") ),
  IF(
    $A36&lt;AH$1,
    "O",
    IF( OFFSET(AH$1, COLUMN(AH36)-1, 0)="-", "O", IF(MOD($A36, AH$1)=0, "X", "O") )
  )
)</f>
        <v>O</v>
      </c>
      <c r="AI36" s="45" t="str">
        <f ca="1">IF(
  $A36=AI$1,
  IF( ROW(AI36)=2, "+", IF(COUNTIF($B36:AH36,"X")=0, "+", "-") ),
  IF(
    $A36&lt;AI$1,
    "O",
    IF( OFFSET(AI$1, COLUMN(AI36)-1, 0)="-", "O", IF(MOD($A36, AI$1)=0, "X", "O") )
  )
)</f>
        <v>O</v>
      </c>
      <c r="AJ36" s="45" t="str">
        <f ca="1">IF(
  $A36=AJ$1,
  IF( ROW(AJ36)=2, "+", IF(COUNTIF($B36:AI36,"X")=0, "+", "-") ),
  IF(
    $A36&lt;AJ$1,
    "O",
    IF( OFFSET(AJ$1, COLUMN(AJ36)-1, 0)="-", "O", IF(MOD($A36, AJ$1)=0, "X", "O") )
  )
)</f>
        <v>-</v>
      </c>
      <c r="AK36" s="45" t="str">
        <f ca="1">IF(
  $A36=AK$1,
  IF( ROW(AK36)=2, "+", IF(COUNTIF($B36:AJ36,"X")=0, "+", "-") ),
  IF(
    $A36&lt;AK$1,
    "O",
    IF( OFFSET(AK$1, COLUMN(AK36)-1, 0)="-", "O", IF(MOD($A36, AK$1)=0, "X", "O") )
  )
)</f>
        <v>O</v>
      </c>
      <c r="AL36" s="45" t="str">
        <f ca="1">IF(
  $A36=AL$1,
  IF( ROW(AL36)=2, "+", IF(COUNTIF($B36:AK36,"X")=0, "+", "-") ),
  IF(
    $A36&lt;AL$1,
    "O",
    IF( OFFSET(AL$1, COLUMN(AL36)-1, 0)="-", "O", IF(MOD($A36, AL$1)=0, "X", "O") )
  )
)</f>
        <v>O</v>
      </c>
      <c r="AM36" s="45" t="str">
        <f ca="1">IF(
  $A36=AM$1,
  IF( ROW(AM36)=2, "+", IF(COUNTIF($B36:AL36,"X")=0, "+", "-") ),
  IF(
    $A36&lt;AM$1,
    "O",
    IF( OFFSET(AM$1, COLUMN(AM36)-1, 0)="-", "O", IF(MOD($A36, AM$1)=0, "X", "O") )
  )
)</f>
        <v>O</v>
      </c>
      <c r="AN36" s="45" t="str">
        <f ca="1">IF(
  $A36=AN$1,
  IF( ROW(AN36)=2, "+", IF(COUNTIF($B36:AM36,"X")=0, "+", "-") ),
  IF(
    $A36&lt;AN$1,
    "O",
    IF( OFFSET(AN$1, COLUMN(AN36)-1, 0)="-", "O", IF(MOD($A36, AN$1)=0, "X", "O") )
  )
)</f>
        <v>O</v>
      </c>
      <c r="AO36" s="45" t="str">
        <f ca="1">IF(
  $A36=AO$1,
  IF( ROW(AO36)=2, "+", IF(COUNTIF($B36:AN36,"X")=0, "+", "-") ),
  IF(
    $A36&lt;AO$1,
    "O",
    IF( OFFSET(AO$1, COLUMN(AO36)-1, 0)="-", "O", IF(MOD($A36, AO$1)=0, "X", "O") )
  )
)</f>
        <v>O</v>
      </c>
      <c r="AP36" s="45" t="str">
        <f ca="1">IF(
  $A36=AP$1,
  IF( ROW(AP36)=2, "+", IF(COUNTIF($B36:AO36,"X")=0, "+", "-") ),
  IF(
    $A36&lt;AP$1,
    "O",
    IF( OFFSET(AP$1, COLUMN(AP36)-1, 0)="-", "O", IF(MOD($A36, AP$1)=0, "X", "O") )
  )
)</f>
        <v>O</v>
      </c>
      <c r="AQ36" s="45" t="str">
        <f ca="1">IF(
  $A36=AQ$1,
  IF( ROW(AQ36)=2, "+", IF(COUNTIF($B36:AP36,"X")=0, "+", "-") ),
  IF(
    $A36&lt;AQ$1,
    "O",
    IF( OFFSET(AQ$1, COLUMN(AQ36)-1, 0)="-", "O", IF(MOD($A36, AQ$1)=0, "X", "O") )
  )
)</f>
        <v>O</v>
      </c>
      <c r="AR36" s="45" t="str">
        <f ca="1">IF(
  $A36=AR$1,
  IF( ROW(AR36)=2, "+", IF(COUNTIF($B36:AQ36,"X")=0, "+", "-") ),
  IF(
    $A36&lt;AR$1,
    "O",
    IF( OFFSET(AR$1, COLUMN(AR36)-1, 0)="-", "O", IF(MOD($A36, AR$1)=0, "X", "O") )
  )
)</f>
        <v>O</v>
      </c>
      <c r="AS36" s="45" t="str">
        <f ca="1">IF(
  $A36=AS$1,
  IF( ROW(AS36)=2, "+", IF(COUNTIF($B36:AR36,"X")=0, "+", "-") ),
  IF(
    $A36&lt;AS$1,
    "O",
    IF( OFFSET(AS$1, COLUMN(AS36)-1, 0)="-", "O", IF(MOD($A36, AS$1)=0, "X", "O") )
  )
)</f>
        <v>O</v>
      </c>
      <c r="AT36" s="45" t="str">
        <f ca="1">IF(
  $A36=AT$1,
  IF( ROW(AT36)=2, "+", IF(COUNTIF($B36:AS36,"X")=0, "+", "-") ),
  IF(
    $A36&lt;AT$1,
    "O",
    IF( OFFSET(AT$1, COLUMN(AT36)-1, 0)="-", "O", IF(MOD($A36, AT$1)=0, "X", "O") )
  )
)</f>
        <v>O</v>
      </c>
      <c r="AU36" s="45" t="str">
        <f ca="1">IF(
  $A36=AU$1,
  IF( ROW(AU36)=2, "+", IF(COUNTIF($B36:AT36,"X")=0, "+", "-") ),
  IF(
    $A36&lt;AU$1,
    "O",
    IF( OFFSET(AU$1, COLUMN(AU36)-1, 0)="-", "O", IF(MOD($A36, AU$1)=0, "X", "O") )
  )
)</f>
        <v>O</v>
      </c>
      <c r="AV36" s="45" t="str">
        <f ca="1">IF(
  $A36=AV$1,
  IF( ROW(AV36)=2, "+", IF(COUNTIF($B36:AU36,"X")=0, "+", "-") ),
  IF(
    $A36&lt;AV$1,
    "O",
    IF( OFFSET(AV$1, COLUMN(AV36)-1, 0)="-", "O", IF(MOD($A36, AV$1)=0, "X", "O") )
  )
)</f>
        <v>O</v>
      </c>
      <c r="AW36" s="45" t="str">
        <f ca="1">IF(
  $A36=AW$1,
  IF( ROW(AW36)=2, "+", IF(COUNTIF($B36:AV36,"X")=0, "+", "-") ),
  IF(
    $A36&lt;AW$1,
    "O",
    IF( OFFSET(AW$1, COLUMN(AW36)-1, 0)="-", "O", IF(MOD($A36, AW$1)=0, "X", "O") )
  )
)</f>
        <v>O</v>
      </c>
      <c r="AX36" s="45" t="str">
        <f ca="1">IF(
  $A36=AX$1,
  IF( ROW(AX36)=2, "+", IF(COUNTIF($B36:AW36,"X")=0, "+", "-") ),
  IF(
    $A36&lt;AX$1,
    "O",
    IF( OFFSET(AX$1, COLUMN(AX36)-1, 0)="-", "O", IF(MOD($A36, AX$1)=0, "X", "O") )
  )
)</f>
        <v>O</v>
      </c>
      <c r="AY36" s="45" t="str">
        <f ca="1">IF(
  $A36=AY$1,
  IF( ROW(AY36)=2, "+", IF(COUNTIF($B36:AX36,"X")=0, "+", "-") ),
  IF(
    $A36&lt;AY$1,
    "O",
    IF( OFFSET(AY$1, COLUMN(AY36)-1, 0)="-", "O", IF(MOD($A36, AY$1)=0, "X", "O") )
  )
)</f>
        <v>O</v>
      </c>
      <c r="AZ36" s="45" t="str">
        <f ca="1">IF(
  $A36=AZ$1,
  IF( ROW(AZ36)=2, "+", IF(COUNTIF($B36:AY36,"X")=0, "+", "-") ),
  IF(
    $A36&lt;AZ$1,
    "O",
    IF( OFFSET(AZ$1, COLUMN(AZ36)-1, 0)="-", "O", IF(MOD($A36, AZ$1)=0, "X", "O") )
  )
)</f>
        <v>O</v>
      </c>
      <c r="BA36" s="45" t="str">
        <f ca="1">IF(
  $A36=BA$1,
  IF( ROW(BA36)=2, "+", IF(COUNTIF($B36:AZ36,"X")=0, "+", "-") ),
  IF(
    $A36&lt;BA$1,
    "O",
    IF( OFFSET(BA$1, COLUMN(BA36)-1, 0)="-", "O", IF(MOD($A36, BA$1)=0, "X", "O") )
  )
)</f>
        <v>O</v>
      </c>
      <c r="BB36" s="45" t="str">
        <f ca="1">IF(
  $A36=BB$1,
  IF( ROW(BB36)=2, "+", IF(COUNTIF($B36:BA36,"X")=0, "+", "-") ),
  IF(
    $A36&lt;BB$1,
    "O",
    IF( OFFSET(BB$1, COLUMN(BB36)-1, 0)="-", "O", IF(MOD($A36, BB$1)=0, "X", "O") )
  )
)</f>
        <v>O</v>
      </c>
      <c r="BC36" s="45" t="str">
        <f ca="1">IF(
  $A36=BC$1,
  IF( ROW(BC36)=2, "+", IF(COUNTIF($B36:BB36,"X")=0, "+", "-") ),
  IF(
    $A36&lt;BC$1,
    "O",
    IF( OFFSET(BC$1, COLUMN(BC36)-1, 0)="-", "O", IF(MOD($A36, BC$1)=0, "X", "O") )
  )
)</f>
        <v>O</v>
      </c>
      <c r="BD36" s="45" t="str">
        <f ca="1">IF(
  $A36=BD$1,
  IF( ROW(BD36)=2, "+", IF(COUNTIF($B36:BC36,"X")=0, "+", "-") ),
  IF(
    $A36&lt;BD$1,
    "O",
    IF( OFFSET(BD$1, COLUMN(BD36)-1, 0)="-", "O", IF(MOD($A36, BD$1)=0, "X", "O") )
  )
)</f>
        <v>O</v>
      </c>
      <c r="BE36" s="45" t="str">
        <f ca="1">IF(
  $A36=BE$1,
  IF( ROW(BE36)=2, "+", IF(COUNTIF($B36:BD36,"X")=0, "+", "-") ),
  IF(
    $A36&lt;BE$1,
    "O",
    IF( OFFSET(BE$1, COLUMN(BE36)-1, 0)="-", "O", IF(MOD($A36, BE$1)=0, "X", "O") )
  )
)</f>
        <v>O</v>
      </c>
      <c r="BF36" s="45" t="str">
        <f ca="1">IF(
  $A36=BF$1,
  IF( ROW(BF36)=2, "+", IF(COUNTIF($B36:BE36,"X")=0, "+", "-") ),
  IF(
    $A36&lt;BF$1,
    "O",
    IF( OFFSET(BF$1, COLUMN(BF36)-1, 0)="-", "O", IF(MOD($A36, BF$1)=0, "X", "O") )
  )
)</f>
        <v>O</v>
      </c>
      <c r="BG36" s="45" t="str">
        <f ca="1">IF(
  $A36=BG$1,
  IF( ROW(BG36)=2, "+", IF(COUNTIF($B36:BF36,"X")=0, "+", "-") ),
  IF(
    $A36&lt;BG$1,
    "O",
    IF( OFFSET(BG$1, COLUMN(BG36)-1, 0)="-", "O", IF(MOD($A36, BG$1)=0, "X", "O") )
  )
)</f>
        <v>O</v>
      </c>
      <c r="BH36" s="45" t="str">
        <f ca="1">IF(
  $A36=BH$1,
  IF( ROW(BH36)=2, "+", IF(COUNTIF($B36:BG36,"X")=0, "+", "-") ),
  IF(
    $A36&lt;BH$1,
    "O",
    IF( OFFSET(BH$1, COLUMN(BH36)-1, 0)="-", "O", IF(MOD($A36, BH$1)=0, "X", "O") )
  )
)</f>
        <v>O</v>
      </c>
    </row>
    <row r="37" spans="1:60" s="46" customFormat="1" x14ac:dyDescent="0.25">
      <c r="A37">
        <v>37</v>
      </c>
      <c r="B37" s="44" t="str">
        <f ca="1">IF(
  $A37=B$1,
  IF( ROW(B37)=2, "+", IF(COUNTIF(A37:$B37,"X")=0, "+", "-") ),
  IF(
    $A37&lt;B$1,
    "O",
    IF( OFFSET(B$1, COLUMN(B37)-1, 0)="-", "O", IF(MOD($A37, B$1)=0, "X", "O") )
  )
)</f>
        <v>O</v>
      </c>
      <c r="C37" s="44" t="str">
        <f ca="1">IF(
  $A37=C$1,
  IF( ROW(C37)=2, "+", IF(COUNTIF(B37:$B37,"X")=0, "+", "-") ),
  IF(
    $A37&lt;C$1,
    "O",
    IF( OFFSET(C$1, COLUMN(C37)-1, 0)="-", "O", IF(MOD($A37, C$1)=0, "X", "O") )
  )
)</f>
        <v>O</v>
      </c>
      <c r="D37" s="45" t="str">
        <f ca="1">IF(
  $A37=D$1,
  IF( ROW(D37)=2, "+", IF(COUNTIF($B37:C37,"X")=0, "+", "-") ),
  IF(
    $A37&lt;D$1,
    "O",
    IF( OFFSET(D$1, COLUMN(D37)-1, 0)="-", "O", IF(MOD($A37, D$1)=0, "X", "O") )
  )
)</f>
        <v>O</v>
      </c>
      <c r="E37" s="44" t="str">
        <f ca="1">IF(
  $A37=E$1,
  IF( ROW(E37)=2, "+", IF(COUNTIF($B37:D37,"X")=0, "+", "-") ),
  IF(
    $A37&lt;E$1,
    "O",
    IF( OFFSET(E$1, COLUMN(E37)-1, 0)="-", "O", IF(MOD($A37, E$1)=0, "X", "O") )
  )
)</f>
        <v>O</v>
      </c>
      <c r="F37" s="45" t="str">
        <f ca="1">IF(
  $A37=F$1,
  IF( ROW(F37)=2, "+", IF(COUNTIF($B37:E37,"X")=0, "+", "-") ),
  IF(
    $A37&lt;F$1,
    "O",
    IF( OFFSET(F$1, COLUMN(F37)-1, 0)="-", "O", IF(MOD($A37, F$1)=0, "X", "O") )
  )
)</f>
        <v>O</v>
      </c>
      <c r="G37" s="44" t="str">
        <f ca="1">IF(
  $A37=G$1,
  IF( ROW(G37)=2, "+", IF(COUNTIF($B37:F37,"X")=0, "+", "-") ),
  IF(
    $A37&lt;G$1,
    "O",
    IF( OFFSET(G$1, COLUMN(G37)-1, 0)="-", "O", IF(MOD($A37, G$1)=0, "X", "O") )
  )
)</f>
        <v>O</v>
      </c>
      <c r="H37" s="45" t="str">
        <f ca="1">IF(
  $A37=H$1,
  IF( ROW(H37)=2, "+", IF(COUNTIF($B37:G37,"X")=0, "+", "-") ),
  IF(
    $A37&lt;H$1,
    "O",
    IF( OFFSET(H$1, COLUMN(H37)-1, 0)="-", "O", IF(MOD($A37, H$1)=0, "X", "O") )
  )
)</f>
        <v>O</v>
      </c>
      <c r="I37" s="45" t="str">
        <f ca="1">IF(
  $A37=I$1,
  IF( ROW(I37)=2, "+", IF(COUNTIF($B37:H37,"X")=0, "+", "-") ),
  IF(
    $A37&lt;I$1,
    "O",
    IF( OFFSET(I$1, COLUMN(I37)-1, 0)="-", "O", IF(MOD($A37, I$1)=0, "X", "O") )
  )
)</f>
        <v>O</v>
      </c>
      <c r="J37" s="45" t="str">
        <f ca="1">IF(
  $A37=J$1,
  IF( ROW(J37)=2, "+", IF(COUNTIF($B37:I37,"X")=0, "+", "-") ),
  IF(
    $A37&lt;J$1,
    "O",
    IF( OFFSET(J$1, COLUMN(J37)-1, 0)="-", "O", IF(MOD($A37, J$1)=0, "X", "O") )
  )
)</f>
        <v>O</v>
      </c>
      <c r="K37" s="44" t="str">
        <f ca="1">IF(
  $A37=K$1,
  IF( ROW(K37)=2, "+", IF(COUNTIF($B37:J37,"X")=0, "+", "-") ),
  IF(
    $A37&lt;K$1,
    "O",
    IF( OFFSET(K$1, COLUMN(K37)-1, 0)="-", "O", IF(MOD($A37, K$1)=0, "X", "O") )
  )
)</f>
        <v>O</v>
      </c>
      <c r="L37" s="45" t="str">
        <f ca="1">IF(
  $A37=L$1,
  IF( ROW(L37)=2, "+", IF(COUNTIF($B37:K37,"X")=0, "+", "-") ),
  IF(
    $A37&lt;L$1,
    "O",
    IF( OFFSET(L$1, COLUMN(L37)-1, 0)="-", "O", IF(MOD($A37, L$1)=0, "X", "O") )
  )
)</f>
        <v>O</v>
      </c>
      <c r="M37" s="44" t="str">
        <f ca="1">IF(
  $A37=M$1,
  IF( ROW(M37)=2, "+", IF(COUNTIF($B37:L37,"X")=0, "+", "-") ),
  IF(
    $A37&lt;M$1,
    "O",
    IF( OFFSET(M$1, COLUMN(M37)-1, 0)="-", "O", IF(MOD($A37, M$1)=0, "X", "O") )
  )
)</f>
        <v>O</v>
      </c>
      <c r="N37" s="45" t="str">
        <f ca="1">IF(
  $A37=N$1,
  IF( ROW(N37)=2, "+", IF(COUNTIF($B37:M37,"X")=0, "+", "-") ),
  IF(
    $A37&lt;N$1,
    "O",
    IF( OFFSET(N$1, COLUMN(N37)-1, 0)="-", "O", IF(MOD($A37, N$1)=0, "X", "O") )
  )
)</f>
        <v>O</v>
      </c>
      <c r="O37" s="45" t="str">
        <f ca="1">IF(
  $A37=O$1,
  IF( ROW(O37)=2, "+", IF(COUNTIF($B37:N37,"X")=0, "+", "-") ),
  IF(
    $A37&lt;O$1,
    "O",
    IF( OFFSET(O$1, COLUMN(O37)-1, 0)="-", "O", IF(MOD($A37, O$1)=0, "X", "O") )
  )
)</f>
        <v>O</v>
      </c>
      <c r="P37" s="45" t="str">
        <f ca="1">IF(
  $A37=P$1,
  IF( ROW(P37)=2, "+", IF(COUNTIF($B37:O37,"X")=0, "+", "-") ),
  IF(
    $A37&lt;P$1,
    "O",
    IF( OFFSET(P$1, COLUMN(P37)-1, 0)="-", "O", IF(MOD($A37, P$1)=0, "X", "O") )
  )
)</f>
        <v>O</v>
      </c>
      <c r="Q37" s="44" t="str">
        <f ca="1">IF(
  $A37=Q$1,
  IF( ROW(Q37)=2, "+", IF(COUNTIF($B37:P37,"X")=0, "+", "-") ),
  IF(
    $A37&lt;Q$1,
    "O",
    IF( OFFSET(Q$1, COLUMN(Q37)-1, 0)="-", "O", IF(MOD($A37, Q$1)=0, "X", "O") )
  )
)</f>
        <v>O</v>
      </c>
      <c r="R37" s="45" t="str">
        <f ca="1">IF(
  $A37=R$1,
  IF( ROW(R37)=2, "+", IF(COUNTIF($B37:Q37,"X")=0, "+", "-") ),
  IF(
    $A37&lt;R$1,
    "O",
    IF( OFFSET(R$1, COLUMN(R37)-1, 0)="-", "O", IF(MOD($A37, R$1)=0, "X", "O") )
  )
)</f>
        <v>O</v>
      </c>
      <c r="S37" s="44" t="str">
        <f ca="1">IF(
  $A37=S$1,
  IF( ROW(S37)=2, "+", IF(COUNTIF($B37:R37,"X")=0, "+", "-") ),
  IF(
    $A37&lt;S$1,
    "O",
    IF( OFFSET(S$1, COLUMN(S37)-1, 0)="-", "O", IF(MOD($A37, S$1)=0, "X", "O") )
  )
)</f>
        <v>O</v>
      </c>
      <c r="T37" s="45" t="str">
        <f ca="1">IF(
  $A37=T$1,
  IF( ROW(T37)=2, "+", IF(COUNTIF($B37:S37,"X")=0, "+", "-") ),
  IF(
    $A37&lt;T$1,
    "O",
    IF( OFFSET(T$1, COLUMN(T37)-1, 0)="-", "O", IF(MOD($A37, T$1)=0, "X", "O") )
  )
)</f>
        <v>O</v>
      </c>
      <c r="U37" s="45" t="str">
        <f ca="1">IF(
  $A37=U$1,
  IF( ROW(U37)=2, "+", IF(COUNTIF($B37:T37,"X")=0, "+", "-") ),
  IF(
    $A37&lt;U$1,
    "O",
    IF( OFFSET(U$1, COLUMN(U37)-1, 0)="-", "O", IF(MOD($A37, U$1)=0, "X", "O") )
  )
)</f>
        <v>O</v>
      </c>
      <c r="V37" s="45" t="str">
        <f ca="1">IF(
  $A37=V$1,
  IF( ROW(V37)=2, "+", IF(COUNTIF($B37:U37,"X")=0, "+", "-") ),
  IF(
    $A37&lt;V$1,
    "O",
    IF( OFFSET(V$1, COLUMN(V37)-1, 0)="-", "O", IF(MOD($A37, V$1)=0, "X", "O") )
  )
)</f>
        <v>O</v>
      </c>
      <c r="W37" s="44" t="str">
        <f ca="1">IF(
  $A37=W$1,
  IF( ROW(W37)=2, "+", IF(COUNTIF($B37:V37,"X")=0, "+", "-") ),
  IF(
    $A37&lt;W$1,
    "O",
    IF( OFFSET(W$1, COLUMN(W37)-1, 0)="-", "O", IF(MOD($A37, W$1)=0, "X", "O") )
  )
)</f>
        <v>O</v>
      </c>
      <c r="X37" s="45" t="str">
        <f ca="1">IF(
  $A37=X$1,
  IF( ROW(X37)=2, "+", IF(COUNTIF($B37:W37,"X")=0, "+", "-") ),
  IF(
    $A37&lt;X$1,
    "O",
    IF( OFFSET(X$1, COLUMN(X37)-1, 0)="-", "O", IF(MOD($A37, X$1)=0, "X", "O") )
  )
)</f>
        <v>O</v>
      </c>
      <c r="Y37" s="45" t="str">
        <f ca="1">IF(
  $A37=Y$1,
  IF( ROW(Y37)=2, "+", IF(COUNTIF($B37:X37,"X")=0, "+", "-") ),
  IF(
    $A37&lt;Y$1,
    "O",
    IF( OFFSET(Y$1, COLUMN(Y37)-1, 0)="-", "O", IF(MOD($A37, Y$1)=0, "X", "O") )
  )
)</f>
        <v>O</v>
      </c>
      <c r="Z37" s="45" t="str">
        <f ca="1">IF(
  $A37=Z$1,
  IF( ROW(Z37)=2, "+", IF(COUNTIF($B37:Y37,"X")=0, "+", "-") ),
  IF(
    $A37&lt;Z$1,
    "O",
    IF( OFFSET(Z$1, COLUMN(Z37)-1, 0)="-", "O", IF(MOD($A37, Z$1)=0, "X", "O") )
  )
)</f>
        <v>O</v>
      </c>
      <c r="AA37" s="45" t="str">
        <f ca="1">IF(
  $A37=AA$1,
  IF( ROW(AA37)=2, "+", IF(COUNTIF($B37:Z37,"X")=0, "+", "-") ),
  IF(
    $A37&lt;AA$1,
    "O",
    IF( OFFSET(AA$1, COLUMN(AA37)-1, 0)="-", "O", IF(MOD($A37, AA$1)=0, "X", "O") )
  )
)</f>
        <v>O</v>
      </c>
      <c r="AB37" s="45" t="str">
        <f ca="1">IF(
  $A37=AB$1,
  IF( ROW(AB37)=2, "+", IF(COUNTIF($B37:AA37,"X")=0, "+", "-") ),
  IF(
    $A37&lt;AB$1,
    "O",
    IF( OFFSET(AB$1, COLUMN(AB37)-1, 0)="-", "O", IF(MOD($A37, AB$1)=0, "X", "O") )
  )
)</f>
        <v>O</v>
      </c>
      <c r="AC37" s="44" t="str">
        <f ca="1">IF(
  $A37=AC$1,
  IF( ROW(AC37)=2, "+", IF(COUNTIF($B37:AB37,"X")=0, "+", "-") ),
  IF(
    $A37&lt;AC$1,
    "O",
    IF( OFFSET(AC$1, COLUMN(AC37)-1, 0)="-", "O", IF(MOD($A37, AC$1)=0, "X", "O") )
  )
)</f>
        <v>O</v>
      </c>
      <c r="AD37" s="45" t="str">
        <f ca="1">IF(
  $A37=AD$1,
  IF( ROW(AD37)=2, "+", IF(COUNTIF($B37:AC37,"X")=0, "+", "-") ),
  IF(
    $A37&lt;AD$1,
    "O",
    IF( OFFSET(AD$1, COLUMN(AD37)-1, 0)="-", "O", IF(MOD($A37, AD$1)=0, "X", "O") )
  )
)</f>
        <v>O</v>
      </c>
      <c r="AE37" s="44" t="str">
        <f ca="1">IF(
  $A37=AE$1,
  IF( ROW(AE37)=2, "+", IF(COUNTIF($B37:AD37,"X")=0, "+", "-") ),
  IF(
    $A37&lt;AE$1,
    "O",
    IF( OFFSET(AE$1, COLUMN(AE37)-1, 0)="-", "O", IF(MOD($A37, AE$1)=0, "X", "O") )
  )
)</f>
        <v>O</v>
      </c>
      <c r="AF37" s="45" t="str">
        <f ca="1">IF(
  $A37=AF$1,
  IF( ROW(AF37)=2, "+", IF(COUNTIF($B37:AE37,"X")=0, "+", "-") ),
  IF(
    $A37&lt;AF$1,
    "O",
    IF( OFFSET(AF$1, COLUMN(AF37)-1, 0)="-", "O", IF(MOD($A37, AF$1)=0, "X", "O") )
  )
)</f>
        <v>O</v>
      </c>
      <c r="AG37" s="45" t="str">
        <f ca="1">IF(
  $A37=AG$1,
  IF( ROW(AG37)=2, "+", IF(COUNTIF($B37:AF37,"X")=0, "+", "-") ),
  IF(
    $A37&lt;AG$1,
    "O",
    IF( OFFSET(AG$1, COLUMN(AG37)-1, 0)="-", "O", IF(MOD($A37, AG$1)=0, "X", "O") )
  )
)</f>
        <v>O</v>
      </c>
      <c r="AH37" s="45" t="str">
        <f ca="1">IF(
  $A37=AH$1,
  IF( ROW(AH37)=2, "+", IF(COUNTIF($B37:AG37,"X")=0, "+", "-") ),
  IF(
    $A37&lt;AH$1,
    "O",
    IF( OFFSET(AH$1, COLUMN(AH37)-1, 0)="-", "O", IF(MOD($A37, AH$1)=0, "X", "O") )
  )
)</f>
        <v>O</v>
      </c>
      <c r="AI37" s="45" t="str">
        <f ca="1">IF(
  $A37=AI$1,
  IF( ROW(AI37)=2, "+", IF(COUNTIF($B37:AH37,"X")=0, "+", "-") ),
  IF(
    $A37&lt;AI$1,
    "O",
    IF( OFFSET(AI$1, COLUMN(AI37)-1, 0)="-", "O", IF(MOD($A37, AI$1)=0, "X", "O") )
  )
)</f>
        <v>O</v>
      </c>
      <c r="AJ37" s="45" t="str">
        <f ca="1">IF(
  $A37=AJ$1,
  IF( ROW(AJ37)=2, "+", IF(COUNTIF($B37:AI37,"X")=0, "+", "-") ),
  IF(
    $A37&lt;AJ$1,
    "O",
    IF( OFFSET(AJ$1, COLUMN(AJ37)-1, 0)="-", "O", IF(MOD($A37, AJ$1)=0, "X", "O") )
  )
)</f>
        <v>O</v>
      </c>
      <c r="AK37" s="44" t="str">
        <f ca="1">IF(
  $A37=AK$1,
  IF( ROW(AK37)=2, "+", IF(COUNTIF($B37:AJ37,"X")=0, "+", "-") ),
  IF(
    $A37&lt;AK$1,
    "O",
    IF( OFFSET(AK$1, COLUMN(AK37)-1, 0)="-", "O", IF(MOD($A37, AK$1)=0, "X", "O") )
  )
)</f>
        <v>+</v>
      </c>
      <c r="AL37" s="45" t="str">
        <f ca="1">IF(
  $A37=AL$1,
  IF( ROW(AL37)=2, "+", IF(COUNTIF($B37:AK37,"X")=0, "+", "-") ),
  IF(
    $A37&lt;AL$1,
    "O",
    IF( OFFSET(AL$1, COLUMN(AL37)-1, 0)="-", "O", IF(MOD($A37, AL$1)=0, "X", "O") )
  )
)</f>
        <v>O</v>
      </c>
      <c r="AM37" s="45" t="str">
        <f ca="1">IF(
  $A37=AM$1,
  IF( ROW(AM37)=2, "+", IF(COUNTIF($B37:AL37,"X")=0, "+", "-") ),
  IF(
    $A37&lt;AM$1,
    "O",
    IF( OFFSET(AM$1, COLUMN(AM37)-1, 0)="-", "O", IF(MOD($A37, AM$1)=0, "X", "O") )
  )
)</f>
        <v>O</v>
      </c>
      <c r="AN37" s="45" t="str">
        <f ca="1">IF(
  $A37=AN$1,
  IF( ROW(AN37)=2, "+", IF(COUNTIF($B37:AM37,"X")=0, "+", "-") ),
  IF(
    $A37&lt;AN$1,
    "O",
    IF( OFFSET(AN$1, COLUMN(AN37)-1, 0)="-", "O", IF(MOD($A37, AN$1)=0, "X", "O") )
  )
)</f>
        <v>O</v>
      </c>
      <c r="AO37" s="45" t="str">
        <f ca="1">IF(
  $A37=AO$1,
  IF( ROW(AO37)=2, "+", IF(COUNTIF($B37:AN37,"X")=0, "+", "-") ),
  IF(
    $A37&lt;AO$1,
    "O",
    IF( OFFSET(AO$1, COLUMN(AO37)-1, 0)="-", "O", IF(MOD($A37, AO$1)=0, "X", "O") )
  )
)</f>
        <v>O</v>
      </c>
      <c r="AP37" s="45" t="str">
        <f ca="1">IF(
  $A37=AP$1,
  IF( ROW(AP37)=2, "+", IF(COUNTIF($B37:AO37,"X")=0, "+", "-") ),
  IF(
    $A37&lt;AP$1,
    "O",
    IF( OFFSET(AP$1, COLUMN(AP37)-1, 0)="-", "O", IF(MOD($A37, AP$1)=0, "X", "O") )
  )
)</f>
        <v>O</v>
      </c>
      <c r="AQ37" s="45" t="str">
        <f ca="1">IF(
  $A37=AQ$1,
  IF( ROW(AQ37)=2, "+", IF(COUNTIF($B37:AP37,"X")=0, "+", "-") ),
  IF(
    $A37&lt;AQ$1,
    "O",
    IF( OFFSET(AQ$1, COLUMN(AQ37)-1, 0)="-", "O", IF(MOD($A37, AQ$1)=0, "X", "O") )
  )
)</f>
        <v>O</v>
      </c>
      <c r="AR37" s="45" t="str">
        <f ca="1">IF(
  $A37=AR$1,
  IF( ROW(AR37)=2, "+", IF(COUNTIF($B37:AQ37,"X")=0, "+", "-") ),
  IF(
    $A37&lt;AR$1,
    "O",
    IF( OFFSET(AR$1, COLUMN(AR37)-1, 0)="-", "O", IF(MOD($A37, AR$1)=0, "X", "O") )
  )
)</f>
        <v>O</v>
      </c>
      <c r="AS37" s="45" t="str">
        <f ca="1">IF(
  $A37=AS$1,
  IF( ROW(AS37)=2, "+", IF(COUNTIF($B37:AR37,"X")=0, "+", "-") ),
  IF(
    $A37&lt;AS$1,
    "O",
    IF( OFFSET(AS$1, COLUMN(AS37)-1, 0)="-", "O", IF(MOD($A37, AS$1)=0, "X", "O") )
  )
)</f>
        <v>O</v>
      </c>
      <c r="AT37" s="45" t="str">
        <f ca="1">IF(
  $A37=AT$1,
  IF( ROW(AT37)=2, "+", IF(COUNTIF($B37:AS37,"X")=0, "+", "-") ),
  IF(
    $A37&lt;AT$1,
    "O",
    IF( OFFSET(AT$1, COLUMN(AT37)-1, 0)="-", "O", IF(MOD($A37, AT$1)=0, "X", "O") )
  )
)</f>
        <v>O</v>
      </c>
      <c r="AU37" s="45" t="str">
        <f ca="1">IF(
  $A37=AU$1,
  IF( ROW(AU37)=2, "+", IF(COUNTIF($B37:AT37,"X")=0, "+", "-") ),
  IF(
    $A37&lt;AU$1,
    "O",
    IF( OFFSET(AU$1, COLUMN(AU37)-1, 0)="-", "O", IF(MOD($A37, AU$1)=0, "X", "O") )
  )
)</f>
        <v>O</v>
      </c>
      <c r="AV37" s="45" t="str">
        <f ca="1">IF(
  $A37=AV$1,
  IF( ROW(AV37)=2, "+", IF(COUNTIF($B37:AU37,"X")=0, "+", "-") ),
  IF(
    $A37&lt;AV$1,
    "O",
    IF( OFFSET(AV$1, COLUMN(AV37)-1, 0)="-", "O", IF(MOD($A37, AV$1)=0, "X", "O") )
  )
)</f>
        <v>O</v>
      </c>
      <c r="AW37" s="45" t="str">
        <f ca="1">IF(
  $A37=AW$1,
  IF( ROW(AW37)=2, "+", IF(COUNTIF($B37:AV37,"X")=0, "+", "-") ),
  IF(
    $A37&lt;AW$1,
    "O",
    IF( OFFSET(AW$1, COLUMN(AW37)-1, 0)="-", "O", IF(MOD($A37, AW$1)=0, "X", "O") )
  )
)</f>
        <v>O</v>
      </c>
      <c r="AX37" s="45" t="str">
        <f ca="1">IF(
  $A37=AX$1,
  IF( ROW(AX37)=2, "+", IF(COUNTIF($B37:AW37,"X")=0, "+", "-") ),
  IF(
    $A37&lt;AX$1,
    "O",
    IF( OFFSET(AX$1, COLUMN(AX37)-1, 0)="-", "O", IF(MOD($A37, AX$1)=0, "X", "O") )
  )
)</f>
        <v>O</v>
      </c>
      <c r="AY37" s="45" t="str">
        <f ca="1">IF(
  $A37=AY$1,
  IF( ROW(AY37)=2, "+", IF(COUNTIF($B37:AX37,"X")=0, "+", "-") ),
  IF(
    $A37&lt;AY$1,
    "O",
    IF( OFFSET(AY$1, COLUMN(AY37)-1, 0)="-", "O", IF(MOD($A37, AY$1)=0, "X", "O") )
  )
)</f>
        <v>O</v>
      </c>
      <c r="AZ37" s="45" t="str">
        <f ca="1">IF(
  $A37=AZ$1,
  IF( ROW(AZ37)=2, "+", IF(COUNTIF($B37:AY37,"X")=0, "+", "-") ),
  IF(
    $A37&lt;AZ$1,
    "O",
    IF( OFFSET(AZ$1, COLUMN(AZ37)-1, 0)="-", "O", IF(MOD($A37, AZ$1)=0, "X", "O") )
  )
)</f>
        <v>O</v>
      </c>
      <c r="BA37" s="45" t="str">
        <f ca="1">IF(
  $A37=BA$1,
  IF( ROW(BA37)=2, "+", IF(COUNTIF($B37:AZ37,"X")=0, "+", "-") ),
  IF(
    $A37&lt;BA$1,
    "O",
    IF( OFFSET(BA$1, COLUMN(BA37)-1, 0)="-", "O", IF(MOD($A37, BA$1)=0, "X", "O") )
  )
)</f>
        <v>O</v>
      </c>
      <c r="BB37" s="45" t="str">
        <f ca="1">IF(
  $A37=BB$1,
  IF( ROW(BB37)=2, "+", IF(COUNTIF($B37:BA37,"X")=0, "+", "-") ),
  IF(
    $A37&lt;BB$1,
    "O",
    IF( OFFSET(BB$1, COLUMN(BB37)-1, 0)="-", "O", IF(MOD($A37, BB$1)=0, "X", "O") )
  )
)</f>
        <v>O</v>
      </c>
      <c r="BC37" s="45" t="str">
        <f ca="1">IF(
  $A37=BC$1,
  IF( ROW(BC37)=2, "+", IF(COUNTIF($B37:BB37,"X")=0, "+", "-") ),
  IF(
    $A37&lt;BC$1,
    "O",
    IF( OFFSET(BC$1, COLUMN(BC37)-1, 0)="-", "O", IF(MOD($A37, BC$1)=0, "X", "O") )
  )
)</f>
        <v>O</v>
      </c>
      <c r="BD37" s="45" t="str">
        <f ca="1">IF(
  $A37=BD$1,
  IF( ROW(BD37)=2, "+", IF(COUNTIF($B37:BC37,"X")=0, "+", "-") ),
  IF(
    $A37&lt;BD$1,
    "O",
    IF( OFFSET(BD$1, COLUMN(BD37)-1, 0)="-", "O", IF(MOD($A37, BD$1)=0, "X", "O") )
  )
)</f>
        <v>O</v>
      </c>
      <c r="BE37" s="45" t="str">
        <f ca="1">IF(
  $A37=BE$1,
  IF( ROW(BE37)=2, "+", IF(COUNTIF($B37:BD37,"X")=0, "+", "-") ),
  IF(
    $A37&lt;BE$1,
    "O",
    IF( OFFSET(BE$1, COLUMN(BE37)-1, 0)="-", "O", IF(MOD($A37, BE$1)=0, "X", "O") )
  )
)</f>
        <v>O</v>
      </c>
      <c r="BF37" s="45" t="str">
        <f ca="1">IF(
  $A37=BF$1,
  IF( ROW(BF37)=2, "+", IF(COUNTIF($B37:BE37,"X")=0, "+", "-") ),
  IF(
    $A37&lt;BF$1,
    "O",
    IF( OFFSET(BF$1, COLUMN(BF37)-1, 0)="-", "O", IF(MOD($A37, BF$1)=0, "X", "O") )
  )
)</f>
        <v>O</v>
      </c>
      <c r="BG37" s="45" t="str">
        <f ca="1">IF(
  $A37=BG$1,
  IF( ROW(BG37)=2, "+", IF(COUNTIF($B37:BF37,"X")=0, "+", "-") ),
  IF(
    $A37&lt;BG$1,
    "O",
    IF( OFFSET(BG$1, COLUMN(BG37)-1, 0)="-", "O", IF(MOD($A37, BG$1)=0, "X", "O") )
  )
)</f>
        <v>O</v>
      </c>
      <c r="BH37" s="45" t="str">
        <f ca="1">IF(
  $A37=BH$1,
  IF( ROW(BH37)=2, "+", IF(COUNTIF($B37:BG37,"X")=0, "+", "-") ),
  IF(
    $A37&lt;BH$1,
    "O",
    IF( OFFSET(BH$1, COLUMN(BH37)-1, 0)="-", "O", IF(MOD($A37, BH$1)=0, "X", "O") )
  )
)</f>
        <v>O</v>
      </c>
    </row>
    <row r="38" spans="1:60" s="46" customFormat="1" x14ac:dyDescent="0.25">
      <c r="A38">
        <v>38</v>
      </c>
      <c r="B38" s="44" t="str">
        <f ca="1">IF(
  $A38=B$1,
  IF( ROW(B38)=2, "+", IF(COUNTIF(A38:$B38,"X")=0, "+", "-") ),
  IF(
    $A38&lt;B$1,
    "O",
    IF( OFFSET(B$1, COLUMN(B38)-1, 0)="-", "O", IF(MOD($A38, B$1)=0, "X", "O") )
  )
)</f>
        <v>X</v>
      </c>
      <c r="C38" s="44" t="str">
        <f ca="1">IF(
  $A38=C$1,
  IF( ROW(C38)=2, "+", IF(COUNTIF(B38:$B38,"X")=0, "+", "-") ),
  IF(
    $A38&lt;C$1,
    "O",
    IF( OFFSET(C$1, COLUMN(C38)-1, 0)="-", "O", IF(MOD($A38, C$1)=0, "X", "O") )
  )
)</f>
        <v>O</v>
      </c>
      <c r="D38" s="45" t="str">
        <f ca="1">IF(
  $A38=D$1,
  IF( ROW(D38)=2, "+", IF(COUNTIF($B38:C38,"X")=0, "+", "-") ),
  IF(
    $A38&lt;D$1,
    "O",
    IF( OFFSET(D$1, COLUMN(D38)-1, 0)="-", "O", IF(MOD($A38, D$1)=0, "X", "O") )
  )
)</f>
        <v>O</v>
      </c>
      <c r="E38" s="44" t="str">
        <f ca="1">IF(
  $A38=E$1,
  IF( ROW(E38)=2, "+", IF(COUNTIF($B38:D38,"X")=0, "+", "-") ),
  IF(
    $A38&lt;E$1,
    "O",
    IF( OFFSET(E$1, COLUMN(E38)-1, 0)="-", "O", IF(MOD($A38, E$1)=0, "X", "O") )
  )
)</f>
        <v>O</v>
      </c>
      <c r="F38" s="45" t="str">
        <f ca="1">IF(
  $A38=F$1,
  IF( ROW(F38)=2, "+", IF(COUNTIF($B38:E38,"X")=0, "+", "-") ),
  IF(
    $A38&lt;F$1,
    "O",
    IF( OFFSET(F$1, COLUMN(F38)-1, 0)="-", "O", IF(MOD($A38, F$1)=0, "X", "O") )
  )
)</f>
        <v>O</v>
      </c>
      <c r="G38" s="44" t="str">
        <f ca="1">IF(
  $A38=G$1,
  IF( ROW(G38)=2, "+", IF(COUNTIF($B38:F38,"X")=0, "+", "-") ),
  IF(
    $A38&lt;G$1,
    "O",
    IF( OFFSET(G$1, COLUMN(G38)-1, 0)="-", "O", IF(MOD($A38, G$1)=0, "X", "O") )
  )
)</f>
        <v>O</v>
      </c>
      <c r="H38" s="45" t="str">
        <f ca="1">IF(
  $A38=H$1,
  IF( ROW(H38)=2, "+", IF(COUNTIF($B38:G38,"X")=0, "+", "-") ),
  IF(
    $A38&lt;H$1,
    "O",
    IF( OFFSET(H$1, COLUMN(H38)-1, 0)="-", "O", IF(MOD($A38, H$1)=0, "X", "O") )
  )
)</f>
        <v>O</v>
      </c>
      <c r="I38" s="45" t="str">
        <f ca="1">IF(
  $A38=I$1,
  IF( ROW(I38)=2, "+", IF(COUNTIF($B38:H38,"X")=0, "+", "-") ),
  IF(
    $A38&lt;I$1,
    "O",
    IF( OFFSET(I$1, COLUMN(I38)-1, 0)="-", "O", IF(MOD($A38, I$1)=0, "X", "O") )
  )
)</f>
        <v>O</v>
      </c>
      <c r="J38" s="45" t="str">
        <f ca="1">IF(
  $A38=J$1,
  IF( ROW(J38)=2, "+", IF(COUNTIF($B38:I38,"X")=0, "+", "-") ),
  IF(
    $A38&lt;J$1,
    "O",
    IF( OFFSET(J$1, COLUMN(J38)-1, 0)="-", "O", IF(MOD($A38, J$1)=0, "X", "O") )
  )
)</f>
        <v>O</v>
      </c>
      <c r="K38" s="44" t="str">
        <f ca="1">IF(
  $A38=K$1,
  IF( ROW(K38)=2, "+", IF(COUNTIF($B38:J38,"X")=0, "+", "-") ),
  IF(
    $A38&lt;K$1,
    "O",
    IF( OFFSET(K$1, COLUMN(K38)-1, 0)="-", "O", IF(MOD($A38, K$1)=0, "X", "O") )
  )
)</f>
        <v>O</v>
      </c>
      <c r="L38" s="45" t="str">
        <f ca="1">IF(
  $A38=L$1,
  IF( ROW(L38)=2, "+", IF(COUNTIF($B38:K38,"X")=0, "+", "-") ),
  IF(
    $A38&lt;L$1,
    "O",
    IF( OFFSET(L$1, COLUMN(L38)-1, 0)="-", "O", IF(MOD($A38, L$1)=0, "X", "O") )
  )
)</f>
        <v>O</v>
      </c>
      <c r="M38" s="44" t="str">
        <f ca="1">IF(
  $A38=M$1,
  IF( ROW(M38)=2, "+", IF(COUNTIF($B38:L38,"X")=0, "+", "-") ),
  IF(
    $A38&lt;M$1,
    "O",
    IF( OFFSET(M$1, COLUMN(M38)-1, 0)="-", "O", IF(MOD($A38, M$1)=0, "X", "O") )
  )
)</f>
        <v>O</v>
      </c>
      <c r="N38" s="45" t="str">
        <f ca="1">IF(
  $A38=N$1,
  IF( ROW(N38)=2, "+", IF(COUNTIF($B38:M38,"X")=0, "+", "-") ),
  IF(
    $A38&lt;N$1,
    "O",
    IF( OFFSET(N$1, COLUMN(N38)-1, 0)="-", "O", IF(MOD($A38, N$1)=0, "X", "O") )
  )
)</f>
        <v>O</v>
      </c>
      <c r="O38" s="45" t="str">
        <f ca="1">IF(
  $A38=O$1,
  IF( ROW(O38)=2, "+", IF(COUNTIF($B38:N38,"X")=0, "+", "-") ),
  IF(
    $A38&lt;O$1,
    "O",
    IF( OFFSET(O$1, COLUMN(O38)-1, 0)="-", "O", IF(MOD($A38, O$1)=0, "X", "O") )
  )
)</f>
        <v>O</v>
      </c>
      <c r="P38" s="45" t="str">
        <f ca="1">IF(
  $A38=P$1,
  IF( ROW(P38)=2, "+", IF(COUNTIF($B38:O38,"X")=0, "+", "-") ),
  IF(
    $A38&lt;P$1,
    "O",
    IF( OFFSET(P$1, COLUMN(P38)-1, 0)="-", "O", IF(MOD($A38, P$1)=0, "X", "O") )
  )
)</f>
        <v>O</v>
      </c>
      <c r="Q38" s="44" t="str">
        <f ca="1">IF(
  $A38=Q$1,
  IF( ROW(Q38)=2, "+", IF(COUNTIF($B38:P38,"X")=0, "+", "-") ),
  IF(
    $A38&lt;Q$1,
    "O",
    IF( OFFSET(Q$1, COLUMN(Q38)-1, 0)="-", "O", IF(MOD($A38, Q$1)=0, "X", "O") )
  )
)</f>
        <v>O</v>
      </c>
      <c r="R38" s="45" t="str">
        <f ca="1">IF(
  $A38=R$1,
  IF( ROW(R38)=2, "+", IF(COUNTIF($B38:Q38,"X")=0, "+", "-") ),
  IF(
    $A38&lt;R$1,
    "O",
    IF( OFFSET(R$1, COLUMN(R38)-1, 0)="-", "O", IF(MOD($A38, R$1)=0, "X", "O") )
  )
)</f>
        <v>O</v>
      </c>
      <c r="S38" s="44" t="str">
        <f ca="1">IF(
  $A38=S$1,
  IF( ROW(S38)=2, "+", IF(COUNTIF($B38:R38,"X")=0, "+", "-") ),
  IF(
    $A38&lt;S$1,
    "O",
    IF( OFFSET(S$1, COLUMN(S38)-1, 0)="-", "O", IF(MOD($A38, S$1)=0, "X", "O") )
  )
)</f>
        <v>X</v>
      </c>
      <c r="T38" s="45" t="str">
        <f ca="1">IF(
  $A38=T$1,
  IF( ROW(T38)=2, "+", IF(COUNTIF($B38:S38,"X")=0, "+", "-") ),
  IF(
    $A38&lt;T$1,
    "O",
    IF( OFFSET(T$1, COLUMN(T38)-1, 0)="-", "O", IF(MOD($A38, T$1)=0, "X", "O") )
  )
)</f>
        <v>O</v>
      </c>
      <c r="U38" s="45" t="str">
        <f ca="1">IF(
  $A38=U$1,
  IF( ROW(U38)=2, "+", IF(COUNTIF($B38:T38,"X")=0, "+", "-") ),
  IF(
    $A38&lt;U$1,
    "O",
    IF( OFFSET(U$1, COLUMN(U38)-1, 0)="-", "O", IF(MOD($A38, U$1)=0, "X", "O") )
  )
)</f>
        <v>O</v>
      </c>
      <c r="V38" s="45" t="str">
        <f ca="1">IF(
  $A38=V$1,
  IF( ROW(V38)=2, "+", IF(COUNTIF($B38:U38,"X")=0, "+", "-") ),
  IF(
    $A38&lt;V$1,
    "O",
    IF( OFFSET(V$1, COLUMN(V38)-1, 0)="-", "O", IF(MOD($A38, V$1)=0, "X", "O") )
  )
)</f>
        <v>O</v>
      </c>
      <c r="W38" s="44" t="str">
        <f ca="1">IF(
  $A38=W$1,
  IF( ROW(W38)=2, "+", IF(COUNTIF($B38:V38,"X")=0, "+", "-") ),
  IF(
    $A38&lt;W$1,
    "O",
    IF( OFFSET(W$1, COLUMN(W38)-1, 0)="-", "O", IF(MOD($A38, W$1)=0, "X", "O") )
  )
)</f>
        <v>O</v>
      </c>
      <c r="X38" s="45" t="str">
        <f ca="1">IF(
  $A38=X$1,
  IF( ROW(X38)=2, "+", IF(COUNTIF($B38:W38,"X")=0, "+", "-") ),
  IF(
    $A38&lt;X$1,
    "O",
    IF( OFFSET(X$1, COLUMN(X38)-1, 0)="-", "O", IF(MOD($A38, X$1)=0, "X", "O") )
  )
)</f>
        <v>O</v>
      </c>
      <c r="Y38" s="45" t="str">
        <f ca="1">IF(
  $A38=Y$1,
  IF( ROW(Y38)=2, "+", IF(COUNTIF($B38:X38,"X")=0, "+", "-") ),
  IF(
    $A38&lt;Y$1,
    "O",
    IF( OFFSET(Y$1, COLUMN(Y38)-1, 0)="-", "O", IF(MOD($A38, Y$1)=0, "X", "O") )
  )
)</f>
        <v>O</v>
      </c>
      <c r="Z38" s="45" t="str">
        <f ca="1">IF(
  $A38=Z$1,
  IF( ROW(Z38)=2, "+", IF(COUNTIF($B38:Y38,"X")=0, "+", "-") ),
  IF(
    $A38&lt;Z$1,
    "O",
    IF( OFFSET(Z$1, COLUMN(Z38)-1, 0)="-", "O", IF(MOD($A38, Z$1)=0, "X", "O") )
  )
)</f>
        <v>O</v>
      </c>
      <c r="AA38" s="45" t="str">
        <f ca="1">IF(
  $A38=AA$1,
  IF( ROW(AA38)=2, "+", IF(COUNTIF($B38:Z38,"X")=0, "+", "-") ),
  IF(
    $A38&lt;AA$1,
    "O",
    IF( OFFSET(AA$1, COLUMN(AA38)-1, 0)="-", "O", IF(MOD($A38, AA$1)=0, "X", "O") )
  )
)</f>
        <v>O</v>
      </c>
      <c r="AB38" s="45" t="str">
        <f ca="1">IF(
  $A38=AB$1,
  IF( ROW(AB38)=2, "+", IF(COUNTIF($B38:AA38,"X")=0, "+", "-") ),
  IF(
    $A38&lt;AB$1,
    "O",
    IF( OFFSET(AB$1, COLUMN(AB38)-1, 0)="-", "O", IF(MOD($A38, AB$1)=0, "X", "O") )
  )
)</f>
        <v>O</v>
      </c>
      <c r="AC38" s="44" t="str">
        <f ca="1">IF(
  $A38=AC$1,
  IF( ROW(AC38)=2, "+", IF(COUNTIF($B38:AB38,"X")=0, "+", "-") ),
  IF(
    $A38&lt;AC$1,
    "O",
    IF( OFFSET(AC$1, COLUMN(AC38)-1, 0)="-", "O", IF(MOD($A38, AC$1)=0, "X", "O") )
  )
)</f>
        <v>O</v>
      </c>
      <c r="AD38" s="45" t="str">
        <f ca="1">IF(
  $A38=AD$1,
  IF( ROW(AD38)=2, "+", IF(COUNTIF($B38:AC38,"X")=0, "+", "-") ),
  IF(
    $A38&lt;AD$1,
    "O",
    IF( OFFSET(AD$1, COLUMN(AD38)-1, 0)="-", "O", IF(MOD($A38, AD$1)=0, "X", "O") )
  )
)</f>
        <v>O</v>
      </c>
      <c r="AE38" s="44" t="str">
        <f ca="1">IF(
  $A38=AE$1,
  IF( ROW(AE38)=2, "+", IF(COUNTIF($B38:AD38,"X")=0, "+", "-") ),
  IF(
    $A38&lt;AE$1,
    "O",
    IF( OFFSET(AE$1, COLUMN(AE38)-1, 0)="-", "O", IF(MOD($A38, AE$1)=0, "X", "O") )
  )
)</f>
        <v>O</v>
      </c>
      <c r="AF38" s="45" t="str">
        <f ca="1">IF(
  $A38=AF$1,
  IF( ROW(AF38)=2, "+", IF(COUNTIF($B38:AE38,"X")=0, "+", "-") ),
  IF(
    $A38&lt;AF$1,
    "O",
    IF( OFFSET(AF$1, COLUMN(AF38)-1, 0)="-", "O", IF(MOD($A38, AF$1)=0, "X", "O") )
  )
)</f>
        <v>O</v>
      </c>
      <c r="AG38" s="45" t="str">
        <f ca="1">IF(
  $A38=AG$1,
  IF( ROW(AG38)=2, "+", IF(COUNTIF($B38:AF38,"X")=0, "+", "-") ),
  IF(
    $A38&lt;AG$1,
    "O",
    IF( OFFSET(AG$1, COLUMN(AG38)-1, 0)="-", "O", IF(MOD($A38, AG$1)=0, "X", "O") )
  )
)</f>
        <v>O</v>
      </c>
      <c r="AH38" s="45" t="str">
        <f ca="1">IF(
  $A38=AH$1,
  IF( ROW(AH38)=2, "+", IF(COUNTIF($B38:AG38,"X")=0, "+", "-") ),
  IF(
    $A38&lt;AH$1,
    "O",
    IF( OFFSET(AH$1, COLUMN(AH38)-1, 0)="-", "O", IF(MOD($A38, AH$1)=0, "X", "O") )
  )
)</f>
        <v>O</v>
      </c>
      <c r="AI38" s="45" t="str">
        <f ca="1">IF(
  $A38=AI$1,
  IF( ROW(AI38)=2, "+", IF(COUNTIF($B38:AH38,"X")=0, "+", "-") ),
  IF(
    $A38&lt;AI$1,
    "O",
    IF( OFFSET(AI$1, COLUMN(AI38)-1, 0)="-", "O", IF(MOD($A38, AI$1)=0, "X", "O") )
  )
)</f>
        <v>O</v>
      </c>
      <c r="AJ38" s="45" t="str">
        <f ca="1">IF(
  $A38=AJ$1,
  IF( ROW(AJ38)=2, "+", IF(COUNTIF($B38:AI38,"X")=0, "+", "-") ),
  IF(
    $A38&lt;AJ$1,
    "O",
    IF( OFFSET(AJ$1, COLUMN(AJ38)-1, 0)="-", "O", IF(MOD($A38, AJ$1)=0, "X", "O") )
  )
)</f>
        <v>O</v>
      </c>
      <c r="AK38" s="44" t="str">
        <f ca="1">IF(
  $A38=AK$1,
  IF( ROW(AK38)=2, "+", IF(COUNTIF($B38:AJ38,"X")=0, "+", "-") ),
  IF(
    $A38&lt;AK$1,
    "O",
    IF( OFFSET(AK$1, COLUMN(AK38)-1, 0)="-", "O", IF(MOD($A38, AK$1)=0, "X", "O") )
  )
)</f>
        <v>O</v>
      </c>
      <c r="AL38" s="45" t="str">
        <f ca="1">IF(
  $A38=AL$1,
  IF( ROW(AL38)=2, "+", IF(COUNTIF($B38:AK38,"X")=0, "+", "-") ),
  IF(
    $A38&lt;AL$1,
    "O",
    IF( OFFSET(AL$1, COLUMN(AL38)-1, 0)="-", "O", IF(MOD($A38, AL$1)=0, "X", "O") )
  )
)</f>
        <v>-</v>
      </c>
      <c r="AM38" s="45" t="str">
        <f ca="1">IF(
  $A38=AM$1,
  IF( ROW(AM38)=2, "+", IF(COUNTIF($B38:AL38,"X")=0, "+", "-") ),
  IF(
    $A38&lt;AM$1,
    "O",
    IF( OFFSET(AM$1, COLUMN(AM38)-1, 0)="-", "O", IF(MOD($A38, AM$1)=0, "X", "O") )
  )
)</f>
        <v>O</v>
      </c>
      <c r="AN38" s="45" t="str">
        <f ca="1">IF(
  $A38=AN$1,
  IF( ROW(AN38)=2, "+", IF(COUNTIF($B38:AM38,"X")=0, "+", "-") ),
  IF(
    $A38&lt;AN$1,
    "O",
    IF( OFFSET(AN$1, COLUMN(AN38)-1, 0)="-", "O", IF(MOD($A38, AN$1)=0, "X", "O") )
  )
)</f>
        <v>O</v>
      </c>
      <c r="AO38" s="45" t="str">
        <f ca="1">IF(
  $A38=AO$1,
  IF( ROW(AO38)=2, "+", IF(COUNTIF($B38:AN38,"X")=0, "+", "-") ),
  IF(
    $A38&lt;AO$1,
    "O",
    IF( OFFSET(AO$1, COLUMN(AO38)-1, 0)="-", "O", IF(MOD($A38, AO$1)=0, "X", "O") )
  )
)</f>
        <v>O</v>
      </c>
      <c r="AP38" s="45" t="str">
        <f ca="1">IF(
  $A38=AP$1,
  IF( ROW(AP38)=2, "+", IF(COUNTIF($B38:AO38,"X")=0, "+", "-") ),
  IF(
    $A38&lt;AP$1,
    "O",
    IF( OFFSET(AP$1, COLUMN(AP38)-1, 0)="-", "O", IF(MOD($A38, AP$1)=0, "X", "O") )
  )
)</f>
        <v>O</v>
      </c>
      <c r="AQ38" s="45" t="str">
        <f ca="1">IF(
  $A38=AQ$1,
  IF( ROW(AQ38)=2, "+", IF(COUNTIF($B38:AP38,"X")=0, "+", "-") ),
  IF(
    $A38&lt;AQ$1,
    "O",
    IF( OFFSET(AQ$1, COLUMN(AQ38)-1, 0)="-", "O", IF(MOD($A38, AQ$1)=0, "X", "O") )
  )
)</f>
        <v>O</v>
      </c>
      <c r="AR38" s="45" t="str">
        <f ca="1">IF(
  $A38=AR$1,
  IF( ROW(AR38)=2, "+", IF(COUNTIF($B38:AQ38,"X")=0, "+", "-") ),
  IF(
    $A38&lt;AR$1,
    "O",
    IF( OFFSET(AR$1, COLUMN(AR38)-1, 0)="-", "O", IF(MOD($A38, AR$1)=0, "X", "O") )
  )
)</f>
        <v>O</v>
      </c>
      <c r="AS38" s="45" t="str">
        <f ca="1">IF(
  $A38=AS$1,
  IF( ROW(AS38)=2, "+", IF(COUNTIF($B38:AR38,"X")=0, "+", "-") ),
  IF(
    $A38&lt;AS$1,
    "O",
    IF( OFFSET(AS$1, COLUMN(AS38)-1, 0)="-", "O", IF(MOD($A38, AS$1)=0, "X", "O") )
  )
)</f>
        <v>O</v>
      </c>
      <c r="AT38" s="45" t="str">
        <f ca="1">IF(
  $A38=AT$1,
  IF( ROW(AT38)=2, "+", IF(COUNTIF($B38:AS38,"X")=0, "+", "-") ),
  IF(
    $A38&lt;AT$1,
    "O",
    IF( OFFSET(AT$1, COLUMN(AT38)-1, 0)="-", "O", IF(MOD($A38, AT$1)=0, "X", "O") )
  )
)</f>
        <v>O</v>
      </c>
      <c r="AU38" s="45" t="str">
        <f ca="1">IF(
  $A38=AU$1,
  IF( ROW(AU38)=2, "+", IF(COUNTIF($B38:AT38,"X")=0, "+", "-") ),
  IF(
    $A38&lt;AU$1,
    "O",
    IF( OFFSET(AU$1, COLUMN(AU38)-1, 0)="-", "O", IF(MOD($A38, AU$1)=0, "X", "O") )
  )
)</f>
        <v>O</v>
      </c>
      <c r="AV38" s="45" t="str">
        <f ca="1">IF(
  $A38=AV$1,
  IF( ROW(AV38)=2, "+", IF(COUNTIF($B38:AU38,"X")=0, "+", "-") ),
  IF(
    $A38&lt;AV$1,
    "O",
    IF( OFFSET(AV$1, COLUMN(AV38)-1, 0)="-", "O", IF(MOD($A38, AV$1)=0, "X", "O") )
  )
)</f>
        <v>O</v>
      </c>
      <c r="AW38" s="45" t="str">
        <f ca="1">IF(
  $A38=AW$1,
  IF( ROW(AW38)=2, "+", IF(COUNTIF($B38:AV38,"X")=0, "+", "-") ),
  IF(
    $A38&lt;AW$1,
    "O",
    IF( OFFSET(AW$1, COLUMN(AW38)-1, 0)="-", "O", IF(MOD($A38, AW$1)=0, "X", "O") )
  )
)</f>
        <v>O</v>
      </c>
      <c r="AX38" s="45" t="str">
        <f ca="1">IF(
  $A38=AX$1,
  IF( ROW(AX38)=2, "+", IF(COUNTIF($B38:AW38,"X")=0, "+", "-") ),
  IF(
    $A38&lt;AX$1,
    "O",
    IF( OFFSET(AX$1, COLUMN(AX38)-1, 0)="-", "O", IF(MOD($A38, AX$1)=0, "X", "O") )
  )
)</f>
        <v>O</v>
      </c>
      <c r="AY38" s="45" t="str">
        <f ca="1">IF(
  $A38=AY$1,
  IF( ROW(AY38)=2, "+", IF(COUNTIF($B38:AX38,"X")=0, "+", "-") ),
  IF(
    $A38&lt;AY$1,
    "O",
    IF( OFFSET(AY$1, COLUMN(AY38)-1, 0)="-", "O", IF(MOD($A38, AY$1)=0, "X", "O") )
  )
)</f>
        <v>O</v>
      </c>
      <c r="AZ38" s="45" t="str">
        <f ca="1">IF(
  $A38=AZ$1,
  IF( ROW(AZ38)=2, "+", IF(COUNTIF($B38:AY38,"X")=0, "+", "-") ),
  IF(
    $A38&lt;AZ$1,
    "O",
    IF( OFFSET(AZ$1, COLUMN(AZ38)-1, 0)="-", "O", IF(MOD($A38, AZ$1)=0, "X", "O") )
  )
)</f>
        <v>O</v>
      </c>
      <c r="BA38" s="45" t="str">
        <f ca="1">IF(
  $A38=BA$1,
  IF( ROW(BA38)=2, "+", IF(COUNTIF($B38:AZ38,"X")=0, "+", "-") ),
  IF(
    $A38&lt;BA$1,
    "O",
    IF( OFFSET(BA$1, COLUMN(BA38)-1, 0)="-", "O", IF(MOD($A38, BA$1)=0, "X", "O") )
  )
)</f>
        <v>O</v>
      </c>
      <c r="BB38" s="45" t="str">
        <f ca="1">IF(
  $A38=BB$1,
  IF( ROW(BB38)=2, "+", IF(COUNTIF($B38:BA38,"X")=0, "+", "-") ),
  IF(
    $A38&lt;BB$1,
    "O",
    IF( OFFSET(BB$1, COLUMN(BB38)-1, 0)="-", "O", IF(MOD($A38, BB$1)=0, "X", "O") )
  )
)</f>
        <v>O</v>
      </c>
      <c r="BC38" s="45" t="str">
        <f ca="1">IF(
  $A38=BC$1,
  IF( ROW(BC38)=2, "+", IF(COUNTIF($B38:BB38,"X")=0, "+", "-") ),
  IF(
    $A38&lt;BC$1,
    "O",
    IF( OFFSET(BC$1, COLUMN(BC38)-1, 0)="-", "O", IF(MOD($A38, BC$1)=0, "X", "O") )
  )
)</f>
        <v>O</v>
      </c>
      <c r="BD38" s="45" t="str">
        <f ca="1">IF(
  $A38=BD$1,
  IF( ROW(BD38)=2, "+", IF(COUNTIF($B38:BC38,"X")=0, "+", "-") ),
  IF(
    $A38&lt;BD$1,
    "O",
    IF( OFFSET(BD$1, COLUMN(BD38)-1, 0)="-", "O", IF(MOD($A38, BD$1)=0, "X", "O") )
  )
)</f>
        <v>O</v>
      </c>
      <c r="BE38" s="45" t="str">
        <f ca="1">IF(
  $A38=BE$1,
  IF( ROW(BE38)=2, "+", IF(COUNTIF($B38:BD38,"X")=0, "+", "-") ),
  IF(
    $A38&lt;BE$1,
    "O",
    IF( OFFSET(BE$1, COLUMN(BE38)-1, 0)="-", "O", IF(MOD($A38, BE$1)=0, "X", "O") )
  )
)</f>
        <v>O</v>
      </c>
      <c r="BF38" s="45" t="str">
        <f ca="1">IF(
  $A38=BF$1,
  IF( ROW(BF38)=2, "+", IF(COUNTIF($B38:BE38,"X")=0, "+", "-") ),
  IF(
    $A38&lt;BF$1,
    "O",
    IF( OFFSET(BF$1, COLUMN(BF38)-1, 0)="-", "O", IF(MOD($A38, BF$1)=0, "X", "O") )
  )
)</f>
        <v>O</v>
      </c>
      <c r="BG38" s="45" t="str">
        <f ca="1">IF(
  $A38=BG$1,
  IF( ROW(BG38)=2, "+", IF(COUNTIF($B38:BF38,"X")=0, "+", "-") ),
  IF(
    $A38&lt;BG$1,
    "O",
    IF( OFFSET(BG$1, COLUMN(BG38)-1, 0)="-", "O", IF(MOD($A38, BG$1)=0, "X", "O") )
  )
)</f>
        <v>O</v>
      </c>
      <c r="BH38" s="45" t="str">
        <f ca="1">IF(
  $A38=BH$1,
  IF( ROW(BH38)=2, "+", IF(COUNTIF($B38:BG38,"X")=0, "+", "-") ),
  IF(
    $A38&lt;BH$1,
    "O",
    IF( OFFSET(BH$1, COLUMN(BH38)-1, 0)="-", "O", IF(MOD($A38, BH$1)=0, "X", "O") )
  )
)</f>
        <v>O</v>
      </c>
    </row>
    <row r="39" spans="1:60" s="46" customFormat="1" x14ac:dyDescent="0.25">
      <c r="A39">
        <v>39</v>
      </c>
      <c r="B39" s="44" t="str">
        <f ca="1">IF(
  $A39=B$1,
  IF( ROW(B39)=2, "+", IF(COUNTIF(A39:$B39,"X")=0, "+", "-") ),
  IF(
    $A39&lt;B$1,
    "O",
    IF( OFFSET(B$1, COLUMN(B39)-1, 0)="-", "O", IF(MOD($A39, B$1)=0, "X", "O") )
  )
)</f>
        <v>O</v>
      </c>
      <c r="C39" s="44" t="str">
        <f ca="1">IF(
  $A39=C$1,
  IF( ROW(C39)=2, "+", IF(COUNTIF(B39:$B39,"X")=0, "+", "-") ),
  IF(
    $A39&lt;C$1,
    "O",
    IF( OFFSET(C$1, COLUMN(C39)-1, 0)="-", "O", IF(MOD($A39, C$1)=0, "X", "O") )
  )
)</f>
        <v>X</v>
      </c>
      <c r="D39" s="45" t="str">
        <f ca="1">IF(
  $A39=D$1,
  IF( ROW(D39)=2, "+", IF(COUNTIF($B39:C39,"X")=0, "+", "-") ),
  IF(
    $A39&lt;D$1,
    "O",
    IF( OFFSET(D$1, COLUMN(D39)-1, 0)="-", "O", IF(MOD($A39, D$1)=0, "X", "O") )
  )
)</f>
        <v>O</v>
      </c>
      <c r="E39" s="44" t="str">
        <f ca="1">IF(
  $A39=E$1,
  IF( ROW(E39)=2, "+", IF(COUNTIF($B39:D39,"X")=0, "+", "-") ),
  IF(
    $A39&lt;E$1,
    "O",
    IF( OFFSET(E$1, COLUMN(E39)-1, 0)="-", "O", IF(MOD($A39, E$1)=0, "X", "O") )
  )
)</f>
        <v>O</v>
      </c>
      <c r="F39" s="45" t="str">
        <f ca="1">IF(
  $A39=F$1,
  IF( ROW(F39)=2, "+", IF(COUNTIF($B39:E39,"X")=0, "+", "-") ),
  IF(
    $A39&lt;F$1,
    "O",
    IF( OFFSET(F$1, COLUMN(F39)-1, 0)="-", "O", IF(MOD($A39, F$1)=0, "X", "O") )
  )
)</f>
        <v>O</v>
      </c>
      <c r="G39" s="44" t="str">
        <f ca="1">IF(
  $A39=G$1,
  IF( ROW(G39)=2, "+", IF(COUNTIF($B39:F39,"X")=0, "+", "-") ),
  IF(
    $A39&lt;G$1,
    "O",
    IF( OFFSET(G$1, COLUMN(G39)-1, 0)="-", "O", IF(MOD($A39, G$1)=0, "X", "O") )
  )
)</f>
        <v>O</v>
      </c>
      <c r="H39" s="45" t="str">
        <f ca="1">IF(
  $A39=H$1,
  IF( ROW(H39)=2, "+", IF(COUNTIF($B39:G39,"X")=0, "+", "-") ),
  IF(
    $A39&lt;H$1,
    "O",
    IF( OFFSET(H$1, COLUMN(H39)-1, 0)="-", "O", IF(MOD($A39, H$1)=0, "X", "O") )
  )
)</f>
        <v>O</v>
      </c>
      <c r="I39" s="45" t="str">
        <f ca="1">IF(
  $A39=I$1,
  IF( ROW(I39)=2, "+", IF(COUNTIF($B39:H39,"X")=0, "+", "-") ),
  IF(
    $A39&lt;I$1,
    "O",
    IF( OFFSET(I$1, COLUMN(I39)-1, 0)="-", "O", IF(MOD($A39, I$1)=0, "X", "O") )
  )
)</f>
        <v>O</v>
      </c>
      <c r="J39" s="45" t="str">
        <f ca="1">IF(
  $A39=J$1,
  IF( ROW(J39)=2, "+", IF(COUNTIF($B39:I39,"X")=0, "+", "-") ),
  IF(
    $A39&lt;J$1,
    "O",
    IF( OFFSET(J$1, COLUMN(J39)-1, 0)="-", "O", IF(MOD($A39, J$1)=0, "X", "O") )
  )
)</f>
        <v>O</v>
      </c>
      <c r="K39" s="44" t="str">
        <f ca="1">IF(
  $A39=K$1,
  IF( ROW(K39)=2, "+", IF(COUNTIF($B39:J39,"X")=0, "+", "-") ),
  IF(
    $A39&lt;K$1,
    "O",
    IF( OFFSET(K$1, COLUMN(K39)-1, 0)="-", "O", IF(MOD($A39, K$1)=0, "X", "O") )
  )
)</f>
        <v>O</v>
      </c>
      <c r="L39" s="45" t="str">
        <f ca="1">IF(
  $A39=L$1,
  IF( ROW(L39)=2, "+", IF(COUNTIF($B39:K39,"X")=0, "+", "-") ),
  IF(
    $A39&lt;L$1,
    "O",
    IF( OFFSET(L$1, COLUMN(L39)-1, 0)="-", "O", IF(MOD($A39, L$1)=0, "X", "O") )
  )
)</f>
        <v>O</v>
      </c>
      <c r="M39" s="44" t="str">
        <f ca="1">IF(
  $A39=M$1,
  IF( ROW(M39)=2, "+", IF(COUNTIF($B39:L39,"X")=0, "+", "-") ),
  IF(
    $A39&lt;M$1,
    "O",
    IF( OFFSET(M$1, COLUMN(M39)-1, 0)="-", "O", IF(MOD($A39, M$1)=0, "X", "O") )
  )
)</f>
        <v>X</v>
      </c>
      <c r="N39" s="45" t="str">
        <f ca="1">IF(
  $A39=N$1,
  IF( ROW(N39)=2, "+", IF(COUNTIF($B39:M39,"X")=0, "+", "-") ),
  IF(
    $A39&lt;N$1,
    "O",
    IF( OFFSET(N$1, COLUMN(N39)-1, 0)="-", "O", IF(MOD($A39, N$1)=0, "X", "O") )
  )
)</f>
        <v>O</v>
      </c>
      <c r="O39" s="45" t="str">
        <f ca="1">IF(
  $A39=O$1,
  IF( ROW(O39)=2, "+", IF(COUNTIF($B39:N39,"X")=0, "+", "-") ),
  IF(
    $A39&lt;O$1,
    "O",
    IF( OFFSET(O$1, COLUMN(O39)-1, 0)="-", "O", IF(MOD($A39, O$1)=0, "X", "O") )
  )
)</f>
        <v>O</v>
      </c>
      <c r="P39" s="45" t="str">
        <f ca="1">IF(
  $A39=P$1,
  IF( ROW(P39)=2, "+", IF(COUNTIF($B39:O39,"X")=0, "+", "-") ),
  IF(
    $A39&lt;P$1,
    "O",
    IF( OFFSET(P$1, COLUMN(P39)-1, 0)="-", "O", IF(MOD($A39, P$1)=0, "X", "O") )
  )
)</f>
        <v>O</v>
      </c>
      <c r="Q39" s="44" t="str">
        <f ca="1">IF(
  $A39=Q$1,
  IF( ROW(Q39)=2, "+", IF(COUNTIF($B39:P39,"X")=0, "+", "-") ),
  IF(
    $A39&lt;Q$1,
    "O",
    IF( OFFSET(Q$1, COLUMN(Q39)-1, 0)="-", "O", IF(MOD($A39, Q$1)=0, "X", "O") )
  )
)</f>
        <v>O</v>
      </c>
      <c r="R39" s="45" t="str">
        <f ca="1">IF(
  $A39=R$1,
  IF( ROW(R39)=2, "+", IF(COUNTIF($B39:Q39,"X")=0, "+", "-") ),
  IF(
    $A39&lt;R$1,
    "O",
    IF( OFFSET(R$1, COLUMN(R39)-1, 0)="-", "O", IF(MOD($A39, R$1)=0, "X", "O") )
  )
)</f>
        <v>O</v>
      </c>
      <c r="S39" s="44" t="str">
        <f ca="1">IF(
  $A39=S$1,
  IF( ROW(S39)=2, "+", IF(COUNTIF($B39:R39,"X")=0, "+", "-") ),
  IF(
    $A39&lt;S$1,
    "O",
    IF( OFFSET(S$1, COLUMN(S39)-1, 0)="-", "O", IF(MOD($A39, S$1)=0, "X", "O") )
  )
)</f>
        <v>O</v>
      </c>
      <c r="T39" s="45" t="str">
        <f ca="1">IF(
  $A39=T$1,
  IF( ROW(T39)=2, "+", IF(COUNTIF($B39:S39,"X")=0, "+", "-") ),
  IF(
    $A39&lt;T$1,
    "O",
    IF( OFFSET(T$1, COLUMN(T39)-1, 0)="-", "O", IF(MOD($A39, T$1)=0, "X", "O") )
  )
)</f>
        <v>O</v>
      </c>
      <c r="U39" s="45" t="str">
        <f ca="1">IF(
  $A39=U$1,
  IF( ROW(U39)=2, "+", IF(COUNTIF($B39:T39,"X")=0, "+", "-") ),
  IF(
    $A39&lt;U$1,
    "O",
    IF( OFFSET(U$1, COLUMN(U39)-1, 0)="-", "O", IF(MOD($A39, U$1)=0, "X", "O") )
  )
)</f>
        <v>O</v>
      </c>
      <c r="V39" s="45" t="str">
        <f ca="1">IF(
  $A39=V$1,
  IF( ROW(V39)=2, "+", IF(COUNTIF($B39:U39,"X")=0, "+", "-") ),
  IF(
    $A39&lt;V$1,
    "O",
    IF( OFFSET(V$1, COLUMN(V39)-1, 0)="-", "O", IF(MOD($A39, V$1)=0, "X", "O") )
  )
)</f>
        <v>O</v>
      </c>
      <c r="W39" s="44" t="str">
        <f ca="1">IF(
  $A39=W$1,
  IF( ROW(W39)=2, "+", IF(COUNTIF($B39:V39,"X")=0, "+", "-") ),
  IF(
    $A39&lt;W$1,
    "O",
    IF( OFFSET(W$1, COLUMN(W39)-1, 0)="-", "O", IF(MOD($A39, W$1)=0, "X", "O") )
  )
)</f>
        <v>O</v>
      </c>
      <c r="X39" s="45" t="str">
        <f ca="1">IF(
  $A39=X$1,
  IF( ROW(X39)=2, "+", IF(COUNTIF($B39:W39,"X")=0, "+", "-") ),
  IF(
    $A39&lt;X$1,
    "O",
    IF( OFFSET(X$1, COLUMN(X39)-1, 0)="-", "O", IF(MOD($A39, X$1)=0, "X", "O") )
  )
)</f>
        <v>O</v>
      </c>
      <c r="Y39" s="45" t="str">
        <f ca="1">IF(
  $A39=Y$1,
  IF( ROW(Y39)=2, "+", IF(COUNTIF($B39:X39,"X")=0, "+", "-") ),
  IF(
    $A39&lt;Y$1,
    "O",
    IF( OFFSET(Y$1, COLUMN(Y39)-1, 0)="-", "O", IF(MOD($A39, Y$1)=0, "X", "O") )
  )
)</f>
        <v>O</v>
      </c>
      <c r="Z39" s="45" t="str">
        <f ca="1">IF(
  $A39=Z$1,
  IF( ROW(Z39)=2, "+", IF(COUNTIF($B39:Y39,"X")=0, "+", "-") ),
  IF(
    $A39&lt;Z$1,
    "O",
    IF( OFFSET(Z$1, COLUMN(Z39)-1, 0)="-", "O", IF(MOD($A39, Z$1)=0, "X", "O") )
  )
)</f>
        <v>O</v>
      </c>
      <c r="AA39" s="45" t="str">
        <f ca="1">IF(
  $A39=AA$1,
  IF( ROW(AA39)=2, "+", IF(COUNTIF($B39:Z39,"X")=0, "+", "-") ),
  IF(
    $A39&lt;AA$1,
    "O",
    IF( OFFSET(AA$1, COLUMN(AA39)-1, 0)="-", "O", IF(MOD($A39, AA$1)=0, "X", "O") )
  )
)</f>
        <v>O</v>
      </c>
      <c r="AB39" s="45" t="str">
        <f ca="1">IF(
  $A39=AB$1,
  IF( ROW(AB39)=2, "+", IF(COUNTIF($B39:AA39,"X")=0, "+", "-") ),
  IF(
    $A39&lt;AB$1,
    "O",
    IF( OFFSET(AB$1, COLUMN(AB39)-1, 0)="-", "O", IF(MOD($A39, AB$1)=0, "X", "O") )
  )
)</f>
        <v>O</v>
      </c>
      <c r="AC39" s="44" t="str">
        <f ca="1">IF(
  $A39=AC$1,
  IF( ROW(AC39)=2, "+", IF(COUNTIF($B39:AB39,"X")=0, "+", "-") ),
  IF(
    $A39&lt;AC$1,
    "O",
    IF( OFFSET(AC$1, COLUMN(AC39)-1, 0)="-", "O", IF(MOD($A39, AC$1)=0, "X", "O") )
  )
)</f>
        <v>O</v>
      </c>
      <c r="AD39" s="45" t="str">
        <f ca="1">IF(
  $A39=AD$1,
  IF( ROW(AD39)=2, "+", IF(COUNTIF($B39:AC39,"X")=0, "+", "-") ),
  IF(
    $A39&lt;AD$1,
    "O",
    IF( OFFSET(AD$1, COLUMN(AD39)-1, 0)="-", "O", IF(MOD($A39, AD$1)=0, "X", "O") )
  )
)</f>
        <v>O</v>
      </c>
      <c r="AE39" s="44" t="str">
        <f ca="1">IF(
  $A39=AE$1,
  IF( ROW(AE39)=2, "+", IF(COUNTIF($B39:AD39,"X")=0, "+", "-") ),
  IF(
    $A39&lt;AE$1,
    "O",
    IF( OFFSET(AE$1, COLUMN(AE39)-1, 0)="-", "O", IF(MOD($A39, AE$1)=0, "X", "O") )
  )
)</f>
        <v>O</v>
      </c>
      <c r="AF39" s="45" t="str">
        <f ca="1">IF(
  $A39=AF$1,
  IF( ROW(AF39)=2, "+", IF(COUNTIF($B39:AE39,"X")=0, "+", "-") ),
  IF(
    $A39&lt;AF$1,
    "O",
    IF( OFFSET(AF$1, COLUMN(AF39)-1, 0)="-", "O", IF(MOD($A39, AF$1)=0, "X", "O") )
  )
)</f>
        <v>O</v>
      </c>
      <c r="AG39" s="45" t="str">
        <f ca="1">IF(
  $A39=AG$1,
  IF( ROW(AG39)=2, "+", IF(COUNTIF($B39:AF39,"X")=0, "+", "-") ),
  IF(
    $A39&lt;AG$1,
    "O",
    IF( OFFSET(AG$1, COLUMN(AG39)-1, 0)="-", "O", IF(MOD($A39, AG$1)=0, "X", "O") )
  )
)</f>
        <v>O</v>
      </c>
      <c r="AH39" s="45" t="str">
        <f ca="1">IF(
  $A39=AH$1,
  IF( ROW(AH39)=2, "+", IF(COUNTIF($B39:AG39,"X")=0, "+", "-") ),
  IF(
    $A39&lt;AH$1,
    "O",
    IF( OFFSET(AH$1, COLUMN(AH39)-1, 0)="-", "O", IF(MOD($A39, AH$1)=0, "X", "O") )
  )
)</f>
        <v>O</v>
      </c>
      <c r="AI39" s="45" t="str">
        <f ca="1">IF(
  $A39=AI$1,
  IF( ROW(AI39)=2, "+", IF(COUNTIF($B39:AH39,"X")=0, "+", "-") ),
  IF(
    $A39&lt;AI$1,
    "O",
    IF( OFFSET(AI$1, COLUMN(AI39)-1, 0)="-", "O", IF(MOD($A39, AI$1)=0, "X", "O") )
  )
)</f>
        <v>O</v>
      </c>
      <c r="AJ39" s="45" t="str">
        <f ca="1">IF(
  $A39=AJ$1,
  IF( ROW(AJ39)=2, "+", IF(COUNTIF($B39:AI39,"X")=0, "+", "-") ),
  IF(
    $A39&lt;AJ$1,
    "O",
    IF( OFFSET(AJ$1, COLUMN(AJ39)-1, 0)="-", "O", IF(MOD($A39, AJ$1)=0, "X", "O") )
  )
)</f>
        <v>O</v>
      </c>
      <c r="AK39" s="44" t="str">
        <f ca="1">IF(
  $A39=AK$1,
  IF( ROW(AK39)=2, "+", IF(COUNTIF($B39:AJ39,"X")=0, "+", "-") ),
  IF(
    $A39&lt;AK$1,
    "O",
    IF( OFFSET(AK$1, COLUMN(AK39)-1, 0)="-", "O", IF(MOD($A39, AK$1)=0, "X", "O") )
  )
)</f>
        <v>O</v>
      </c>
      <c r="AL39" s="45" t="str">
        <f ca="1">IF(
  $A39=AL$1,
  IF( ROW(AL39)=2, "+", IF(COUNTIF($B39:AK39,"X")=0, "+", "-") ),
  IF(
    $A39&lt;AL$1,
    "O",
    IF( OFFSET(AL$1, COLUMN(AL39)-1, 0)="-", "O", IF(MOD($A39, AL$1)=0, "X", "O") )
  )
)</f>
        <v>O</v>
      </c>
      <c r="AM39" s="45" t="str">
        <f ca="1">IF(
  $A39=AM$1,
  IF( ROW(AM39)=2, "+", IF(COUNTIF($B39:AL39,"X")=0, "+", "-") ),
  IF(
    $A39&lt;AM$1,
    "O",
    IF( OFFSET(AM$1, COLUMN(AM39)-1, 0)="-", "O", IF(MOD($A39, AM$1)=0, "X", "O") )
  )
)</f>
        <v>-</v>
      </c>
      <c r="AN39" s="45" t="str">
        <f ca="1">IF(
  $A39=AN$1,
  IF( ROW(AN39)=2, "+", IF(COUNTIF($B39:AM39,"X")=0, "+", "-") ),
  IF(
    $A39&lt;AN$1,
    "O",
    IF( OFFSET(AN$1, COLUMN(AN39)-1, 0)="-", "O", IF(MOD($A39, AN$1)=0, "X", "O") )
  )
)</f>
        <v>O</v>
      </c>
      <c r="AO39" s="45" t="str">
        <f ca="1">IF(
  $A39=AO$1,
  IF( ROW(AO39)=2, "+", IF(COUNTIF($B39:AN39,"X")=0, "+", "-") ),
  IF(
    $A39&lt;AO$1,
    "O",
    IF( OFFSET(AO$1, COLUMN(AO39)-1, 0)="-", "O", IF(MOD($A39, AO$1)=0, "X", "O") )
  )
)</f>
        <v>O</v>
      </c>
      <c r="AP39" s="45" t="str">
        <f ca="1">IF(
  $A39=AP$1,
  IF( ROW(AP39)=2, "+", IF(COUNTIF($B39:AO39,"X")=0, "+", "-") ),
  IF(
    $A39&lt;AP$1,
    "O",
    IF( OFFSET(AP$1, COLUMN(AP39)-1, 0)="-", "O", IF(MOD($A39, AP$1)=0, "X", "O") )
  )
)</f>
        <v>O</v>
      </c>
      <c r="AQ39" s="45" t="str">
        <f ca="1">IF(
  $A39=AQ$1,
  IF( ROW(AQ39)=2, "+", IF(COUNTIF($B39:AP39,"X")=0, "+", "-") ),
  IF(
    $A39&lt;AQ$1,
    "O",
    IF( OFFSET(AQ$1, COLUMN(AQ39)-1, 0)="-", "O", IF(MOD($A39, AQ$1)=0, "X", "O") )
  )
)</f>
        <v>O</v>
      </c>
      <c r="AR39" s="45" t="str">
        <f ca="1">IF(
  $A39=AR$1,
  IF( ROW(AR39)=2, "+", IF(COUNTIF($B39:AQ39,"X")=0, "+", "-") ),
  IF(
    $A39&lt;AR$1,
    "O",
    IF( OFFSET(AR$1, COLUMN(AR39)-1, 0)="-", "O", IF(MOD($A39, AR$1)=0, "X", "O") )
  )
)</f>
        <v>O</v>
      </c>
      <c r="AS39" s="45" t="str">
        <f ca="1">IF(
  $A39=AS$1,
  IF( ROW(AS39)=2, "+", IF(COUNTIF($B39:AR39,"X")=0, "+", "-") ),
  IF(
    $A39&lt;AS$1,
    "O",
    IF( OFFSET(AS$1, COLUMN(AS39)-1, 0)="-", "O", IF(MOD($A39, AS$1)=0, "X", "O") )
  )
)</f>
        <v>O</v>
      </c>
      <c r="AT39" s="45" t="str">
        <f ca="1">IF(
  $A39=AT$1,
  IF( ROW(AT39)=2, "+", IF(COUNTIF($B39:AS39,"X")=0, "+", "-") ),
  IF(
    $A39&lt;AT$1,
    "O",
    IF( OFFSET(AT$1, COLUMN(AT39)-1, 0)="-", "O", IF(MOD($A39, AT$1)=0, "X", "O") )
  )
)</f>
        <v>O</v>
      </c>
      <c r="AU39" s="45" t="str">
        <f ca="1">IF(
  $A39=AU$1,
  IF( ROW(AU39)=2, "+", IF(COUNTIF($B39:AT39,"X")=0, "+", "-") ),
  IF(
    $A39&lt;AU$1,
    "O",
    IF( OFFSET(AU$1, COLUMN(AU39)-1, 0)="-", "O", IF(MOD($A39, AU$1)=0, "X", "O") )
  )
)</f>
        <v>O</v>
      </c>
      <c r="AV39" s="45" t="str">
        <f ca="1">IF(
  $A39=AV$1,
  IF( ROW(AV39)=2, "+", IF(COUNTIF($B39:AU39,"X")=0, "+", "-") ),
  IF(
    $A39&lt;AV$1,
    "O",
    IF( OFFSET(AV$1, COLUMN(AV39)-1, 0)="-", "O", IF(MOD($A39, AV$1)=0, "X", "O") )
  )
)</f>
        <v>O</v>
      </c>
      <c r="AW39" s="45" t="str">
        <f ca="1">IF(
  $A39=AW$1,
  IF( ROW(AW39)=2, "+", IF(COUNTIF($B39:AV39,"X")=0, "+", "-") ),
  IF(
    $A39&lt;AW$1,
    "O",
    IF( OFFSET(AW$1, COLUMN(AW39)-1, 0)="-", "O", IF(MOD($A39, AW$1)=0, "X", "O") )
  )
)</f>
        <v>O</v>
      </c>
      <c r="AX39" s="45" t="str">
        <f ca="1">IF(
  $A39=AX$1,
  IF( ROW(AX39)=2, "+", IF(COUNTIF($B39:AW39,"X")=0, "+", "-") ),
  IF(
    $A39&lt;AX$1,
    "O",
    IF( OFFSET(AX$1, COLUMN(AX39)-1, 0)="-", "O", IF(MOD($A39, AX$1)=0, "X", "O") )
  )
)</f>
        <v>O</v>
      </c>
      <c r="AY39" s="45" t="str">
        <f ca="1">IF(
  $A39=AY$1,
  IF( ROW(AY39)=2, "+", IF(COUNTIF($B39:AX39,"X")=0, "+", "-") ),
  IF(
    $A39&lt;AY$1,
    "O",
    IF( OFFSET(AY$1, COLUMN(AY39)-1, 0)="-", "O", IF(MOD($A39, AY$1)=0, "X", "O") )
  )
)</f>
        <v>O</v>
      </c>
      <c r="AZ39" s="45" t="str">
        <f ca="1">IF(
  $A39=AZ$1,
  IF( ROW(AZ39)=2, "+", IF(COUNTIF($B39:AY39,"X")=0, "+", "-") ),
  IF(
    $A39&lt;AZ$1,
    "O",
    IF( OFFSET(AZ$1, COLUMN(AZ39)-1, 0)="-", "O", IF(MOD($A39, AZ$1)=0, "X", "O") )
  )
)</f>
        <v>O</v>
      </c>
      <c r="BA39" s="45" t="str">
        <f ca="1">IF(
  $A39=BA$1,
  IF( ROW(BA39)=2, "+", IF(COUNTIF($B39:AZ39,"X")=0, "+", "-") ),
  IF(
    $A39&lt;BA$1,
    "O",
    IF( OFFSET(BA$1, COLUMN(BA39)-1, 0)="-", "O", IF(MOD($A39, BA$1)=0, "X", "O") )
  )
)</f>
        <v>O</v>
      </c>
      <c r="BB39" s="45" t="str">
        <f ca="1">IF(
  $A39=BB$1,
  IF( ROW(BB39)=2, "+", IF(COUNTIF($B39:BA39,"X")=0, "+", "-") ),
  IF(
    $A39&lt;BB$1,
    "O",
    IF( OFFSET(BB$1, COLUMN(BB39)-1, 0)="-", "O", IF(MOD($A39, BB$1)=0, "X", "O") )
  )
)</f>
        <v>O</v>
      </c>
      <c r="BC39" s="45" t="str">
        <f ca="1">IF(
  $A39=BC$1,
  IF( ROW(BC39)=2, "+", IF(COUNTIF($B39:BB39,"X")=0, "+", "-") ),
  IF(
    $A39&lt;BC$1,
    "O",
    IF( OFFSET(BC$1, COLUMN(BC39)-1, 0)="-", "O", IF(MOD($A39, BC$1)=0, "X", "O") )
  )
)</f>
        <v>O</v>
      </c>
      <c r="BD39" s="45" t="str">
        <f ca="1">IF(
  $A39=BD$1,
  IF( ROW(BD39)=2, "+", IF(COUNTIF($B39:BC39,"X")=0, "+", "-") ),
  IF(
    $A39&lt;BD$1,
    "O",
    IF( OFFSET(BD$1, COLUMN(BD39)-1, 0)="-", "O", IF(MOD($A39, BD$1)=0, "X", "O") )
  )
)</f>
        <v>O</v>
      </c>
      <c r="BE39" s="45" t="str">
        <f ca="1">IF(
  $A39=BE$1,
  IF( ROW(BE39)=2, "+", IF(COUNTIF($B39:BD39,"X")=0, "+", "-") ),
  IF(
    $A39&lt;BE$1,
    "O",
    IF( OFFSET(BE$1, COLUMN(BE39)-1, 0)="-", "O", IF(MOD($A39, BE$1)=0, "X", "O") )
  )
)</f>
        <v>O</v>
      </c>
      <c r="BF39" s="45" t="str">
        <f ca="1">IF(
  $A39=BF$1,
  IF( ROW(BF39)=2, "+", IF(COUNTIF($B39:BE39,"X")=0, "+", "-") ),
  IF(
    $A39&lt;BF$1,
    "O",
    IF( OFFSET(BF$1, COLUMN(BF39)-1, 0)="-", "O", IF(MOD($A39, BF$1)=0, "X", "O") )
  )
)</f>
        <v>O</v>
      </c>
      <c r="BG39" s="45" t="str">
        <f ca="1">IF(
  $A39=BG$1,
  IF( ROW(BG39)=2, "+", IF(COUNTIF($B39:BF39,"X")=0, "+", "-") ),
  IF(
    $A39&lt;BG$1,
    "O",
    IF( OFFSET(BG$1, COLUMN(BG39)-1, 0)="-", "O", IF(MOD($A39, BG$1)=0, "X", "O") )
  )
)</f>
        <v>O</v>
      </c>
      <c r="BH39" s="45" t="str">
        <f ca="1">IF(
  $A39=BH$1,
  IF( ROW(BH39)=2, "+", IF(COUNTIF($B39:BG39,"X")=0, "+", "-") ),
  IF(
    $A39&lt;BH$1,
    "O",
    IF( OFFSET(BH$1, COLUMN(BH39)-1, 0)="-", "O", IF(MOD($A39, BH$1)=0, "X", "O") )
  )
)</f>
        <v>O</v>
      </c>
    </row>
    <row r="40" spans="1:60" s="46" customFormat="1" x14ac:dyDescent="0.25">
      <c r="A40">
        <v>40</v>
      </c>
      <c r="B40" s="44" t="str">
        <f ca="1">IF(
  $A40=B$1,
  IF( ROW(B40)=2, "+", IF(COUNTIF(A40:$B40,"X")=0, "+", "-") ),
  IF(
    $A40&lt;B$1,
    "O",
    IF( OFFSET(B$1, COLUMN(B40)-1, 0)="-", "O", IF(MOD($A40, B$1)=0, "X", "O") )
  )
)</f>
        <v>X</v>
      </c>
      <c r="C40" s="44" t="str">
        <f ca="1">IF(
  $A40=C$1,
  IF( ROW(C40)=2, "+", IF(COUNTIF(B40:$B40,"X")=0, "+", "-") ),
  IF(
    $A40&lt;C$1,
    "O",
    IF( OFFSET(C$1, COLUMN(C40)-1, 0)="-", "O", IF(MOD($A40, C$1)=0, "X", "O") )
  )
)</f>
        <v>O</v>
      </c>
      <c r="D40" s="45" t="str">
        <f ca="1">IF(
  $A40=D$1,
  IF( ROW(D40)=2, "+", IF(COUNTIF($B40:C40,"X")=0, "+", "-") ),
  IF(
    $A40&lt;D$1,
    "O",
    IF( OFFSET(D$1, COLUMN(D40)-1, 0)="-", "O", IF(MOD($A40, D$1)=0, "X", "O") )
  )
)</f>
        <v>O</v>
      </c>
      <c r="E40" s="44" t="str">
        <f ca="1">IF(
  $A40=E$1,
  IF( ROW(E40)=2, "+", IF(COUNTIF($B40:D40,"X")=0, "+", "-") ),
  IF(
    $A40&lt;E$1,
    "O",
    IF( OFFSET(E$1, COLUMN(E40)-1, 0)="-", "O", IF(MOD($A40, E$1)=0, "X", "O") )
  )
)</f>
        <v>X</v>
      </c>
      <c r="F40" s="45" t="str">
        <f ca="1">IF(
  $A40=F$1,
  IF( ROW(F40)=2, "+", IF(COUNTIF($B40:E40,"X")=0, "+", "-") ),
  IF(
    $A40&lt;F$1,
    "O",
    IF( OFFSET(F$1, COLUMN(F40)-1, 0)="-", "O", IF(MOD($A40, F$1)=0, "X", "O") )
  )
)</f>
        <v>O</v>
      </c>
      <c r="G40" s="44" t="str">
        <f ca="1">IF(
  $A40=G$1,
  IF( ROW(G40)=2, "+", IF(COUNTIF($B40:F40,"X")=0, "+", "-") ),
  IF(
    $A40&lt;G$1,
    "O",
    IF( OFFSET(G$1, COLUMN(G40)-1, 0)="-", "O", IF(MOD($A40, G$1)=0, "X", "O") )
  )
)</f>
        <v>O</v>
      </c>
      <c r="H40" s="45" t="str">
        <f ca="1">IF(
  $A40=H$1,
  IF( ROW(H40)=2, "+", IF(COUNTIF($B40:G40,"X")=0, "+", "-") ),
  IF(
    $A40&lt;H$1,
    "O",
    IF( OFFSET(H$1, COLUMN(H40)-1, 0)="-", "O", IF(MOD($A40, H$1)=0, "X", "O") )
  )
)</f>
        <v>O</v>
      </c>
      <c r="I40" s="45" t="str">
        <f ca="1">IF(
  $A40=I$1,
  IF( ROW(I40)=2, "+", IF(COUNTIF($B40:H40,"X")=0, "+", "-") ),
  IF(
    $A40&lt;I$1,
    "O",
    IF( OFFSET(I$1, COLUMN(I40)-1, 0)="-", "O", IF(MOD($A40, I$1)=0, "X", "O") )
  )
)</f>
        <v>O</v>
      </c>
      <c r="J40" s="45" t="str">
        <f ca="1">IF(
  $A40=J$1,
  IF( ROW(J40)=2, "+", IF(COUNTIF($B40:I40,"X")=0, "+", "-") ),
  IF(
    $A40&lt;J$1,
    "O",
    IF( OFFSET(J$1, COLUMN(J40)-1, 0)="-", "O", IF(MOD($A40, J$1)=0, "X", "O") )
  )
)</f>
        <v>O</v>
      </c>
      <c r="K40" s="44" t="str">
        <f ca="1">IF(
  $A40=K$1,
  IF( ROW(K40)=2, "+", IF(COUNTIF($B40:J40,"X")=0, "+", "-") ),
  IF(
    $A40&lt;K$1,
    "O",
    IF( OFFSET(K$1, COLUMN(K40)-1, 0)="-", "O", IF(MOD($A40, K$1)=0, "X", "O") )
  )
)</f>
        <v>O</v>
      </c>
      <c r="L40" s="45" t="str">
        <f ca="1">IF(
  $A40=L$1,
  IF( ROW(L40)=2, "+", IF(COUNTIF($B40:K40,"X")=0, "+", "-") ),
  IF(
    $A40&lt;L$1,
    "O",
    IF( OFFSET(L$1, COLUMN(L40)-1, 0)="-", "O", IF(MOD($A40, L$1)=0, "X", "O") )
  )
)</f>
        <v>O</v>
      </c>
      <c r="M40" s="44" t="str">
        <f ca="1">IF(
  $A40=M$1,
  IF( ROW(M40)=2, "+", IF(COUNTIF($B40:L40,"X")=0, "+", "-") ),
  IF(
    $A40&lt;M$1,
    "O",
    IF( OFFSET(M$1, COLUMN(M40)-1, 0)="-", "O", IF(MOD($A40, M$1)=0, "X", "O") )
  )
)</f>
        <v>O</v>
      </c>
      <c r="N40" s="45" t="str">
        <f ca="1">IF(
  $A40=N$1,
  IF( ROW(N40)=2, "+", IF(COUNTIF($B40:M40,"X")=0, "+", "-") ),
  IF(
    $A40&lt;N$1,
    "O",
    IF( OFFSET(N$1, COLUMN(N40)-1, 0)="-", "O", IF(MOD($A40, N$1)=0, "X", "O") )
  )
)</f>
        <v>O</v>
      </c>
      <c r="O40" s="45" t="str">
        <f ca="1">IF(
  $A40=O$1,
  IF( ROW(O40)=2, "+", IF(COUNTIF($B40:N40,"X")=0, "+", "-") ),
  IF(
    $A40&lt;O$1,
    "O",
    IF( OFFSET(O$1, COLUMN(O40)-1, 0)="-", "O", IF(MOD($A40, O$1)=0, "X", "O") )
  )
)</f>
        <v>O</v>
      </c>
      <c r="P40" s="45" t="str">
        <f ca="1">IF(
  $A40=P$1,
  IF( ROW(P40)=2, "+", IF(COUNTIF($B40:O40,"X")=0, "+", "-") ),
  IF(
    $A40&lt;P$1,
    "O",
    IF( OFFSET(P$1, COLUMN(P40)-1, 0)="-", "O", IF(MOD($A40, P$1)=0, "X", "O") )
  )
)</f>
        <v>O</v>
      </c>
      <c r="Q40" s="44" t="str">
        <f ca="1">IF(
  $A40=Q$1,
  IF( ROW(Q40)=2, "+", IF(COUNTIF($B40:P40,"X")=0, "+", "-") ),
  IF(
    $A40&lt;Q$1,
    "O",
    IF( OFFSET(Q$1, COLUMN(Q40)-1, 0)="-", "O", IF(MOD($A40, Q$1)=0, "X", "O") )
  )
)</f>
        <v>O</v>
      </c>
      <c r="R40" s="45" t="str">
        <f ca="1">IF(
  $A40=R$1,
  IF( ROW(R40)=2, "+", IF(COUNTIF($B40:Q40,"X")=0, "+", "-") ),
  IF(
    $A40&lt;R$1,
    "O",
    IF( OFFSET(R$1, COLUMN(R40)-1, 0)="-", "O", IF(MOD($A40, R$1)=0, "X", "O") )
  )
)</f>
        <v>O</v>
      </c>
      <c r="S40" s="44" t="str">
        <f ca="1">IF(
  $A40=S$1,
  IF( ROW(S40)=2, "+", IF(COUNTIF($B40:R40,"X")=0, "+", "-") ),
  IF(
    $A40&lt;S$1,
    "O",
    IF( OFFSET(S$1, COLUMN(S40)-1, 0)="-", "O", IF(MOD($A40, S$1)=0, "X", "O") )
  )
)</f>
        <v>O</v>
      </c>
      <c r="T40" s="45" t="str">
        <f ca="1">IF(
  $A40=T$1,
  IF( ROW(T40)=2, "+", IF(COUNTIF($B40:S40,"X")=0, "+", "-") ),
  IF(
    $A40&lt;T$1,
    "O",
    IF( OFFSET(T$1, COLUMN(T40)-1, 0)="-", "O", IF(MOD($A40, T$1)=0, "X", "O") )
  )
)</f>
        <v>O</v>
      </c>
      <c r="U40" s="45" t="str">
        <f ca="1">IF(
  $A40=U$1,
  IF( ROW(U40)=2, "+", IF(COUNTIF($B40:T40,"X")=0, "+", "-") ),
  IF(
    $A40&lt;U$1,
    "O",
    IF( OFFSET(U$1, COLUMN(U40)-1, 0)="-", "O", IF(MOD($A40, U$1)=0, "X", "O") )
  )
)</f>
        <v>O</v>
      </c>
      <c r="V40" s="45" t="str">
        <f ca="1">IF(
  $A40=V$1,
  IF( ROW(V40)=2, "+", IF(COUNTIF($B40:U40,"X")=0, "+", "-") ),
  IF(
    $A40&lt;V$1,
    "O",
    IF( OFFSET(V$1, COLUMN(V40)-1, 0)="-", "O", IF(MOD($A40, V$1)=0, "X", "O") )
  )
)</f>
        <v>O</v>
      </c>
      <c r="W40" s="44" t="str">
        <f ca="1">IF(
  $A40=W$1,
  IF( ROW(W40)=2, "+", IF(COUNTIF($B40:V40,"X")=0, "+", "-") ),
  IF(
    $A40&lt;W$1,
    "O",
    IF( OFFSET(W$1, COLUMN(W40)-1, 0)="-", "O", IF(MOD($A40, W$1)=0, "X", "O") )
  )
)</f>
        <v>O</v>
      </c>
      <c r="X40" s="45" t="str">
        <f ca="1">IF(
  $A40=X$1,
  IF( ROW(X40)=2, "+", IF(COUNTIF($B40:W40,"X")=0, "+", "-") ),
  IF(
    $A40&lt;X$1,
    "O",
    IF( OFFSET(X$1, COLUMN(X40)-1, 0)="-", "O", IF(MOD($A40, X$1)=0, "X", "O") )
  )
)</f>
        <v>O</v>
      </c>
      <c r="Y40" s="45" t="str">
        <f ca="1">IF(
  $A40=Y$1,
  IF( ROW(Y40)=2, "+", IF(COUNTIF($B40:X40,"X")=0, "+", "-") ),
  IF(
    $A40&lt;Y$1,
    "O",
    IF( OFFSET(Y$1, COLUMN(Y40)-1, 0)="-", "O", IF(MOD($A40, Y$1)=0, "X", "O") )
  )
)</f>
        <v>O</v>
      </c>
      <c r="Z40" s="45" t="str">
        <f ca="1">IF(
  $A40=Z$1,
  IF( ROW(Z40)=2, "+", IF(COUNTIF($B40:Y40,"X")=0, "+", "-") ),
  IF(
    $A40&lt;Z$1,
    "O",
    IF( OFFSET(Z$1, COLUMN(Z40)-1, 0)="-", "O", IF(MOD($A40, Z$1)=0, "X", "O") )
  )
)</f>
        <v>O</v>
      </c>
      <c r="AA40" s="45" t="str">
        <f ca="1">IF(
  $A40=AA$1,
  IF( ROW(AA40)=2, "+", IF(COUNTIF($B40:Z40,"X")=0, "+", "-") ),
  IF(
    $A40&lt;AA$1,
    "O",
    IF( OFFSET(AA$1, COLUMN(AA40)-1, 0)="-", "O", IF(MOD($A40, AA$1)=0, "X", "O") )
  )
)</f>
        <v>O</v>
      </c>
      <c r="AB40" s="45" t="str">
        <f ca="1">IF(
  $A40=AB$1,
  IF( ROW(AB40)=2, "+", IF(COUNTIF($B40:AA40,"X")=0, "+", "-") ),
  IF(
    $A40&lt;AB$1,
    "O",
    IF( OFFSET(AB$1, COLUMN(AB40)-1, 0)="-", "O", IF(MOD($A40, AB$1)=0, "X", "O") )
  )
)</f>
        <v>O</v>
      </c>
      <c r="AC40" s="44" t="str">
        <f ca="1">IF(
  $A40=AC$1,
  IF( ROW(AC40)=2, "+", IF(COUNTIF($B40:AB40,"X")=0, "+", "-") ),
  IF(
    $A40&lt;AC$1,
    "O",
    IF( OFFSET(AC$1, COLUMN(AC40)-1, 0)="-", "O", IF(MOD($A40, AC$1)=0, "X", "O") )
  )
)</f>
        <v>O</v>
      </c>
      <c r="AD40" s="45" t="str">
        <f ca="1">IF(
  $A40=AD$1,
  IF( ROW(AD40)=2, "+", IF(COUNTIF($B40:AC40,"X")=0, "+", "-") ),
  IF(
    $A40&lt;AD$1,
    "O",
    IF( OFFSET(AD$1, COLUMN(AD40)-1, 0)="-", "O", IF(MOD($A40, AD$1)=0, "X", "O") )
  )
)</f>
        <v>O</v>
      </c>
      <c r="AE40" s="44" t="str">
        <f ca="1">IF(
  $A40=AE$1,
  IF( ROW(AE40)=2, "+", IF(COUNTIF($B40:AD40,"X")=0, "+", "-") ),
  IF(
    $A40&lt;AE$1,
    "O",
    IF( OFFSET(AE$1, COLUMN(AE40)-1, 0)="-", "O", IF(MOD($A40, AE$1)=0, "X", "O") )
  )
)</f>
        <v>O</v>
      </c>
      <c r="AF40" s="45" t="str">
        <f ca="1">IF(
  $A40=AF$1,
  IF( ROW(AF40)=2, "+", IF(COUNTIF($B40:AE40,"X")=0, "+", "-") ),
  IF(
    $A40&lt;AF$1,
    "O",
    IF( OFFSET(AF$1, COLUMN(AF40)-1, 0)="-", "O", IF(MOD($A40, AF$1)=0, "X", "O") )
  )
)</f>
        <v>O</v>
      </c>
      <c r="AG40" s="45" t="str">
        <f ca="1">IF(
  $A40=AG$1,
  IF( ROW(AG40)=2, "+", IF(COUNTIF($B40:AF40,"X")=0, "+", "-") ),
  IF(
    $A40&lt;AG$1,
    "O",
    IF( OFFSET(AG$1, COLUMN(AG40)-1, 0)="-", "O", IF(MOD($A40, AG$1)=0, "X", "O") )
  )
)</f>
        <v>O</v>
      </c>
      <c r="AH40" s="45" t="str">
        <f ca="1">IF(
  $A40=AH$1,
  IF( ROW(AH40)=2, "+", IF(COUNTIF($B40:AG40,"X")=0, "+", "-") ),
  IF(
    $A40&lt;AH$1,
    "O",
    IF( OFFSET(AH$1, COLUMN(AH40)-1, 0)="-", "O", IF(MOD($A40, AH$1)=0, "X", "O") )
  )
)</f>
        <v>O</v>
      </c>
      <c r="AI40" s="45" t="str">
        <f ca="1">IF(
  $A40=AI$1,
  IF( ROW(AI40)=2, "+", IF(COUNTIF($B40:AH40,"X")=0, "+", "-") ),
  IF(
    $A40&lt;AI$1,
    "O",
    IF( OFFSET(AI$1, COLUMN(AI40)-1, 0)="-", "O", IF(MOD($A40, AI$1)=0, "X", "O") )
  )
)</f>
        <v>O</v>
      </c>
      <c r="AJ40" s="45" t="str">
        <f ca="1">IF(
  $A40=AJ$1,
  IF( ROW(AJ40)=2, "+", IF(COUNTIF($B40:AI40,"X")=0, "+", "-") ),
  IF(
    $A40&lt;AJ$1,
    "O",
    IF( OFFSET(AJ$1, COLUMN(AJ40)-1, 0)="-", "O", IF(MOD($A40, AJ$1)=0, "X", "O") )
  )
)</f>
        <v>O</v>
      </c>
      <c r="AK40" s="44" t="str">
        <f ca="1">IF(
  $A40=AK$1,
  IF( ROW(AK40)=2, "+", IF(COUNTIF($B40:AJ40,"X")=0, "+", "-") ),
  IF(
    $A40&lt;AK$1,
    "O",
    IF( OFFSET(AK$1, COLUMN(AK40)-1, 0)="-", "O", IF(MOD($A40, AK$1)=0, "X", "O") )
  )
)</f>
        <v>O</v>
      </c>
      <c r="AL40" s="45" t="str">
        <f ca="1">IF(
  $A40=AL$1,
  IF( ROW(AL40)=2, "+", IF(COUNTIF($B40:AK40,"X")=0, "+", "-") ),
  IF(
    $A40&lt;AL$1,
    "O",
    IF( OFFSET(AL$1, COLUMN(AL40)-1, 0)="-", "O", IF(MOD($A40, AL$1)=0, "X", "O") )
  )
)</f>
        <v>O</v>
      </c>
      <c r="AM40" s="45" t="str">
        <f ca="1">IF(
  $A40=AM$1,
  IF( ROW(AM40)=2, "+", IF(COUNTIF($B40:AL40,"X")=0, "+", "-") ),
  IF(
    $A40&lt;AM$1,
    "O",
    IF( OFFSET(AM$1, COLUMN(AM40)-1, 0)="-", "O", IF(MOD($A40, AM$1)=0, "X", "O") )
  )
)</f>
        <v>O</v>
      </c>
      <c r="AN40" s="45" t="str">
        <f ca="1">IF(
  $A40=AN$1,
  IF( ROW(AN40)=2, "+", IF(COUNTIF($B40:AM40,"X")=0, "+", "-") ),
  IF(
    $A40&lt;AN$1,
    "O",
    IF( OFFSET(AN$1, COLUMN(AN40)-1, 0)="-", "O", IF(MOD($A40, AN$1)=0, "X", "O") )
  )
)</f>
        <v>-</v>
      </c>
      <c r="AO40" s="45" t="str">
        <f ca="1">IF(
  $A40=AO$1,
  IF( ROW(AO40)=2, "+", IF(COUNTIF($B40:AN40,"X")=0, "+", "-") ),
  IF(
    $A40&lt;AO$1,
    "O",
    IF( OFFSET(AO$1, COLUMN(AO40)-1, 0)="-", "O", IF(MOD($A40, AO$1)=0, "X", "O") )
  )
)</f>
        <v>O</v>
      </c>
      <c r="AP40" s="45" t="str">
        <f ca="1">IF(
  $A40=AP$1,
  IF( ROW(AP40)=2, "+", IF(COUNTIF($B40:AO40,"X")=0, "+", "-") ),
  IF(
    $A40&lt;AP$1,
    "O",
    IF( OFFSET(AP$1, COLUMN(AP40)-1, 0)="-", "O", IF(MOD($A40, AP$1)=0, "X", "O") )
  )
)</f>
        <v>O</v>
      </c>
      <c r="AQ40" s="45" t="str">
        <f ca="1">IF(
  $A40=AQ$1,
  IF( ROW(AQ40)=2, "+", IF(COUNTIF($B40:AP40,"X")=0, "+", "-") ),
  IF(
    $A40&lt;AQ$1,
    "O",
    IF( OFFSET(AQ$1, COLUMN(AQ40)-1, 0)="-", "O", IF(MOD($A40, AQ$1)=0, "X", "O") )
  )
)</f>
        <v>O</v>
      </c>
      <c r="AR40" s="45" t="str">
        <f ca="1">IF(
  $A40=AR$1,
  IF( ROW(AR40)=2, "+", IF(COUNTIF($B40:AQ40,"X")=0, "+", "-") ),
  IF(
    $A40&lt;AR$1,
    "O",
    IF( OFFSET(AR$1, COLUMN(AR40)-1, 0)="-", "O", IF(MOD($A40, AR$1)=0, "X", "O") )
  )
)</f>
        <v>O</v>
      </c>
      <c r="AS40" s="45" t="str">
        <f ca="1">IF(
  $A40=AS$1,
  IF( ROW(AS40)=2, "+", IF(COUNTIF($B40:AR40,"X")=0, "+", "-") ),
  IF(
    $A40&lt;AS$1,
    "O",
    IF( OFFSET(AS$1, COLUMN(AS40)-1, 0)="-", "O", IF(MOD($A40, AS$1)=0, "X", "O") )
  )
)</f>
        <v>O</v>
      </c>
      <c r="AT40" s="45" t="str">
        <f ca="1">IF(
  $A40=AT$1,
  IF( ROW(AT40)=2, "+", IF(COUNTIF($B40:AS40,"X")=0, "+", "-") ),
  IF(
    $A40&lt;AT$1,
    "O",
    IF( OFFSET(AT$1, COLUMN(AT40)-1, 0)="-", "O", IF(MOD($A40, AT$1)=0, "X", "O") )
  )
)</f>
        <v>O</v>
      </c>
      <c r="AU40" s="45" t="str">
        <f ca="1">IF(
  $A40=AU$1,
  IF( ROW(AU40)=2, "+", IF(COUNTIF($B40:AT40,"X")=0, "+", "-") ),
  IF(
    $A40&lt;AU$1,
    "O",
    IF( OFFSET(AU$1, COLUMN(AU40)-1, 0)="-", "O", IF(MOD($A40, AU$1)=0, "X", "O") )
  )
)</f>
        <v>O</v>
      </c>
      <c r="AV40" s="45" t="str">
        <f ca="1">IF(
  $A40=AV$1,
  IF( ROW(AV40)=2, "+", IF(COUNTIF($B40:AU40,"X")=0, "+", "-") ),
  IF(
    $A40&lt;AV$1,
    "O",
    IF( OFFSET(AV$1, COLUMN(AV40)-1, 0)="-", "O", IF(MOD($A40, AV$1)=0, "X", "O") )
  )
)</f>
        <v>O</v>
      </c>
      <c r="AW40" s="45" t="str">
        <f ca="1">IF(
  $A40=AW$1,
  IF( ROW(AW40)=2, "+", IF(COUNTIF($B40:AV40,"X")=0, "+", "-") ),
  IF(
    $A40&lt;AW$1,
    "O",
    IF( OFFSET(AW$1, COLUMN(AW40)-1, 0)="-", "O", IF(MOD($A40, AW$1)=0, "X", "O") )
  )
)</f>
        <v>O</v>
      </c>
      <c r="AX40" s="45" t="str">
        <f ca="1">IF(
  $A40=AX$1,
  IF( ROW(AX40)=2, "+", IF(COUNTIF($B40:AW40,"X")=0, "+", "-") ),
  IF(
    $A40&lt;AX$1,
    "O",
    IF( OFFSET(AX$1, COLUMN(AX40)-1, 0)="-", "O", IF(MOD($A40, AX$1)=0, "X", "O") )
  )
)</f>
        <v>O</v>
      </c>
      <c r="AY40" s="45" t="str">
        <f ca="1">IF(
  $A40=AY$1,
  IF( ROW(AY40)=2, "+", IF(COUNTIF($B40:AX40,"X")=0, "+", "-") ),
  IF(
    $A40&lt;AY$1,
    "O",
    IF( OFFSET(AY$1, COLUMN(AY40)-1, 0)="-", "O", IF(MOD($A40, AY$1)=0, "X", "O") )
  )
)</f>
        <v>O</v>
      </c>
      <c r="AZ40" s="45" t="str">
        <f ca="1">IF(
  $A40=AZ$1,
  IF( ROW(AZ40)=2, "+", IF(COUNTIF($B40:AY40,"X")=0, "+", "-") ),
  IF(
    $A40&lt;AZ$1,
    "O",
    IF( OFFSET(AZ$1, COLUMN(AZ40)-1, 0)="-", "O", IF(MOD($A40, AZ$1)=0, "X", "O") )
  )
)</f>
        <v>O</v>
      </c>
      <c r="BA40" s="45" t="str">
        <f ca="1">IF(
  $A40=BA$1,
  IF( ROW(BA40)=2, "+", IF(COUNTIF($B40:AZ40,"X")=0, "+", "-") ),
  IF(
    $A40&lt;BA$1,
    "O",
    IF( OFFSET(BA$1, COLUMN(BA40)-1, 0)="-", "O", IF(MOD($A40, BA$1)=0, "X", "O") )
  )
)</f>
        <v>O</v>
      </c>
      <c r="BB40" s="45" t="str">
        <f ca="1">IF(
  $A40=BB$1,
  IF( ROW(BB40)=2, "+", IF(COUNTIF($B40:BA40,"X")=0, "+", "-") ),
  IF(
    $A40&lt;BB$1,
    "O",
    IF( OFFSET(BB$1, COLUMN(BB40)-1, 0)="-", "O", IF(MOD($A40, BB$1)=0, "X", "O") )
  )
)</f>
        <v>O</v>
      </c>
      <c r="BC40" s="45" t="str">
        <f ca="1">IF(
  $A40=BC$1,
  IF( ROW(BC40)=2, "+", IF(COUNTIF($B40:BB40,"X")=0, "+", "-") ),
  IF(
    $A40&lt;BC$1,
    "O",
    IF( OFFSET(BC$1, COLUMN(BC40)-1, 0)="-", "O", IF(MOD($A40, BC$1)=0, "X", "O") )
  )
)</f>
        <v>O</v>
      </c>
      <c r="BD40" s="45" t="str">
        <f ca="1">IF(
  $A40=BD$1,
  IF( ROW(BD40)=2, "+", IF(COUNTIF($B40:BC40,"X")=0, "+", "-") ),
  IF(
    $A40&lt;BD$1,
    "O",
    IF( OFFSET(BD$1, COLUMN(BD40)-1, 0)="-", "O", IF(MOD($A40, BD$1)=0, "X", "O") )
  )
)</f>
        <v>O</v>
      </c>
      <c r="BE40" s="45" t="str">
        <f ca="1">IF(
  $A40=BE$1,
  IF( ROW(BE40)=2, "+", IF(COUNTIF($B40:BD40,"X")=0, "+", "-") ),
  IF(
    $A40&lt;BE$1,
    "O",
    IF( OFFSET(BE$1, COLUMN(BE40)-1, 0)="-", "O", IF(MOD($A40, BE$1)=0, "X", "O") )
  )
)</f>
        <v>O</v>
      </c>
      <c r="BF40" s="45" t="str">
        <f ca="1">IF(
  $A40=BF$1,
  IF( ROW(BF40)=2, "+", IF(COUNTIF($B40:BE40,"X")=0, "+", "-") ),
  IF(
    $A40&lt;BF$1,
    "O",
    IF( OFFSET(BF$1, COLUMN(BF40)-1, 0)="-", "O", IF(MOD($A40, BF$1)=0, "X", "O") )
  )
)</f>
        <v>O</v>
      </c>
      <c r="BG40" s="45" t="str">
        <f ca="1">IF(
  $A40=BG$1,
  IF( ROW(BG40)=2, "+", IF(COUNTIF($B40:BF40,"X")=0, "+", "-") ),
  IF(
    $A40&lt;BG$1,
    "O",
    IF( OFFSET(BG$1, COLUMN(BG40)-1, 0)="-", "O", IF(MOD($A40, BG$1)=0, "X", "O") )
  )
)</f>
        <v>O</v>
      </c>
      <c r="BH40" s="45" t="str">
        <f ca="1">IF(
  $A40=BH$1,
  IF( ROW(BH40)=2, "+", IF(COUNTIF($B40:BG40,"X")=0, "+", "-") ),
  IF(
    $A40&lt;BH$1,
    "O",
    IF( OFFSET(BH$1, COLUMN(BH40)-1, 0)="-", "O", IF(MOD($A40, BH$1)=0, "X", "O") )
  )
)</f>
        <v>O</v>
      </c>
    </row>
    <row r="41" spans="1:60" s="46" customFormat="1" x14ac:dyDescent="0.25">
      <c r="A41">
        <v>41</v>
      </c>
      <c r="B41" s="44" t="str">
        <f ca="1">IF(
  $A41=B$1,
  IF( ROW(B41)=2, "+", IF(COUNTIF(A41:$B41,"X")=0, "+", "-") ),
  IF(
    $A41&lt;B$1,
    "O",
    IF( OFFSET(B$1, COLUMN(B41)-1, 0)="-", "O", IF(MOD($A41, B$1)=0, "X", "O") )
  )
)</f>
        <v>O</v>
      </c>
      <c r="C41" s="44" t="str">
        <f ca="1">IF(
  $A41=C$1,
  IF( ROW(C41)=2, "+", IF(COUNTIF(B41:$B41,"X")=0, "+", "-") ),
  IF(
    $A41&lt;C$1,
    "O",
    IF( OFFSET(C$1, COLUMN(C41)-1, 0)="-", "O", IF(MOD($A41, C$1)=0, "X", "O") )
  )
)</f>
        <v>O</v>
      </c>
      <c r="D41" s="45" t="str">
        <f ca="1">IF(
  $A41=D$1,
  IF( ROW(D41)=2, "+", IF(COUNTIF($B41:C41,"X")=0, "+", "-") ),
  IF(
    $A41&lt;D$1,
    "O",
    IF( OFFSET(D$1, COLUMN(D41)-1, 0)="-", "O", IF(MOD($A41, D$1)=0, "X", "O") )
  )
)</f>
        <v>O</v>
      </c>
      <c r="E41" s="44" t="str">
        <f ca="1">IF(
  $A41=E$1,
  IF( ROW(E41)=2, "+", IF(COUNTIF($B41:D41,"X")=0, "+", "-") ),
  IF(
    $A41&lt;E$1,
    "O",
    IF( OFFSET(E$1, COLUMN(E41)-1, 0)="-", "O", IF(MOD($A41, E$1)=0, "X", "O") )
  )
)</f>
        <v>O</v>
      </c>
      <c r="F41" s="45" t="str">
        <f ca="1">IF(
  $A41=F$1,
  IF( ROW(F41)=2, "+", IF(COUNTIF($B41:E41,"X")=0, "+", "-") ),
  IF(
    $A41&lt;F$1,
    "O",
    IF( OFFSET(F$1, COLUMN(F41)-1, 0)="-", "O", IF(MOD($A41, F$1)=0, "X", "O") )
  )
)</f>
        <v>O</v>
      </c>
      <c r="G41" s="44" t="str">
        <f ca="1">IF(
  $A41=G$1,
  IF( ROW(G41)=2, "+", IF(COUNTIF($B41:F41,"X")=0, "+", "-") ),
  IF(
    $A41&lt;G$1,
    "O",
    IF( OFFSET(G$1, COLUMN(G41)-1, 0)="-", "O", IF(MOD($A41, G$1)=0, "X", "O") )
  )
)</f>
        <v>O</v>
      </c>
      <c r="H41" s="45" t="str">
        <f ca="1">IF(
  $A41=H$1,
  IF( ROW(H41)=2, "+", IF(COUNTIF($B41:G41,"X")=0, "+", "-") ),
  IF(
    $A41&lt;H$1,
    "O",
    IF( OFFSET(H$1, COLUMN(H41)-1, 0)="-", "O", IF(MOD($A41, H$1)=0, "X", "O") )
  )
)</f>
        <v>O</v>
      </c>
      <c r="I41" s="45" t="str">
        <f ca="1">IF(
  $A41=I$1,
  IF( ROW(I41)=2, "+", IF(COUNTIF($B41:H41,"X")=0, "+", "-") ),
  IF(
    $A41&lt;I$1,
    "O",
    IF( OFFSET(I$1, COLUMN(I41)-1, 0)="-", "O", IF(MOD($A41, I$1)=0, "X", "O") )
  )
)</f>
        <v>O</v>
      </c>
      <c r="J41" s="45" t="str">
        <f ca="1">IF(
  $A41=J$1,
  IF( ROW(J41)=2, "+", IF(COUNTIF($B41:I41,"X")=0, "+", "-") ),
  IF(
    $A41&lt;J$1,
    "O",
    IF( OFFSET(J$1, COLUMN(J41)-1, 0)="-", "O", IF(MOD($A41, J$1)=0, "X", "O") )
  )
)</f>
        <v>O</v>
      </c>
      <c r="K41" s="44" t="str">
        <f ca="1">IF(
  $A41=K$1,
  IF( ROW(K41)=2, "+", IF(COUNTIF($B41:J41,"X")=0, "+", "-") ),
  IF(
    $A41&lt;K$1,
    "O",
    IF( OFFSET(K$1, COLUMN(K41)-1, 0)="-", "O", IF(MOD($A41, K$1)=0, "X", "O") )
  )
)</f>
        <v>O</v>
      </c>
      <c r="L41" s="45" t="str">
        <f ca="1">IF(
  $A41=L$1,
  IF( ROW(L41)=2, "+", IF(COUNTIF($B41:K41,"X")=0, "+", "-") ),
  IF(
    $A41&lt;L$1,
    "O",
    IF( OFFSET(L$1, COLUMN(L41)-1, 0)="-", "O", IF(MOD($A41, L$1)=0, "X", "O") )
  )
)</f>
        <v>O</v>
      </c>
      <c r="M41" s="44" t="str">
        <f ca="1">IF(
  $A41=M$1,
  IF( ROW(M41)=2, "+", IF(COUNTIF($B41:L41,"X")=0, "+", "-") ),
  IF(
    $A41&lt;M$1,
    "O",
    IF( OFFSET(M$1, COLUMN(M41)-1, 0)="-", "O", IF(MOD($A41, M$1)=0, "X", "O") )
  )
)</f>
        <v>O</v>
      </c>
      <c r="N41" s="45" t="str">
        <f ca="1">IF(
  $A41=N$1,
  IF( ROW(N41)=2, "+", IF(COUNTIF($B41:M41,"X")=0, "+", "-") ),
  IF(
    $A41&lt;N$1,
    "O",
    IF( OFFSET(N$1, COLUMN(N41)-1, 0)="-", "O", IF(MOD($A41, N$1)=0, "X", "O") )
  )
)</f>
        <v>O</v>
      </c>
      <c r="O41" s="45" t="str">
        <f ca="1">IF(
  $A41=O$1,
  IF( ROW(O41)=2, "+", IF(COUNTIF($B41:N41,"X")=0, "+", "-") ),
  IF(
    $A41&lt;O$1,
    "O",
    IF( OFFSET(O$1, COLUMN(O41)-1, 0)="-", "O", IF(MOD($A41, O$1)=0, "X", "O") )
  )
)</f>
        <v>O</v>
      </c>
      <c r="P41" s="45" t="str">
        <f ca="1">IF(
  $A41=P$1,
  IF( ROW(P41)=2, "+", IF(COUNTIF($B41:O41,"X")=0, "+", "-") ),
  IF(
    $A41&lt;P$1,
    "O",
    IF( OFFSET(P$1, COLUMN(P41)-1, 0)="-", "O", IF(MOD($A41, P$1)=0, "X", "O") )
  )
)</f>
        <v>O</v>
      </c>
      <c r="Q41" s="44" t="str">
        <f ca="1">IF(
  $A41=Q$1,
  IF( ROW(Q41)=2, "+", IF(COUNTIF($B41:P41,"X")=0, "+", "-") ),
  IF(
    $A41&lt;Q$1,
    "O",
    IF( OFFSET(Q$1, COLUMN(Q41)-1, 0)="-", "O", IF(MOD($A41, Q$1)=0, "X", "O") )
  )
)</f>
        <v>O</v>
      </c>
      <c r="R41" s="45" t="str">
        <f ca="1">IF(
  $A41=R$1,
  IF( ROW(R41)=2, "+", IF(COUNTIF($B41:Q41,"X")=0, "+", "-") ),
  IF(
    $A41&lt;R$1,
    "O",
    IF( OFFSET(R$1, COLUMN(R41)-1, 0)="-", "O", IF(MOD($A41, R$1)=0, "X", "O") )
  )
)</f>
        <v>O</v>
      </c>
      <c r="S41" s="44" t="str">
        <f ca="1">IF(
  $A41=S$1,
  IF( ROW(S41)=2, "+", IF(COUNTIF($B41:R41,"X")=0, "+", "-") ),
  IF(
    $A41&lt;S$1,
    "O",
    IF( OFFSET(S$1, COLUMN(S41)-1, 0)="-", "O", IF(MOD($A41, S$1)=0, "X", "O") )
  )
)</f>
        <v>O</v>
      </c>
      <c r="T41" s="45" t="str">
        <f ca="1">IF(
  $A41=T$1,
  IF( ROW(T41)=2, "+", IF(COUNTIF($B41:S41,"X")=0, "+", "-") ),
  IF(
    $A41&lt;T$1,
    "O",
    IF( OFFSET(T$1, COLUMN(T41)-1, 0)="-", "O", IF(MOD($A41, T$1)=0, "X", "O") )
  )
)</f>
        <v>O</v>
      </c>
      <c r="U41" s="45" t="str">
        <f ca="1">IF(
  $A41=U$1,
  IF( ROW(U41)=2, "+", IF(COUNTIF($B41:T41,"X")=0, "+", "-") ),
  IF(
    $A41&lt;U$1,
    "O",
    IF( OFFSET(U$1, COLUMN(U41)-1, 0)="-", "O", IF(MOD($A41, U$1)=0, "X", "O") )
  )
)</f>
        <v>O</v>
      </c>
      <c r="V41" s="45" t="str">
        <f ca="1">IF(
  $A41=V$1,
  IF( ROW(V41)=2, "+", IF(COUNTIF($B41:U41,"X")=0, "+", "-") ),
  IF(
    $A41&lt;V$1,
    "O",
    IF( OFFSET(V$1, COLUMN(V41)-1, 0)="-", "O", IF(MOD($A41, V$1)=0, "X", "O") )
  )
)</f>
        <v>O</v>
      </c>
      <c r="W41" s="44" t="str">
        <f ca="1">IF(
  $A41=W$1,
  IF( ROW(W41)=2, "+", IF(COUNTIF($B41:V41,"X")=0, "+", "-") ),
  IF(
    $A41&lt;W$1,
    "O",
    IF( OFFSET(W$1, COLUMN(W41)-1, 0)="-", "O", IF(MOD($A41, W$1)=0, "X", "O") )
  )
)</f>
        <v>O</v>
      </c>
      <c r="X41" s="45" t="str">
        <f ca="1">IF(
  $A41=X$1,
  IF( ROW(X41)=2, "+", IF(COUNTIF($B41:W41,"X")=0, "+", "-") ),
  IF(
    $A41&lt;X$1,
    "O",
    IF( OFFSET(X$1, COLUMN(X41)-1, 0)="-", "O", IF(MOD($A41, X$1)=0, "X", "O") )
  )
)</f>
        <v>O</v>
      </c>
      <c r="Y41" s="45" t="str">
        <f ca="1">IF(
  $A41=Y$1,
  IF( ROW(Y41)=2, "+", IF(COUNTIF($B41:X41,"X")=0, "+", "-") ),
  IF(
    $A41&lt;Y$1,
    "O",
    IF( OFFSET(Y$1, COLUMN(Y41)-1, 0)="-", "O", IF(MOD($A41, Y$1)=0, "X", "O") )
  )
)</f>
        <v>O</v>
      </c>
      <c r="Z41" s="45" t="str">
        <f ca="1">IF(
  $A41=Z$1,
  IF( ROW(Z41)=2, "+", IF(COUNTIF($B41:Y41,"X")=0, "+", "-") ),
  IF(
    $A41&lt;Z$1,
    "O",
    IF( OFFSET(Z$1, COLUMN(Z41)-1, 0)="-", "O", IF(MOD($A41, Z$1)=0, "X", "O") )
  )
)</f>
        <v>O</v>
      </c>
      <c r="AA41" s="45" t="str">
        <f ca="1">IF(
  $A41=AA$1,
  IF( ROW(AA41)=2, "+", IF(COUNTIF($B41:Z41,"X")=0, "+", "-") ),
  IF(
    $A41&lt;AA$1,
    "O",
    IF( OFFSET(AA$1, COLUMN(AA41)-1, 0)="-", "O", IF(MOD($A41, AA$1)=0, "X", "O") )
  )
)</f>
        <v>O</v>
      </c>
      <c r="AB41" s="45" t="str">
        <f ca="1">IF(
  $A41=AB$1,
  IF( ROW(AB41)=2, "+", IF(COUNTIF($B41:AA41,"X")=0, "+", "-") ),
  IF(
    $A41&lt;AB$1,
    "O",
    IF( OFFSET(AB$1, COLUMN(AB41)-1, 0)="-", "O", IF(MOD($A41, AB$1)=0, "X", "O") )
  )
)</f>
        <v>O</v>
      </c>
      <c r="AC41" s="44" t="str">
        <f ca="1">IF(
  $A41=AC$1,
  IF( ROW(AC41)=2, "+", IF(COUNTIF($B41:AB41,"X")=0, "+", "-") ),
  IF(
    $A41&lt;AC$1,
    "O",
    IF( OFFSET(AC$1, COLUMN(AC41)-1, 0)="-", "O", IF(MOD($A41, AC$1)=0, "X", "O") )
  )
)</f>
        <v>O</v>
      </c>
      <c r="AD41" s="45" t="str">
        <f ca="1">IF(
  $A41=AD$1,
  IF( ROW(AD41)=2, "+", IF(COUNTIF($B41:AC41,"X")=0, "+", "-") ),
  IF(
    $A41&lt;AD$1,
    "O",
    IF( OFFSET(AD$1, COLUMN(AD41)-1, 0)="-", "O", IF(MOD($A41, AD$1)=0, "X", "O") )
  )
)</f>
        <v>O</v>
      </c>
      <c r="AE41" s="44" t="str">
        <f ca="1">IF(
  $A41=AE$1,
  IF( ROW(AE41)=2, "+", IF(COUNTIF($B41:AD41,"X")=0, "+", "-") ),
  IF(
    $A41&lt;AE$1,
    "O",
    IF( OFFSET(AE$1, COLUMN(AE41)-1, 0)="-", "O", IF(MOD($A41, AE$1)=0, "X", "O") )
  )
)</f>
        <v>O</v>
      </c>
      <c r="AF41" s="45" t="str">
        <f ca="1">IF(
  $A41=AF$1,
  IF( ROW(AF41)=2, "+", IF(COUNTIF($B41:AE41,"X")=0, "+", "-") ),
  IF(
    $A41&lt;AF$1,
    "O",
    IF( OFFSET(AF$1, COLUMN(AF41)-1, 0)="-", "O", IF(MOD($A41, AF$1)=0, "X", "O") )
  )
)</f>
        <v>O</v>
      </c>
      <c r="AG41" s="45" t="str">
        <f ca="1">IF(
  $A41=AG$1,
  IF( ROW(AG41)=2, "+", IF(COUNTIF($B41:AF41,"X")=0, "+", "-") ),
  IF(
    $A41&lt;AG$1,
    "O",
    IF( OFFSET(AG$1, COLUMN(AG41)-1, 0)="-", "O", IF(MOD($A41, AG$1)=0, "X", "O") )
  )
)</f>
        <v>O</v>
      </c>
      <c r="AH41" s="45" t="str">
        <f ca="1">IF(
  $A41=AH$1,
  IF( ROW(AH41)=2, "+", IF(COUNTIF($B41:AG41,"X")=0, "+", "-") ),
  IF(
    $A41&lt;AH$1,
    "O",
    IF( OFFSET(AH$1, COLUMN(AH41)-1, 0)="-", "O", IF(MOD($A41, AH$1)=0, "X", "O") )
  )
)</f>
        <v>O</v>
      </c>
      <c r="AI41" s="45" t="str">
        <f ca="1">IF(
  $A41=AI$1,
  IF( ROW(AI41)=2, "+", IF(COUNTIF($B41:AH41,"X")=0, "+", "-") ),
  IF(
    $A41&lt;AI$1,
    "O",
    IF( OFFSET(AI$1, COLUMN(AI41)-1, 0)="-", "O", IF(MOD($A41, AI$1)=0, "X", "O") )
  )
)</f>
        <v>O</v>
      </c>
      <c r="AJ41" s="45" t="str">
        <f ca="1">IF(
  $A41=AJ$1,
  IF( ROW(AJ41)=2, "+", IF(COUNTIF($B41:AI41,"X")=0, "+", "-") ),
  IF(
    $A41&lt;AJ$1,
    "O",
    IF( OFFSET(AJ$1, COLUMN(AJ41)-1, 0)="-", "O", IF(MOD($A41, AJ$1)=0, "X", "O") )
  )
)</f>
        <v>O</v>
      </c>
      <c r="AK41" s="44" t="str">
        <f ca="1">IF(
  $A41=AK$1,
  IF( ROW(AK41)=2, "+", IF(COUNTIF($B41:AJ41,"X")=0, "+", "-") ),
  IF(
    $A41&lt;AK$1,
    "O",
    IF( OFFSET(AK$1, COLUMN(AK41)-1, 0)="-", "O", IF(MOD($A41, AK$1)=0, "X", "O") )
  )
)</f>
        <v>O</v>
      </c>
      <c r="AL41" s="45" t="str">
        <f ca="1">IF(
  $A41=AL$1,
  IF( ROW(AL41)=2, "+", IF(COUNTIF($B41:AK41,"X")=0, "+", "-") ),
  IF(
    $A41&lt;AL$1,
    "O",
    IF( OFFSET(AL$1, COLUMN(AL41)-1, 0)="-", "O", IF(MOD($A41, AL$1)=0, "X", "O") )
  )
)</f>
        <v>O</v>
      </c>
      <c r="AM41" s="45" t="str">
        <f ca="1">IF(
  $A41=AM$1,
  IF( ROW(AM41)=2, "+", IF(COUNTIF($B41:AL41,"X")=0, "+", "-") ),
  IF(
    $A41&lt;AM$1,
    "O",
    IF( OFFSET(AM$1, COLUMN(AM41)-1, 0)="-", "O", IF(MOD($A41, AM$1)=0, "X", "O") )
  )
)</f>
        <v>O</v>
      </c>
      <c r="AN41" s="45" t="str">
        <f ca="1">IF(
  $A41=AN$1,
  IF( ROW(AN41)=2, "+", IF(COUNTIF($B41:AM41,"X")=0, "+", "-") ),
  IF(
    $A41&lt;AN$1,
    "O",
    IF( OFFSET(AN$1, COLUMN(AN41)-1, 0)="-", "O", IF(MOD($A41, AN$1)=0, "X", "O") )
  )
)</f>
        <v>O</v>
      </c>
      <c r="AO41" s="44" t="str">
        <f ca="1">IF(
  $A41=AO$1,
  IF( ROW(AO41)=2, "+", IF(COUNTIF($B41:AN41,"X")=0, "+", "-") ),
  IF(
    $A41&lt;AO$1,
    "O",
    IF( OFFSET(AO$1, COLUMN(AO41)-1, 0)="-", "O", IF(MOD($A41, AO$1)=0, "X", "O") )
  )
)</f>
        <v>+</v>
      </c>
      <c r="AP41" s="45" t="str">
        <f ca="1">IF(
  $A41=AP$1,
  IF( ROW(AP41)=2, "+", IF(COUNTIF($B41:AO41,"X")=0, "+", "-") ),
  IF(
    $A41&lt;AP$1,
    "O",
    IF( OFFSET(AP$1, COLUMN(AP41)-1, 0)="-", "O", IF(MOD($A41, AP$1)=0, "X", "O") )
  )
)</f>
        <v>O</v>
      </c>
      <c r="AQ41" s="45" t="str">
        <f ca="1">IF(
  $A41=AQ$1,
  IF( ROW(AQ41)=2, "+", IF(COUNTIF($B41:AP41,"X")=0, "+", "-") ),
  IF(
    $A41&lt;AQ$1,
    "O",
    IF( OFFSET(AQ$1, COLUMN(AQ41)-1, 0)="-", "O", IF(MOD($A41, AQ$1)=0, "X", "O") )
  )
)</f>
        <v>O</v>
      </c>
      <c r="AR41" s="45" t="str">
        <f ca="1">IF(
  $A41=AR$1,
  IF( ROW(AR41)=2, "+", IF(COUNTIF($B41:AQ41,"X")=0, "+", "-") ),
  IF(
    $A41&lt;AR$1,
    "O",
    IF( OFFSET(AR$1, COLUMN(AR41)-1, 0)="-", "O", IF(MOD($A41, AR$1)=0, "X", "O") )
  )
)</f>
        <v>O</v>
      </c>
      <c r="AS41" s="45" t="str">
        <f ca="1">IF(
  $A41=AS$1,
  IF( ROW(AS41)=2, "+", IF(COUNTIF($B41:AR41,"X")=0, "+", "-") ),
  IF(
    $A41&lt;AS$1,
    "O",
    IF( OFFSET(AS$1, COLUMN(AS41)-1, 0)="-", "O", IF(MOD($A41, AS$1)=0, "X", "O") )
  )
)</f>
        <v>O</v>
      </c>
      <c r="AT41" s="45" t="str">
        <f ca="1">IF(
  $A41=AT$1,
  IF( ROW(AT41)=2, "+", IF(COUNTIF($B41:AS41,"X")=0, "+", "-") ),
  IF(
    $A41&lt;AT$1,
    "O",
    IF( OFFSET(AT$1, COLUMN(AT41)-1, 0)="-", "O", IF(MOD($A41, AT$1)=0, "X", "O") )
  )
)</f>
        <v>O</v>
      </c>
      <c r="AU41" s="45" t="str">
        <f ca="1">IF(
  $A41=AU$1,
  IF( ROW(AU41)=2, "+", IF(COUNTIF($B41:AT41,"X")=0, "+", "-") ),
  IF(
    $A41&lt;AU$1,
    "O",
    IF( OFFSET(AU$1, COLUMN(AU41)-1, 0)="-", "O", IF(MOD($A41, AU$1)=0, "X", "O") )
  )
)</f>
        <v>O</v>
      </c>
      <c r="AV41" s="45" t="str">
        <f ca="1">IF(
  $A41=AV$1,
  IF( ROW(AV41)=2, "+", IF(COUNTIF($B41:AU41,"X")=0, "+", "-") ),
  IF(
    $A41&lt;AV$1,
    "O",
    IF( OFFSET(AV$1, COLUMN(AV41)-1, 0)="-", "O", IF(MOD($A41, AV$1)=0, "X", "O") )
  )
)</f>
        <v>O</v>
      </c>
      <c r="AW41" s="45" t="str">
        <f ca="1">IF(
  $A41=AW$1,
  IF( ROW(AW41)=2, "+", IF(COUNTIF($B41:AV41,"X")=0, "+", "-") ),
  IF(
    $A41&lt;AW$1,
    "O",
    IF( OFFSET(AW$1, COLUMN(AW41)-1, 0)="-", "O", IF(MOD($A41, AW$1)=0, "X", "O") )
  )
)</f>
        <v>O</v>
      </c>
      <c r="AX41" s="45" t="str">
        <f ca="1">IF(
  $A41=AX$1,
  IF( ROW(AX41)=2, "+", IF(COUNTIF($B41:AW41,"X")=0, "+", "-") ),
  IF(
    $A41&lt;AX$1,
    "O",
    IF( OFFSET(AX$1, COLUMN(AX41)-1, 0)="-", "O", IF(MOD($A41, AX$1)=0, "X", "O") )
  )
)</f>
        <v>O</v>
      </c>
      <c r="AY41" s="45" t="str">
        <f ca="1">IF(
  $A41=AY$1,
  IF( ROW(AY41)=2, "+", IF(COUNTIF($B41:AX41,"X")=0, "+", "-") ),
  IF(
    $A41&lt;AY$1,
    "O",
    IF( OFFSET(AY$1, COLUMN(AY41)-1, 0)="-", "O", IF(MOD($A41, AY$1)=0, "X", "O") )
  )
)</f>
        <v>O</v>
      </c>
      <c r="AZ41" s="45" t="str">
        <f ca="1">IF(
  $A41=AZ$1,
  IF( ROW(AZ41)=2, "+", IF(COUNTIF($B41:AY41,"X")=0, "+", "-") ),
  IF(
    $A41&lt;AZ$1,
    "O",
    IF( OFFSET(AZ$1, COLUMN(AZ41)-1, 0)="-", "O", IF(MOD($A41, AZ$1)=0, "X", "O") )
  )
)</f>
        <v>O</v>
      </c>
      <c r="BA41" s="45" t="str">
        <f ca="1">IF(
  $A41=BA$1,
  IF( ROW(BA41)=2, "+", IF(COUNTIF($B41:AZ41,"X")=0, "+", "-") ),
  IF(
    $A41&lt;BA$1,
    "O",
    IF( OFFSET(BA$1, COLUMN(BA41)-1, 0)="-", "O", IF(MOD($A41, BA$1)=0, "X", "O") )
  )
)</f>
        <v>O</v>
      </c>
      <c r="BB41" s="45" t="str">
        <f ca="1">IF(
  $A41=BB$1,
  IF( ROW(BB41)=2, "+", IF(COUNTIF($B41:BA41,"X")=0, "+", "-") ),
  IF(
    $A41&lt;BB$1,
    "O",
    IF( OFFSET(BB$1, COLUMN(BB41)-1, 0)="-", "O", IF(MOD($A41, BB$1)=0, "X", "O") )
  )
)</f>
        <v>O</v>
      </c>
      <c r="BC41" s="45" t="str">
        <f ca="1">IF(
  $A41=BC$1,
  IF( ROW(BC41)=2, "+", IF(COUNTIF($B41:BB41,"X")=0, "+", "-") ),
  IF(
    $A41&lt;BC$1,
    "O",
    IF( OFFSET(BC$1, COLUMN(BC41)-1, 0)="-", "O", IF(MOD($A41, BC$1)=0, "X", "O") )
  )
)</f>
        <v>O</v>
      </c>
      <c r="BD41" s="45" t="str">
        <f ca="1">IF(
  $A41=BD$1,
  IF( ROW(BD41)=2, "+", IF(COUNTIF($B41:BC41,"X")=0, "+", "-") ),
  IF(
    $A41&lt;BD$1,
    "O",
    IF( OFFSET(BD$1, COLUMN(BD41)-1, 0)="-", "O", IF(MOD($A41, BD$1)=0, "X", "O") )
  )
)</f>
        <v>O</v>
      </c>
      <c r="BE41" s="45" t="str">
        <f ca="1">IF(
  $A41=BE$1,
  IF( ROW(BE41)=2, "+", IF(COUNTIF($B41:BD41,"X")=0, "+", "-") ),
  IF(
    $A41&lt;BE$1,
    "O",
    IF( OFFSET(BE$1, COLUMN(BE41)-1, 0)="-", "O", IF(MOD($A41, BE$1)=0, "X", "O") )
  )
)</f>
        <v>O</v>
      </c>
      <c r="BF41" s="45" t="str">
        <f ca="1">IF(
  $A41=BF$1,
  IF( ROW(BF41)=2, "+", IF(COUNTIF($B41:BE41,"X")=0, "+", "-") ),
  IF(
    $A41&lt;BF$1,
    "O",
    IF( OFFSET(BF$1, COLUMN(BF41)-1, 0)="-", "O", IF(MOD($A41, BF$1)=0, "X", "O") )
  )
)</f>
        <v>O</v>
      </c>
      <c r="BG41" s="45" t="str">
        <f ca="1">IF(
  $A41=BG$1,
  IF( ROW(BG41)=2, "+", IF(COUNTIF($B41:BF41,"X")=0, "+", "-") ),
  IF(
    $A41&lt;BG$1,
    "O",
    IF( OFFSET(BG$1, COLUMN(BG41)-1, 0)="-", "O", IF(MOD($A41, BG$1)=0, "X", "O") )
  )
)</f>
        <v>O</v>
      </c>
      <c r="BH41" s="45" t="str">
        <f ca="1">IF(
  $A41=BH$1,
  IF( ROW(BH41)=2, "+", IF(COUNTIF($B41:BG41,"X")=0, "+", "-") ),
  IF(
    $A41&lt;BH$1,
    "O",
    IF( OFFSET(BH$1, COLUMN(BH41)-1, 0)="-", "O", IF(MOD($A41, BH$1)=0, "X", "O") )
  )
)</f>
        <v>O</v>
      </c>
    </row>
    <row r="42" spans="1:60" s="46" customFormat="1" x14ac:dyDescent="0.25">
      <c r="A42">
        <v>42</v>
      </c>
      <c r="B42" s="44" t="str">
        <f ca="1">IF(
  $A42=B$1,
  IF( ROW(B42)=2, "+", IF(COUNTIF(A42:$B42,"X")=0, "+", "-") ),
  IF(
    $A42&lt;B$1,
    "O",
    IF( OFFSET(B$1, COLUMN(B42)-1, 0)="-", "O", IF(MOD($A42, B$1)=0, "X", "O") )
  )
)</f>
        <v>X</v>
      </c>
      <c r="C42" s="44" t="str">
        <f ca="1">IF(
  $A42=C$1,
  IF( ROW(C42)=2, "+", IF(COUNTIF(B42:$B42,"X")=0, "+", "-") ),
  IF(
    $A42&lt;C$1,
    "O",
    IF( OFFSET(C$1, COLUMN(C42)-1, 0)="-", "O", IF(MOD($A42, C$1)=0, "X", "O") )
  )
)</f>
        <v>X</v>
      </c>
      <c r="D42" s="45" t="str">
        <f ca="1">IF(
  $A42=D$1,
  IF( ROW(D42)=2, "+", IF(COUNTIF($B42:C42,"X")=0, "+", "-") ),
  IF(
    $A42&lt;D$1,
    "O",
    IF( OFFSET(D$1, COLUMN(D42)-1, 0)="-", "O", IF(MOD($A42, D$1)=0, "X", "O") )
  )
)</f>
        <v>O</v>
      </c>
      <c r="E42" s="44" t="str">
        <f ca="1">IF(
  $A42=E$1,
  IF( ROW(E42)=2, "+", IF(COUNTIF($B42:D42,"X")=0, "+", "-") ),
  IF(
    $A42&lt;E$1,
    "O",
    IF( OFFSET(E$1, COLUMN(E42)-1, 0)="-", "O", IF(MOD($A42, E$1)=0, "X", "O") )
  )
)</f>
        <v>O</v>
      </c>
      <c r="F42" s="45" t="str">
        <f ca="1">IF(
  $A42=F$1,
  IF( ROW(F42)=2, "+", IF(COUNTIF($B42:E42,"X")=0, "+", "-") ),
  IF(
    $A42&lt;F$1,
    "O",
    IF( OFFSET(F$1, COLUMN(F42)-1, 0)="-", "O", IF(MOD($A42, F$1)=0, "X", "O") )
  )
)</f>
        <v>O</v>
      </c>
      <c r="G42" s="44" t="str">
        <f ca="1">IF(
  $A42=G$1,
  IF( ROW(G42)=2, "+", IF(COUNTIF($B42:F42,"X")=0, "+", "-") ),
  IF(
    $A42&lt;G$1,
    "O",
    IF( OFFSET(G$1, COLUMN(G42)-1, 0)="-", "O", IF(MOD($A42, G$1)=0, "X", "O") )
  )
)</f>
        <v>X</v>
      </c>
      <c r="H42" s="45" t="str">
        <f ca="1">IF(
  $A42=H$1,
  IF( ROW(H42)=2, "+", IF(COUNTIF($B42:G42,"X")=0, "+", "-") ),
  IF(
    $A42&lt;H$1,
    "O",
    IF( OFFSET(H$1, COLUMN(H42)-1, 0)="-", "O", IF(MOD($A42, H$1)=0, "X", "O") )
  )
)</f>
        <v>O</v>
      </c>
      <c r="I42" s="45" t="str">
        <f ca="1">IF(
  $A42=I$1,
  IF( ROW(I42)=2, "+", IF(COUNTIF($B42:H42,"X")=0, "+", "-") ),
  IF(
    $A42&lt;I$1,
    "O",
    IF( OFFSET(I$1, COLUMN(I42)-1, 0)="-", "O", IF(MOD($A42, I$1)=0, "X", "O") )
  )
)</f>
        <v>O</v>
      </c>
      <c r="J42" s="45" t="str">
        <f ca="1">IF(
  $A42=J$1,
  IF( ROW(J42)=2, "+", IF(COUNTIF($B42:I42,"X")=0, "+", "-") ),
  IF(
    $A42&lt;J$1,
    "O",
    IF( OFFSET(J$1, COLUMN(J42)-1, 0)="-", "O", IF(MOD($A42, J$1)=0, "X", "O") )
  )
)</f>
        <v>O</v>
      </c>
      <c r="K42" s="44" t="str">
        <f ca="1">IF(
  $A42=K$1,
  IF( ROW(K42)=2, "+", IF(COUNTIF($B42:J42,"X")=0, "+", "-") ),
  IF(
    $A42&lt;K$1,
    "O",
    IF( OFFSET(K$1, COLUMN(K42)-1, 0)="-", "O", IF(MOD($A42, K$1)=0, "X", "O") )
  )
)</f>
        <v>O</v>
      </c>
      <c r="L42" s="45" t="str">
        <f ca="1">IF(
  $A42=L$1,
  IF( ROW(L42)=2, "+", IF(COUNTIF($B42:K42,"X")=0, "+", "-") ),
  IF(
    $A42&lt;L$1,
    "O",
    IF( OFFSET(L$1, COLUMN(L42)-1, 0)="-", "O", IF(MOD($A42, L$1)=0, "X", "O") )
  )
)</f>
        <v>O</v>
      </c>
      <c r="M42" s="44" t="str">
        <f ca="1">IF(
  $A42=M$1,
  IF( ROW(M42)=2, "+", IF(COUNTIF($B42:L42,"X")=0, "+", "-") ),
  IF(
    $A42&lt;M$1,
    "O",
    IF( OFFSET(M$1, COLUMN(M42)-1, 0)="-", "O", IF(MOD($A42, M$1)=0, "X", "O") )
  )
)</f>
        <v>O</v>
      </c>
      <c r="N42" s="45" t="str">
        <f ca="1">IF(
  $A42=N$1,
  IF( ROW(N42)=2, "+", IF(COUNTIF($B42:M42,"X")=0, "+", "-") ),
  IF(
    $A42&lt;N$1,
    "O",
    IF( OFFSET(N$1, COLUMN(N42)-1, 0)="-", "O", IF(MOD($A42, N$1)=0, "X", "O") )
  )
)</f>
        <v>O</v>
      </c>
      <c r="O42" s="45" t="str">
        <f ca="1">IF(
  $A42=O$1,
  IF( ROW(O42)=2, "+", IF(COUNTIF($B42:N42,"X")=0, "+", "-") ),
  IF(
    $A42&lt;O$1,
    "O",
    IF( OFFSET(O$1, COLUMN(O42)-1, 0)="-", "O", IF(MOD($A42, O$1)=0, "X", "O") )
  )
)</f>
        <v>O</v>
      </c>
      <c r="P42" s="45" t="str">
        <f ca="1">IF(
  $A42=P$1,
  IF( ROW(P42)=2, "+", IF(COUNTIF($B42:O42,"X")=0, "+", "-") ),
  IF(
    $A42&lt;P$1,
    "O",
    IF( OFFSET(P$1, COLUMN(P42)-1, 0)="-", "O", IF(MOD($A42, P$1)=0, "X", "O") )
  )
)</f>
        <v>O</v>
      </c>
      <c r="Q42" s="44" t="str">
        <f ca="1">IF(
  $A42=Q$1,
  IF( ROW(Q42)=2, "+", IF(COUNTIF($B42:P42,"X")=0, "+", "-") ),
  IF(
    $A42&lt;Q$1,
    "O",
    IF( OFFSET(Q$1, COLUMN(Q42)-1, 0)="-", "O", IF(MOD($A42, Q$1)=0, "X", "O") )
  )
)</f>
        <v>O</v>
      </c>
      <c r="R42" s="45" t="str">
        <f ca="1">IF(
  $A42=R$1,
  IF( ROW(R42)=2, "+", IF(COUNTIF($B42:Q42,"X")=0, "+", "-") ),
  IF(
    $A42&lt;R$1,
    "O",
    IF( OFFSET(R$1, COLUMN(R42)-1, 0)="-", "O", IF(MOD($A42, R$1)=0, "X", "O") )
  )
)</f>
        <v>O</v>
      </c>
      <c r="S42" s="44" t="str">
        <f ca="1">IF(
  $A42=S$1,
  IF( ROW(S42)=2, "+", IF(COUNTIF($B42:R42,"X")=0, "+", "-") ),
  IF(
    $A42&lt;S$1,
    "O",
    IF( OFFSET(S$1, COLUMN(S42)-1, 0)="-", "O", IF(MOD($A42, S$1)=0, "X", "O") )
  )
)</f>
        <v>O</v>
      </c>
      <c r="T42" s="45" t="str">
        <f ca="1">IF(
  $A42=T$1,
  IF( ROW(T42)=2, "+", IF(COUNTIF($B42:S42,"X")=0, "+", "-") ),
  IF(
    $A42&lt;T$1,
    "O",
    IF( OFFSET(T$1, COLUMN(T42)-1, 0)="-", "O", IF(MOD($A42, T$1)=0, "X", "O") )
  )
)</f>
        <v>O</v>
      </c>
      <c r="U42" s="45" t="str">
        <f ca="1">IF(
  $A42=U$1,
  IF( ROW(U42)=2, "+", IF(COUNTIF($B42:T42,"X")=0, "+", "-") ),
  IF(
    $A42&lt;U$1,
    "O",
    IF( OFFSET(U$1, COLUMN(U42)-1, 0)="-", "O", IF(MOD($A42, U$1)=0, "X", "O") )
  )
)</f>
        <v>O</v>
      </c>
      <c r="V42" s="45" t="str">
        <f ca="1">IF(
  $A42=V$1,
  IF( ROW(V42)=2, "+", IF(COUNTIF($B42:U42,"X")=0, "+", "-") ),
  IF(
    $A42&lt;V$1,
    "O",
    IF( OFFSET(V$1, COLUMN(V42)-1, 0)="-", "O", IF(MOD($A42, V$1)=0, "X", "O") )
  )
)</f>
        <v>O</v>
      </c>
      <c r="W42" s="44" t="str">
        <f ca="1">IF(
  $A42=W$1,
  IF( ROW(W42)=2, "+", IF(COUNTIF($B42:V42,"X")=0, "+", "-") ),
  IF(
    $A42&lt;W$1,
    "O",
    IF( OFFSET(W$1, COLUMN(W42)-1, 0)="-", "O", IF(MOD($A42, W$1)=0, "X", "O") )
  )
)</f>
        <v>O</v>
      </c>
      <c r="X42" s="45" t="str">
        <f ca="1">IF(
  $A42=X$1,
  IF( ROW(X42)=2, "+", IF(COUNTIF($B42:W42,"X")=0, "+", "-") ),
  IF(
    $A42&lt;X$1,
    "O",
    IF( OFFSET(X$1, COLUMN(X42)-1, 0)="-", "O", IF(MOD($A42, X$1)=0, "X", "O") )
  )
)</f>
        <v>O</v>
      </c>
      <c r="Y42" s="45" t="str">
        <f ca="1">IF(
  $A42=Y$1,
  IF( ROW(Y42)=2, "+", IF(COUNTIF($B42:X42,"X")=0, "+", "-") ),
  IF(
    $A42&lt;Y$1,
    "O",
    IF( OFFSET(Y$1, COLUMN(Y42)-1, 0)="-", "O", IF(MOD($A42, Y$1)=0, "X", "O") )
  )
)</f>
        <v>O</v>
      </c>
      <c r="Z42" s="45" t="str">
        <f ca="1">IF(
  $A42=Z$1,
  IF( ROW(Z42)=2, "+", IF(COUNTIF($B42:Y42,"X")=0, "+", "-") ),
  IF(
    $A42&lt;Z$1,
    "O",
    IF( OFFSET(Z$1, COLUMN(Z42)-1, 0)="-", "O", IF(MOD($A42, Z$1)=0, "X", "O") )
  )
)</f>
        <v>O</v>
      </c>
      <c r="AA42" s="45" t="str">
        <f ca="1">IF(
  $A42=AA$1,
  IF( ROW(AA42)=2, "+", IF(COUNTIF($B42:Z42,"X")=0, "+", "-") ),
  IF(
    $A42&lt;AA$1,
    "O",
    IF( OFFSET(AA$1, COLUMN(AA42)-1, 0)="-", "O", IF(MOD($A42, AA$1)=0, "X", "O") )
  )
)</f>
        <v>O</v>
      </c>
      <c r="AB42" s="45" t="str">
        <f ca="1">IF(
  $A42=AB$1,
  IF( ROW(AB42)=2, "+", IF(COUNTIF($B42:AA42,"X")=0, "+", "-") ),
  IF(
    $A42&lt;AB$1,
    "O",
    IF( OFFSET(AB$1, COLUMN(AB42)-1, 0)="-", "O", IF(MOD($A42, AB$1)=0, "X", "O") )
  )
)</f>
        <v>O</v>
      </c>
      <c r="AC42" s="44" t="str">
        <f ca="1">IF(
  $A42=AC$1,
  IF( ROW(AC42)=2, "+", IF(COUNTIF($B42:AB42,"X")=0, "+", "-") ),
  IF(
    $A42&lt;AC$1,
    "O",
    IF( OFFSET(AC$1, COLUMN(AC42)-1, 0)="-", "O", IF(MOD($A42, AC$1)=0, "X", "O") )
  )
)</f>
        <v>O</v>
      </c>
      <c r="AD42" s="45" t="str">
        <f ca="1">IF(
  $A42=AD$1,
  IF( ROW(AD42)=2, "+", IF(COUNTIF($B42:AC42,"X")=0, "+", "-") ),
  IF(
    $A42&lt;AD$1,
    "O",
    IF( OFFSET(AD$1, COLUMN(AD42)-1, 0)="-", "O", IF(MOD($A42, AD$1)=0, "X", "O") )
  )
)</f>
        <v>O</v>
      </c>
      <c r="AE42" s="44" t="str">
        <f ca="1">IF(
  $A42=AE$1,
  IF( ROW(AE42)=2, "+", IF(COUNTIF($B42:AD42,"X")=0, "+", "-") ),
  IF(
    $A42&lt;AE$1,
    "O",
    IF( OFFSET(AE$1, COLUMN(AE42)-1, 0)="-", "O", IF(MOD($A42, AE$1)=0, "X", "O") )
  )
)</f>
        <v>O</v>
      </c>
      <c r="AF42" s="45" t="str">
        <f ca="1">IF(
  $A42=AF$1,
  IF( ROW(AF42)=2, "+", IF(COUNTIF($B42:AE42,"X")=0, "+", "-") ),
  IF(
    $A42&lt;AF$1,
    "O",
    IF( OFFSET(AF$1, COLUMN(AF42)-1, 0)="-", "O", IF(MOD($A42, AF$1)=0, "X", "O") )
  )
)</f>
        <v>O</v>
      </c>
      <c r="AG42" s="45" t="str">
        <f ca="1">IF(
  $A42=AG$1,
  IF( ROW(AG42)=2, "+", IF(COUNTIF($B42:AF42,"X")=0, "+", "-") ),
  IF(
    $A42&lt;AG$1,
    "O",
    IF( OFFSET(AG$1, COLUMN(AG42)-1, 0)="-", "O", IF(MOD($A42, AG$1)=0, "X", "O") )
  )
)</f>
        <v>O</v>
      </c>
      <c r="AH42" s="45" t="str">
        <f ca="1">IF(
  $A42=AH$1,
  IF( ROW(AH42)=2, "+", IF(COUNTIF($B42:AG42,"X")=0, "+", "-") ),
  IF(
    $A42&lt;AH$1,
    "O",
    IF( OFFSET(AH$1, COLUMN(AH42)-1, 0)="-", "O", IF(MOD($A42, AH$1)=0, "X", "O") )
  )
)</f>
        <v>O</v>
      </c>
      <c r="AI42" s="45" t="str">
        <f ca="1">IF(
  $A42=AI$1,
  IF( ROW(AI42)=2, "+", IF(COUNTIF($B42:AH42,"X")=0, "+", "-") ),
  IF(
    $A42&lt;AI$1,
    "O",
    IF( OFFSET(AI$1, COLUMN(AI42)-1, 0)="-", "O", IF(MOD($A42, AI$1)=0, "X", "O") )
  )
)</f>
        <v>O</v>
      </c>
      <c r="AJ42" s="45" t="str">
        <f ca="1">IF(
  $A42=AJ$1,
  IF( ROW(AJ42)=2, "+", IF(COUNTIF($B42:AI42,"X")=0, "+", "-") ),
  IF(
    $A42&lt;AJ$1,
    "O",
    IF( OFFSET(AJ$1, COLUMN(AJ42)-1, 0)="-", "O", IF(MOD($A42, AJ$1)=0, "X", "O") )
  )
)</f>
        <v>O</v>
      </c>
      <c r="AK42" s="44" t="str">
        <f ca="1">IF(
  $A42=AK$1,
  IF( ROW(AK42)=2, "+", IF(COUNTIF($B42:AJ42,"X")=0, "+", "-") ),
  IF(
    $A42&lt;AK$1,
    "O",
    IF( OFFSET(AK$1, COLUMN(AK42)-1, 0)="-", "O", IF(MOD($A42, AK$1)=0, "X", "O") )
  )
)</f>
        <v>O</v>
      </c>
      <c r="AL42" s="45" t="str">
        <f ca="1">IF(
  $A42=AL$1,
  IF( ROW(AL42)=2, "+", IF(COUNTIF($B42:AK42,"X")=0, "+", "-") ),
  IF(
    $A42&lt;AL$1,
    "O",
    IF( OFFSET(AL$1, COLUMN(AL42)-1, 0)="-", "O", IF(MOD($A42, AL$1)=0, "X", "O") )
  )
)</f>
        <v>O</v>
      </c>
      <c r="AM42" s="45" t="str">
        <f ca="1">IF(
  $A42=AM$1,
  IF( ROW(AM42)=2, "+", IF(COUNTIF($B42:AL42,"X")=0, "+", "-") ),
  IF(
    $A42&lt;AM$1,
    "O",
    IF( OFFSET(AM$1, COLUMN(AM42)-1, 0)="-", "O", IF(MOD($A42, AM$1)=0, "X", "O") )
  )
)</f>
        <v>O</v>
      </c>
      <c r="AN42" s="45" t="str">
        <f ca="1">IF(
  $A42=AN$1,
  IF( ROW(AN42)=2, "+", IF(COUNTIF($B42:AM42,"X")=0, "+", "-") ),
  IF(
    $A42&lt;AN$1,
    "O",
    IF( OFFSET(AN$1, COLUMN(AN42)-1, 0)="-", "O", IF(MOD($A42, AN$1)=0, "X", "O") )
  )
)</f>
        <v>O</v>
      </c>
      <c r="AO42" s="44" t="str">
        <f ca="1">IF(
  $A42=AO$1,
  IF( ROW(AO42)=2, "+", IF(COUNTIF($B42:AN42,"X")=0, "+", "-") ),
  IF(
    $A42&lt;AO$1,
    "O",
    IF( OFFSET(AO$1, COLUMN(AO42)-1, 0)="-", "O", IF(MOD($A42, AO$1)=0, "X", "O") )
  )
)</f>
        <v>O</v>
      </c>
      <c r="AP42" s="45" t="str">
        <f ca="1">IF(
  $A42=AP$1,
  IF( ROW(AP42)=2, "+", IF(COUNTIF($B42:AO42,"X")=0, "+", "-") ),
  IF(
    $A42&lt;AP$1,
    "O",
    IF( OFFSET(AP$1, COLUMN(AP42)-1, 0)="-", "O", IF(MOD($A42, AP$1)=0, "X", "O") )
  )
)</f>
        <v>-</v>
      </c>
      <c r="AQ42" s="45" t="str">
        <f ca="1">IF(
  $A42=AQ$1,
  IF( ROW(AQ42)=2, "+", IF(COUNTIF($B42:AP42,"X")=0, "+", "-") ),
  IF(
    $A42&lt;AQ$1,
    "O",
    IF( OFFSET(AQ$1, COLUMN(AQ42)-1, 0)="-", "O", IF(MOD($A42, AQ$1)=0, "X", "O") )
  )
)</f>
        <v>O</v>
      </c>
      <c r="AR42" s="45" t="str">
        <f ca="1">IF(
  $A42=AR$1,
  IF( ROW(AR42)=2, "+", IF(COUNTIF($B42:AQ42,"X")=0, "+", "-") ),
  IF(
    $A42&lt;AR$1,
    "O",
    IF( OFFSET(AR$1, COLUMN(AR42)-1, 0)="-", "O", IF(MOD($A42, AR$1)=0, "X", "O") )
  )
)</f>
        <v>O</v>
      </c>
      <c r="AS42" s="45" t="str">
        <f ca="1">IF(
  $A42=AS$1,
  IF( ROW(AS42)=2, "+", IF(COUNTIF($B42:AR42,"X")=0, "+", "-") ),
  IF(
    $A42&lt;AS$1,
    "O",
    IF( OFFSET(AS$1, COLUMN(AS42)-1, 0)="-", "O", IF(MOD($A42, AS$1)=0, "X", "O") )
  )
)</f>
        <v>O</v>
      </c>
      <c r="AT42" s="45" t="str">
        <f ca="1">IF(
  $A42=AT$1,
  IF( ROW(AT42)=2, "+", IF(COUNTIF($B42:AS42,"X")=0, "+", "-") ),
  IF(
    $A42&lt;AT$1,
    "O",
    IF( OFFSET(AT$1, COLUMN(AT42)-1, 0)="-", "O", IF(MOD($A42, AT$1)=0, "X", "O") )
  )
)</f>
        <v>O</v>
      </c>
      <c r="AU42" s="45" t="str">
        <f ca="1">IF(
  $A42=AU$1,
  IF( ROW(AU42)=2, "+", IF(COUNTIF($B42:AT42,"X")=0, "+", "-") ),
  IF(
    $A42&lt;AU$1,
    "O",
    IF( OFFSET(AU$1, COLUMN(AU42)-1, 0)="-", "O", IF(MOD($A42, AU$1)=0, "X", "O") )
  )
)</f>
        <v>O</v>
      </c>
      <c r="AV42" s="45" t="str">
        <f ca="1">IF(
  $A42=AV$1,
  IF( ROW(AV42)=2, "+", IF(COUNTIF($B42:AU42,"X")=0, "+", "-") ),
  IF(
    $A42&lt;AV$1,
    "O",
    IF( OFFSET(AV$1, COLUMN(AV42)-1, 0)="-", "O", IF(MOD($A42, AV$1)=0, "X", "O") )
  )
)</f>
        <v>O</v>
      </c>
      <c r="AW42" s="45" t="str">
        <f ca="1">IF(
  $A42=AW$1,
  IF( ROW(AW42)=2, "+", IF(COUNTIF($B42:AV42,"X")=0, "+", "-") ),
  IF(
    $A42&lt;AW$1,
    "O",
    IF( OFFSET(AW$1, COLUMN(AW42)-1, 0)="-", "O", IF(MOD($A42, AW$1)=0, "X", "O") )
  )
)</f>
        <v>O</v>
      </c>
      <c r="AX42" s="45" t="str">
        <f ca="1">IF(
  $A42=AX$1,
  IF( ROW(AX42)=2, "+", IF(COUNTIF($B42:AW42,"X")=0, "+", "-") ),
  IF(
    $A42&lt;AX$1,
    "O",
    IF( OFFSET(AX$1, COLUMN(AX42)-1, 0)="-", "O", IF(MOD($A42, AX$1)=0, "X", "O") )
  )
)</f>
        <v>O</v>
      </c>
      <c r="AY42" s="45" t="str">
        <f ca="1">IF(
  $A42=AY$1,
  IF( ROW(AY42)=2, "+", IF(COUNTIF($B42:AX42,"X")=0, "+", "-") ),
  IF(
    $A42&lt;AY$1,
    "O",
    IF( OFFSET(AY$1, COLUMN(AY42)-1, 0)="-", "O", IF(MOD($A42, AY$1)=0, "X", "O") )
  )
)</f>
        <v>O</v>
      </c>
      <c r="AZ42" s="45" t="str">
        <f ca="1">IF(
  $A42=AZ$1,
  IF( ROW(AZ42)=2, "+", IF(COUNTIF($B42:AY42,"X")=0, "+", "-") ),
  IF(
    $A42&lt;AZ$1,
    "O",
    IF( OFFSET(AZ$1, COLUMN(AZ42)-1, 0)="-", "O", IF(MOD($A42, AZ$1)=0, "X", "O") )
  )
)</f>
        <v>O</v>
      </c>
      <c r="BA42" s="45" t="str">
        <f ca="1">IF(
  $A42=BA$1,
  IF( ROW(BA42)=2, "+", IF(COUNTIF($B42:AZ42,"X")=0, "+", "-") ),
  IF(
    $A42&lt;BA$1,
    "O",
    IF( OFFSET(BA$1, COLUMN(BA42)-1, 0)="-", "O", IF(MOD($A42, BA$1)=0, "X", "O") )
  )
)</f>
        <v>O</v>
      </c>
      <c r="BB42" s="45" t="str">
        <f ca="1">IF(
  $A42=BB$1,
  IF( ROW(BB42)=2, "+", IF(COUNTIF($B42:BA42,"X")=0, "+", "-") ),
  IF(
    $A42&lt;BB$1,
    "O",
    IF( OFFSET(BB$1, COLUMN(BB42)-1, 0)="-", "O", IF(MOD($A42, BB$1)=0, "X", "O") )
  )
)</f>
        <v>O</v>
      </c>
      <c r="BC42" s="45" t="str">
        <f ca="1">IF(
  $A42=BC$1,
  IF( ROW(BC42)=2, "+", IF(COUNTIF($B42:BB42,"X")=0, "+", "-") ),
  IF(
    $A42&lt;BC$1,
    "O",
    IF( OFFSET(BC$1, COLUMN(BC42)-1, 0)="-", "O", IF(MOD($A42, BC$1)=0, "X", "O") )
  )
)</f>
        <v>O</v>
      </c>
      <c r="BD42" s="45" t="str">
        <f ca="1">IF(
  $A42=BD$1,
  IF( ROW(BD42)=2, "+", IF(COUNTIF($B42:BC42,"X")=0, "+", "-") ),
  IF(
    $A42&lt;BD$1,
    "O",
    IF( OFFSET(BD$1, COLUMN(BD42)-1, 0)="-", "O", IF(MOD($A42, BD$1)=0, "X", "O") )
  )
)</f>
        <v>O</v>
      </c>
      <c r="BE42" s="45" t="str">
        <f ca="1">IF(
  $A42=BE$1,
  IF( ROW(BE42)=2, "+", IF(COUNTIF($B42:BD42,"X")=0, "+", "-") ),
  IF(
    $A42&lt;BE$1,
    "O",
    IF( OFFSET(BE$1, COLUMN(BE42)-1, 0)="-", "O", IF(MOD($A42, BE$1)=0, "X", "O") )
  )
)</f>
        <v>O</v>
      </c>
      <c r="BF42" s="45" t="str">
        <f ca="1">IF(
  $A42=BF$1,
  IF( ROW(BF42)=2, "+", IF(COUNTIF($B42:BE42,"X")=0, "+", "-") ),
  IF(
    $A42&lt;BF$1,
    "O",
    IF( OFFSET(BF$1, COLUMN(BF42)-1, 0)="-", "O", IF(MOD($A42, BF$1)=0, "X", "O") )
  )
)</f>
        <v>O</v>
      </c>
      <c r="BG42" s="45" t="str">
        <f ca="1">IF(
  $A42=BG$1,
  IF( ROW(BG42)=2, "+", IF(COUNTIF($B42:BF42,"X")=0, "+", "-") ),
  IF(
    $A42&lt;BG$1,
    "O",
    IF( OFFSET(BG$1, COLUMN(BG42)-1, 0)="-", "O", IF(MOD($A42, BG$1)=0, "X", "O") )
  )
)</f>
        <v>O</v>
      </c>
      <c r="BH42" s="45" t="str">
        <f ca="1">IF(
  $A42=BH$1,
  IF( ROW(BH42)=2, "+", IF(COUNTIF($B42:BG42,"X")=0, "+", "-") ),
  IF(
    $A42&lt;BH$1,
    "O",
    IF( OFFSET(BH$1, COLUMN(BH42)-1, 0)="-", "O", IF(MOD($A42, BH$1)=0, "X", "O") )
  )
)</f>
        <v>O</v>
      </c>
    </row>
    <row r="43" spans="1:60" s="46" customFormat="1" x14ac:dyDescent="0.25">
      <c r="A43">
        <v>43</v>
      </c>
      <c r="B43" s="44" t="str">
        <f ca="1">IF(
  $A43=B$1,
  IF( ROW(B43)=2, "+", IF(COUNTIF(A43:$B43,"X")=0, "+", "-") ),
  IF(
    $A43&lt;B$1,
    "O",
    IF( OFFSET(B$1, COLUMN(B43)-1, 0)="-", "O", IF(MOD($A43, B$1)=0, "X", "O") )
  )
)</f>
        <v>O</v>
      </c>
      <c r="C43" s="44" t="str">
        <f ca="1">IF(
  $A43=C$1,
  IF( ROW(C43)=2, "+", IF(COUNTIF(B43:$B43,"X")=0, "+", "-") ),
  IF(
    $A43&lt;C$1,
    "O",
    IF( OFFSET(C$1, COLUMN(C43)-1, 0)="-", "O", IF(MOD($A43, C$1)=0, "X", "O") )
  )
)</f>
        <v>O</v>
      </c>
      <c r="D43" s="45" t="str">
        <f ca="1">IF(
  $A43=D$1,
  IF( ROW(D43)=2, "+", IF(COUNTIF($B43:C43,"X")=0, "+", "-") ),
  IF(
    $A43&lt;D$1,
    "O",
    IF( OFFSET(D$1, COLUMN(D43)-1, 0)="-", "O", IF(MOD($A43, D$1)=0, "X", "O") )
  )
)</f>
        <v>O</v>
      </c>
      <c r="E43" s="44" t="str">
        <f ca="1">IF(
  $A43=E$1,
  IF( ROW(E43)=2, "+", IF(COUNTIF($B43:D43,"X")=0, "+", "-") ),
  IF(
    $A43&lt;E$1,
    "O",
    IF( OFFSET(E$1, COLUMN(E43)-1, 0)="-", "O", IF(MOD($A43, E$1)=0, "X", "O") )
  )
)</f>
        <v>O</v>
      </c>
      <c r="F43" s="45" t="str">
        <f ca="1">IF(
  $A43=F$1,
  IF( ROW(F43)=2, "+", IF(COUNTIF($B43:E43,"X")=0, "+", "-") ),
  IF(
    $A43&lt;F$1,
    "O",
    IF( OFFSET(F$1, COLUMN(F43)-1, 0)="-", "O", IF(MOD($A43, F$1)=0, "X", "O") )
  )
)</f>
        <v>O</v>
      </c>
      <c r="G43" s="44" t="str">
        <f ca="1">IF(
  $A43=G$1,
  IF( ROW(G43)=2, "+", IF(COUNTIF($B43:F43,"X")=0, "+", "-") ),
  IF(
    $A43&lt;G$1,
    "O",
    IF( OFFSET(G$1, COLUMN(G43)-1, 0)="-", "O", IF(MOD($A43, G$1)=0, "X", "O") )
  )
)</f>
        <v>O</v>
      </c>
      <c r="H43" s="45" t="str">
        <f ca="1">IF(
  $A43=H$1,
  IF( ROW(H43)=2, "+", IF(COUNTIF($B43:G43,"X")=0, "+", "-") ),
  IF(
    $A43&lt;H$1,
    "O",
    IF( OFFSET(H$1, COLUMN(H43)-1, 0)="-", "O", IF(MOD($A43, H$1)=0, "X", "O") )
  )
)</f>
        <v>O</v>
      </c>
      <c r="I43" s="45" t="str">
        <f ca="1">IF(
  $A43=I$1,
  IF( ROW(I43)=2, "+", IF(COUNTIF($B43:H43,"X")=0, "+", "-") ),
  IF(
    $A43&lt;I$1,
    "O",
    IF( OFFSET(I$1, COLUMN(I43)-1, 0)="-", "O", IF(MOD($A43, I$1)=0, "X", "O") )
  )
)</f>
        <v>O</v>
      </c>
      <c r="J43" s="45" t="str">
        <f ca="1">IF(
  $A43=J$1,
  IF( ROW(J43)=2, "+", IF(COUNTIF($B43:I43,"X")=0, "+", "-") ),
  IF(
    $A43&lt;J$1,
    "O",
    IF( OFFSET(J$1, COLUMN(J43)-1, 0)="-", "O", IF(MOD($A43, J$1)=0, "X", "O") )
  )
)</f>
        <v>O</v>
      </c>
      <c r="K43" s="44" t="str">
        <f ca="1">IF(
  $A43=K$1,
  IF( ROW(K43)=2, "+", IF(COUNTIF($B43:J43,"X")=0, "+", "-") ),
  IF(
    $A43&lt;K$1,
    "O",
    IF( OFFSET(K$1, COLUMN(K43)-1, 0)="-", "O", IF(MOD($A43, K$1)=0, "X", "O") )
  )
)</f>
        <v>O</v>
      </c>
      <c r="L43" s="45" t="str">
        <f ca="1">IF(
  $A43=L$1,
  IF( ROW(L43)=2, "+", IF(COUNTIF($B43:K43,"X")=0, "+", "-") ),
  IF(
    $A43&lt;L$1,
    "O",
    IF( OFFSET(L$1, COLUMN(L43)-1, 0)="-", "O", IF(MOD($A43, L$1)=0, "X", "O") )
  )
)</f>
        <v>O</v>
      </c>
      <c r="M43" s="44" t="str">
        <f ca="1">IF(
  $A43=M$1,
  IF( ROW(M43)=2, "+", IF(COUNTIF($B43:L43,"X")=0, "+", "-") ),
  IF(
    $A43&lt;M$1,
    "O",
    IF( OFFSET(M$1, COLUMN(M43)-1, 0)="-", "O", IF(MOD($A43, M$1)=0, "X", "O") )
  )
)</f>
        <v>O</v>
      </c>
      <c r="N43" s="45" t="str">
        <f ca="1">IF(
  $A43=N$1,
  IF( ROW(N43)=2, "+", IF(COUNTIF($B43:M43,"X")=0, "+", "-") ),
  IF(
    $A43&lt;N$1,
    "O",
    IF( OFFSET(N$1, COLUMN(N43)-1, 0)="-", "O", IF(MOD($A43, N$1)=0, "X", "O") )
  )
)</f>
        <v>O</v>
      </c>
      <c r="O43" s="45" t="str">
        <f ca="1">IF(
  $A43=O$1,
  IF( ROW(O43)=2, "+", IF(COUNTIF($B43:N43,"X")=0, "+", "-") ),
  IF(
    $A43&lt;O$1,
    "O",
    IF( OFFSET(O$1, COLUMN(O43)-1, 0)="-", "O", IF(MOD($A43, O$1)=0, "X", "O") )
  )
)</f>
        <v>O</v>
      </c>
      <c r="P43" s="45" t="str">
        <f ca="1">IF(
  $A43=P$1,
  IF( ROW(P43)=2, "+", IF(COUNTIF($B43:O43,"X")=0, "+", "-") ),
  IF(
    $A43&lt;P$1,
    "O",
    IF( OFFSET(P$1, COLUMN(P43)-1, 0)="-", "O", IF(MOD($A43, P$1)=0, "X", "O") )
  )
)</f>
        <v>O</v>
      </c>
      <c r="Q43" s="44" t="str">
        <f ca="1">IF(
  $A43=Q$1,
  IF( ROW(Q43)=2, "+", IF(COUNTIF($B43:P43,"X")=0, "+", "-") ),
  IF(
    $A43&lt;Q$1,
    "O",
    IF( OFFSET(Q$1, COLUMN(Q43)-1, 0)="-", "O", IF(MOD($A43, Q$1)=0, "X", "O") )
  )
)</f>
        <v>O</v>
      </c>
      <c r="R43" s="45" t="str">
        <f ca="1">IF(
  $A43=R$1,
  IF( ROW(R43)=2, "+", IF(COUNTIF($B43:Q43,"X")=0, "+", "-") ),
  IF(
    $A43&lt;R$1,
    "O",
    IF( OFFSET(R$1, COLUMN(R43)-1, 0)="-", "O", IF(MOD($A43, R$1)=0, "X", "O") )
  )
)</f>
        <v>O</v>
      </c>
      <c r="S43" s="44" t="str">
        <f ca="1">IF(
  $A43=S$1,
  IF( ROW(S43)=2, "+", IF(COUNTIF($B43:R43,"X")=0, "+", "-") ),
  IF(
    $A43&lt;S$1,
    "O",
    IF( OFFSET(S$1, COLUMN(S43)-1, 0)="-", "O", IF(MOD($A43, S$1)=0, "X", "O") )
  )
)</f>
        <v>O</v>
      </c>
      <c r="T43" s="45" t="str">
        <f ca="1">IF(
  $A43=T$1,
  IF( ROW(T43)=2, "+", IF(COUNTIF($B43:S43,"X")=0, "+", "-") ),
  IF(
    $A43&lt;T$1,
    "O",
    IF( OFFSET(T$1, COLUMN(T43)-1, 0)="-", "O", IF(MOD($A43, T$1)=0, "X", "O") )
  )
)</f>
        <v>O</v>
      </c>
      <c r="U43" s="45" t="str">
        <f ca="1">IF(
  $A43=U$1,
  IF( ROW(U43)=2, "+", IF(COUNTIF($B43:T43,"X")=0, "+", "-") ),
  IF(
    $A43&lt;U$1,
    "O",
    IF( OFFSET(U$1, COLUMN(U43)-1, 0)="-", "O", IF(MOD($A43, U$1)=0, "X", "O") )
  )
)</f>
        <v>O</v>
      </c>
      <c r="V43" s="45" t="str">
        <f ca="1">IF(
  $A43=V$1,
  IF( ROW(V43)=2, "+", IF(COUNTIF($B43:U43,"X")=0, "+", "-") ),
  IF(
    $A43&lt;V$1,
    "O",
    IF( OFFSET(V$1, COLUMN(V43)-1, 0)="-", "O", IF(MOD($A43, V$1)=0, "X", "O") )
  )
)</f>
        <v>O</v>
      </c>
      <c r="W43" s="44" t="str">
        <f ca="1">IF(
  $A43=W$1,
  IF( ROW(W43)=2, "+", IF(COUNTIF($B43:V43,"X")=0, "+", "-") ),
  IF(
    $A43&lt;W$1,
    "O",
    IF( OFFSET(W$1, COLUMN(W43)-1, 0)="-", "O", IF(MOD($A43, W$1)=0, "X", "O") )
  )
)</f>
        <v>O</v>
      </c>
      <c r="X43" s="45" t="str">
        <f ca="1">IF(
  $A43=X$1,
  IF( ROW(X43)=2, "+", IF(COUNTIF($B43:W43,"X")=0, "+", "-") ),
  IF(
    $A43&lt;X$1,
    "O",
    IF( OFFSET(X$1, COLUMN(X43)-1, 0)="-", "O", IF(MOD($A43, X$1)=0, "X", "O") )
  )
)</f>
        <v>O</v>
      </c>
      <c r="Y43" s="45" t="str">
        <f ca="1">IF(
  $A43=Y$1,
  IF( ROW(Y43)=2, "+", IF(COUNTIF($B43:X43,"X")=0, "+", "-") ),
  IF(
    $A43&lt;Y$1,
    "O",
    IF( OFFSET(Y$1, COLUMN(Y43)-1, 0)="-", "O", IF(MOD($A43, Y$1)=0, "X", "O") )
  )
)</f>
        <v>O</v>
      </c>
      <c r="Z43" s="45" t="str">
        <f ca="1">IF(
  $A43=Z$1,
  IF( ROW(Z43)=2, "+", IF(COUNTIF($B43:Y43,"X")=0, "+", "-") ),
  IF(
    $A43&lt;Z$1,
    "O",
    IF( OFFSET(Z$1, COLUMN(Z43)-1, 0)="-", "O", IF(MOD($A43, Z$1)=0, "X", "O") )
  )
)</f>
        <v>O</v>
      </c>
      <c r="AA43" s="45" t="str">
        <f ca="1">IF(
  $A43=AA$1,
  IF( ROW(AA43)=2, "+", IF(COUNTIF($B43:Z43,"X")=0, "+", "-") ),
  IF(
    $A43&lt;AA$1,
    "O",
    IF( OFFSET(AA$1, COLUMN(AA43)-1, 0)="-", "O", IF(MOD($A43, AA$1)=0, "X", "O") )
  )
)</f>
        <v>O</v>
      </c>
      <c r="AB43" s="45" t="str">
        <f ca="1">IF(
  $A43=AB$1,
  IF( ROW(AB43)=2, "+", IF(COUNTIF($B43:AA43,"X")=0, "+", "-") ),
  IF(
    $A43&lt;AB$1,
    "O",
    IF( OFFSET(AB$1, COLUMN(AB43)-1, 0)="-", "O", IF(MOD($A43, AB$1)=0, "X", "O") )
  )
)</f>
        <v>O</v>
      </c>
      <c r="AC43" s="44" t="str">
        <f ca="1">IF(
  $A43=AC$1,
  IF( ROW(AC43)=2, "+", IF(COUNTIF($B43:AB43,"X")=0, "+", "-") ),
  IF(
    $A43&lt;AC$1,
    "O",
    IF( OFFSET(AC$1, COLUMN(AC43)-1, 0)="-", "O", IF(MOD($A43, AC$1)=0, "X", "O") )
  )
)</f>
        <v>O</v>
      </c>
      <c r="AD43" s="45" t="str">
        <f ca="1">IF(
  $A43=AD$1,
  IF( ROW(AD43)=2, "+", IF(COUNTIF($B43:AC43,"X")=0, "+", "-") ),
  IF(
    $A43&lt;AD$1,
    "O",
    IF( OFFSET(AD$1, COLUMN(AD43)-1, 0)="-", "O", IF(MOD($A43, AD$1)=0, "X", "O") )
  )
)</f>
        <v>O</v>
      </c>
      <c r="AE43" s="44" t="str">
        <f ca="1">IF(
  $A43=AE$1,
  IF( ROW(AE43)=2, "+", IF(COUNTIF($B43:AD43,"X")=0, "+", "-") ),
  IF(
    $A43&lt;AE$1,
    "O",
    IF( OFFSET(AE$1, COLUMN(AE43)-1, 0)="-", "O", IF(MOD($A43, AE$1)=0, "X", "O") )
  )
)</f>
        <v>O</v>
      </c>
      <c r="AF43" s="45" t="str">
        <f ca="1">IF(
  $A43=AF$1,
  IF( ROW(AF43)=2, "+", IF(COUNTIF($B43:AE43,"X")=0, "+", "-") ),
  IF(
    $A43&lt;AF$1,
    "O",
    IF( OFFSET(AF$1, COLUMN(AF43)-1, 0)="-", "O", IF(MOD($A43, AF$1)=0, "X", "O") )
  )
)</f>
        <v>O</v>
      </c>
      <c r="AG43" s="45" t="str">
        <f ca="1">IF(
  $A43=AG$1,
  IF( ROW(AG43)=2, "+", IF(COUNTIF($B43:AF43,"X")=0, "+", "-") ),
  IF(
    $A43&lt;AG$1,
    "O",
    IF( OFFSET(AG$1, COLUMN(AG43)-1, 0)="-", "O", IF(MOD($A43, AG$1)=0, "X", "O") )
  )
)</f>
        <v>O</v>
      </c>
      <c r="AH43" s="45" t="str">
        <f ca="1">IF(
  $A43=AH$1,
  IF( ROW(AH43)=2, "+", IF(COUNTIF($B43:AG43,"X")=0, "+", "-") ),
  IF(
    $A43&lt;AH$1,
    "O",
    IF( OFFSET(AH$1, COLUMN(AH43)-1, 0)="-", "O", IF(MOD($A43, AH$1)=0, "X", "O") )
  )
)</f>
        <v>O</v>
      </c>
      <c r="AI43" s="45" t="str">
        <f ca="1">IF(
  $A43=AI$1,
  IF( ROW(AI43)=2, "+", IF(COUNTIF($B43:AH43,"X")=0, "+", "-") ),
  IF(
    $A43&lt;AI$1,
    "O",
    IF( OFFSET(AI$1, COLUMN(AI43)-1, 0)="-", "O", IF(MOD($A43, AI$1)=0, "X", "O") )
  )
)</f>
        <v>O</v>
      </c>
      <c r="AJ43" s="45" t="str">
        <f ca="1">IF(
  $A43=AJ$1,
  IF( ROW(AJ43)=2, "+", IF(COUNTIF($B43:AI43,"X")=0, "+", "-") ),
  IF(
    $A43&lt;AJ$1,
    "O",
    IF( OFFSET(AJ$1, COLUMN(AJ43)-1, 0)="-", "O", IF(MOD($A43, AJ$1)=0, "X", "O") )
  )
)</f>
        <v>O</v>
      </c>
      <c r="AK43" s="44" t="str">
        <f ca="1">IF(
  $A43=AK$1,
  IF( ROW(AK43)=2, "+", IF(COUNTIF($B43:AJ43,"X")=0, "+", "-") ),
  IF(
    $A43&lt;AK$1,
    "O",
    IF( OFFSET(AK$1, COLUMN(AK43)-1, 0)="-", "O", IF(MOD($A43, AK$1)=0, "X", "O") )
  )
)</f>
        <v>O</v>
      </c>
      <c r="AL43" s="45" t="str">
        <f ca="1">IF(
  $A43=AL$1,
  IF( ROW(AL43)=2, "+", IF(COUNTIF($B43:AK43,"X")=0, "+", "-") ),
  IF(
    $A43&lt;AL$1,
    "O",
    IF( OFFSET(AL$1, COLUMN(AL43)-1, 0)="-", "O", IF(MOD($A43, AL$1)=0, "X", "O") )
  )
)</f>
        <v>O</v>
      </c>
      <c r="AM43" s="45" t="str">
        <f ca="1">IF(
  $A43=AM$1,
  IF( ROW(AM43)=2, "+", IF(COUNTIF($B43:AL43,"X")=0, "+", "-") ),
  IF(
    $A43&lt;AM$1,
    "O",
    IF( OFFSET(AM$1, COLUMN(AM43)-1, 0)="-", "O", IF(MOD($A43, AM$1)=0, "X", "O") )
  )
)</f>
        <v>O</v>
      </c>
      <c r="AN43" s="45" t="str">
        <f ca="1">IF(
  $A43=AN$1,
  IF( ROW(AN43)=2, "+", IF(COUNTIF($B43:AM43,"X")=0, "+", "-") ),
  IF(
    $A43&lt;AN$1,
    "O",
    IF( OFFSET(AN$1, COLUMN(AN43)-1, 0)="-", "O", IF(MOD($A43, AN$1)=0, "X", "O") )
  )
)</f>
        <v>O</v>
      </c>
      <c r="AO43" s="44" t="str">
        <f ca="1">IF(
  $A43=AO$1,
  IF( ROW(AO43)=2, "+", IF(COUNTIF($B43:AN43,"X")=0, "+", "-") ),
  IF(
    $A43&lt;AO$1,
    "O",
    IF( OFFSET(AO$1, COLUMN(AO43)-1, 0)="-", "O", IF(MOD($A43, AO$1)=0, "X", "O") )
  )
)</f>
        <v>O</v>
      </c>
      <c r="AP43" s="45" t="str">
        <f ca="1">IF(
  $A43=AP$1,
  IF( ROW(AP43)=2, "+", IF(COUNTIF($B43:AO43,"X")=0, "+", "-") ),
  IF(
    $A43&lt;AP$1,
    "O",
    IF( OFFSET(AP$1, COLUMN(AP43)-1, 0)="-", "O", IF(MOD($A43, AP$1)=0, "X", "O") )
  )
)</f>
        <v>O</v>
      </c>
      <c r="AQ43" s="44" t="str">
        <f ca="1">IF(
  $A43=AQ$1,
  IF( ROW(AQ43)=2, "+", IF(COUNTIF($B43:AP43,"X")=0, "+", "-") ),
  IF(
    $A43&lt;AQ$1,
    "O",
    IF( OFFSET(AQ$1, COLUMN(AQ43)-1, 0)="-", "O", IF(MOD($A43, AQ$1)=0, "X", "O") )
  )
)</f>
        <v>+</v>
      </c>
      <c r="AR43" s="45" t="str">
        <f ca="1">IF(
  $A43=AR$1,
  IF( ROW(AR43)=2, "+", IF(COUNTIF($B43:AQ43,"X")=0, "+", "-") ),
  IF(
    $A43&lt;AR$1,
    "O",
    IF( OFFSET(AR$1, COLUMN(AR43)-1, 0)="-", "O", IF(MOD($A43, AR$1)=0, "X", "O") )
  )
)</f>
        <v>O</v>
      </c>
      <c r="AS43" s="45" t="str">
        <f ca="1">IF(
  $A43=AS$1,
  IF( ROW(AS43)=2, "+", IF(COUNTIF($B43:AR43,"X")=0, "+", "-") ),
  IF(
    $A43&lt;AS$1,
    "O",
    IF( OFFSET(AS$1, COLUMN(AS43)-1, 0)="-", "O", IF(MOD($A43, AS$1)=0, "X", "O") )
  )
)</f>
        <v>O</v>
      </c>
      <c r="AT43" s="45" t="str">
        <f ca="1">IF(
  $A43=AT$1,
  IF( ROW(AT43)=2, "+", IF(COUNTIF($B43:AS43,"X")=0, "+", "-") ),
  IF(
    $A43&lt;AT$1,
    "O",
    IF( OFFSET(AT$1, COLUMN(AT43)-1, 0)="-", "O", IF(MOD($A43, AT$1)=0, "X", "O") )
  )
)</f>
        <v>O</v>
      </c>
      <c r="AU43" s="45" t="str">
        <f ca="1">IF(
  $A43=AU$1,
  IF( ROW(AU43)=2, "+", IF(COUNTIF($B43:AT43,"X")=0, "+", "-") ),
  IF(
    $A43&lt;AU$1,
    "O",
    IF( OFFSET(AU$1, COLUMN(AU43)-1, 0)="-", "O", IF(MOD($A43, AU$1)=0, "X", "O") )
  )
)</f>
        <v>O</v>
      </c>
      <c r="AV43" s="45" t="str">
        <f ca="1">IF(
  $A43=AV$1,
  IF( ROW(AV43)=2, "+", IF(COUNTIF($B43:AU43,"X")=0, "+", "-") ),
  IF(
    $A43&lt;AV$1,
    "O",
    IF( OFFSET(AV$1, COLUMN(AV43)-1, 0)="-", "O", IF(MOD($A43, AV$1)=0, "X", "O") )
  )
)</f>
        <v>O</v>
      </c>
      <c r="AW43" s="45" t="str">
        <f ca="1">IF(
  $A43=AW$1,
  IF( ROW(AW43)=2, "+", IF(COUNTIF($B43:AV43,"X")=0, "+", "-") ),
  IF(
    $A43&lt;AW$1,
    "O",
    IF( OFFSET(AW$1, COLUMN(AW43)-1, 0)="-", "O", IF(MOD($A43, AW$1)=0, "X", "O") )
  )
)</f>
        <v>O</v>
      </c>
      <c r="AX43" s="45" t="str">
        <f ca="1">IF(
  $A43=AX$1,
  IF( ROW(AX43)=2, "+", IF(COUNTIF($B43:AW43,"X")=0, "+", "-") ),
  IF(
    $A43&lt;AX$1,
    "O",
    IF( OFFSET(AX$1, COLUMN(AX43)-1, 0)="-", "O", IF(MOD($A43, AX$1)=0, "X", "O") )
  )
)</f>
        <v>O</v>
      </c>
      <c r="AY43" s="45" t="str">
        <f ca="1">IF(
  $A43=AY$1,
  IF( ROW(AY43)=2, "+", IF(COUNTIF($B43:AX43,"X")=0, "+", "-") ),
  IF(
    $A43&lt;AY$1,
    "O",
    IF( OFFSET(AY$1, COLUMN(AY43)-1, 0)="-", "O", IF(MOD($A43, AY$1)=0, "X", "O") )
  )
)</f>
        <v>O</v>
      </c>
      <c r="AZ43" s="45" t="str">
        <f ca="1">IF(
  $A43=AZ$1,
  IF( ROW(AZ43)=2, "+", IF(COUNTIF($B43:AY43,"X")=0, "+", "-") ),
  IF(
    $A43&lt;AZ$1,
    "O",
    IF( OFFSET(AZ$1, COLUMN(AZ43)-1, 0)="-", "O", IF(MOD($A43, AZ$1)=0, "X", "O") )
  )
)</f>
        <v>O</v>
      </c>
      <c r="BA43" s="45" t="str">
        <f ca="1">IF(
  $A43=BA$1,
  IF( ROW(BA43)=2, "+", IF(COUNTIF($B43:AZ43,"X")=0, "+", "-") ),
  IF(
    $A43&lt;BA$1,
    "O",
    IF( OFFSET(BA$1, COLUMN(BA43)-1, 0)="-", "O", IF(MOD($A43, BA$1)=0, "X", "O") )
  )
)</f>
        <v>O</v>
      </c>
      <c r="BB43" s="45" t="str">
        <f ca="1">IF(
  $A43=BB$1,
  IF( ROW(BB43)=2, "+", IF(COUNTIF($B43:BA43,"X")=0, "+", "-") ),
  IF(
    $A43&lt;BB$1,
    "O",
    IF( OFFSET(BB$1, COLUMN(BB43)-1, 0)="-", "O", IF(MOD($A43, BB$1)=0, "X", "O") )
  )
)</f>
        <v>O</v>
      </c>
      <c r="BC43" s="45" t="str">
        <f ca="1">IF(
  $A43=BC$1,
  IF( ROW(BC43)=2, "+", IF(COUNTIF($B43:BB43,"X")=0, "+", "-") ),
  IF(
    $A43&lt;BC$1,
    "O",
    IF( OFFSET(BC$1, COLUMN(BC43)-1, 0)="-", "O", IF(MOD($A43, BC$1)=0, "X", "O") )
  )
)</f>
        <v>O</v>
      </c>
      <c r="BD43" s="45" t="str">
        <f ca="1">IF(
  $A43=BD$1,
  IF( ROW(BD43)=2, "+", IF(COUNTIF($B43:BC43,"X")=0, "+", "-") ),
  IF(
    $A43&lt;BD$1,
    "O",
    IF( OFFSET(BD$1, COLUMN(BD43)-1, 0)="-", "O", IF(MOD($A43, BD$1)=0, "X", "O") )
  )
)</f>
        <v>O</v>
      </c>
      <c r="BE43" s="45" t="str">
        <f ca="1">IF(
  $A43=BE$1,
  IF( ROW(BE43)=2, "+", IF(COUNTIF($B43:BD43,"X")=0, "+", "-") ),
  IF(
    $A43&lt;BE$1,
    "O",
    IF( OFFSET(BE$1, COLUMN(BE43)-1, 0)="-", "O", IF(MOD($A43, BE$1)=0, "X", "O") )
  )
)</f>
        <v>O</v>
      </c>
      <c r="BF43" s="45" t="str">
        <f ca="1">IF(
  $A43=BF$1,
  IF( ROW(BF43)=2, "+", IF(COUNTIF($B43:BE43,"X")=0, "+", "-") ),
  IF(
    $A43&lt;BF$1,
    "O",
    IF( OFFSET(BF$1, COLUMN(BF43)-1, 0)="-", "O", IF(MOD($A43, BF$1)=0, "X", "O") )
  )
)</f>
        <v>O</v>
      </c>
      <c r="BG43" s="45" t="str">
        <f ca="1">IF(
  $A43=BG$1,
  IF( ROW(BG43)=2, "+", IF(COUNTIF($B43:BF43,"X")=0, "+", "-") ),
  IF(
    $A43&lt;BG$1,
    "O",
    IF( OFFSET(BG$1, COLUMN(BG43)-1, 0)="-", "O", IF(MOD($A43, BG$1)=0, "X", "O") )
  )
)</f>
        <v>O</v>
      </c>
      <c r="BH43" s="45" t="str">
        <f ca="1">IF(
  $A43=BH$1,
  IF( ROW(BH43)=2, "+", IF(COUNTIF($B43:BG43,"X")=0, "+", "-") ),
  IF(
    $A43&lt;BH$1,
    "O",
    IF( OFFSET(BH$1, COLUMN(BH43)-1, 0)="-", "O", IF(MOD($A43, BH$1)=0, "X", "O") )
  )
)</f>
        <v>O</v>
      </c>
    </row>
    <row r="44" spans="1:60" s="46" customFormat="1" x14ac:dyDescent="0.25">
      <c r="A44">
        <v>44</v>
      </c>
      <c r="B44" s="44" t="str">
        <f ca="1">IF(
  $A44=B$1,
  IF( ROW(B44)=2, "+", IF(COUNTIF(A44:$B44,"X")=0, "+", "-") ),
  IF(
    $A44&lt;B$1,
    "O",
    IF( OFFSET(B$1, COLUMN(B44)-1, 0)="-", "O", IF(MOD($A44, B$1)=0, "X", "O") )
  )
)</f>
        <v>X</v>
      </c>
      <c r="C44" s="44" t="str">
        <f ca="1">IF(
  $A44=C$1,
  IF( ROW(C44)=2, "+", IF(COUNTIF(B44:$B44,"X")=0, "+", "-") ),
  IF(
    $A44&lt;C$1,
    "O",
    IF( OFFSET(C$1, COLUMN(C44)-1, 0)="-", "O", IF(MOD($A44, C$1)=0, "X", "O") )
  )
)</f>
        <v>O</v>
      </c>
      <c r="D44" s="45" t="str">
        <f ca="1">IF(
  $A44=D$1,
  IF( ROW(D44)=2, "+", IF(COUNTIF($B44:C44,"X")=0, "+", "-") ),
  IF(
    $A44&lt;D$1,
    "O",
    IF( OFFSET(D$1, COLUMN(D44)-1, 0)="-", "O", IF(MOD($A44, D$1)=0, "X", "O") )
  )
)</f>
        <v>O</v>
      </c>
      <c r="E44" s="44" t="str">
        <f ca="1">IF(
  $A44=E$1,
  IF( ROW(E44)=2, "+", IF(COUNTIF($B44:D44,"X")=0, "+", "-") ),
  IF(
    $A44&lt;E$1,
    "O",
    IF( OFFSET(E$1, COLUMN(E44)-1, 0)="-", "O", IF(MOD($A44, E$1)=0, "X", "O") )
  )
)</f>
        <v>O</v>
      </c>
      <c r="F44" s="45" t="str">
        <f ca="1">IF(
  $A44=F$1,
  IF( ROW(F44)=2, "+", IF(COUNTIF($B44:E44,"X")=0, "+", "-") ),
  IF(
    $A44&lt;F$1,
    "O",
    IF( OFFSET(F$1, COLUMN(F44)-1, 0)="-", "O", IF(MOD($A44, F$1)=0, "X", "O") )
  )
)</f>
        <v>O</v>
      </c>
      <c r="G44" s="44" t="str">
        <f ca="1">IF(
  $A44=G$1,
  IF( ROW(G44)=2, "+", IF(COUNTIF($B44:F44,"X")=0, "+", "-") ),
  IF(
    $A44&lt;G$1,
    "O",
    IF( OFFSET(G$1, COLUMN(G44)-1, 0)="-", "O", IF(MOD($A44, G$1)=0, "X", "O") )
  )
)</f>
        <v>O</v>
      </c>
      <c r="H44" s="45" t="str">
        <f ca="1">IF(
  $A44=H$1,
  IF( ROW(H44)=2, "+", IF(COUNTIF($B44:G44,"X")=0, "+", "-") ),
  IF(
    $A44&lt;H$1,
    "O",
    IF( OFFSET(H$1, COLUMN(H44)-1, 0)="-", "O", IF(MOD($A44, H$1)=0, "X", "O") )
  )
)</f>
        <v>O</v>
      </c>
      <c r="I44" s="45" t="str">
        <f ca="1">IF(
  $A44=I$1,
  IF( ROW(I44)=2, "+", IF(COUNTIF($B44:H44,"X")=0, "+", "-") ),
  IF(
    $A44&lt;I$1,
    "O",
    IF( OFFSET(I$1, COLUMN(I44)-1, 0)="-", "O", IF(MOD($A44, I$1)=0, "X", "O") )
  )
)</f>
        <v>O</v>
      </c>
      <c r="J44" s="45" t="str">
        <f ca="1">IF(
  $A44=J$1,
  IF( ROW(J44)=2, "+", IF(COUNTIF($B44:I44,"X")=0, "+", "-") ),
  IF(
    $A44&lt;J$1,
    "O",
    IF( OFFSET(J$1, COLUMN(J44)-1, 0)="-", "O", IF(MOD($A44, J$1)=0, "X", "O") )
  )
)</f>
        <v>O</v>
      </c>
      <c r="K44" s="44" t="str">
        <f ca="1">IF(
  $A44=K$1,
  IF( ROW(K44)=2, "+", IF(COUNTIF($B44:J44,"X")=0, "+", "-") ),
  IF(
    $A44&lt;K$1,
    "O",
    IF( OFFSET(K$1, COLUMN(K44)-1, 0)="-", "O", IF(MOD($A44, K$1)=0, "X", "O") )
  )
)</f>
        <v>X</v>
      </c>
      <c r="L44" s="45" t="str">
        <f ca="1">IF(
  $A44=L$1,
  IF( ROW(L44)=2, "+", IF(COUNTIF($B44:K44,"X")=0, "+", "-") ),
  IF(
    $A44&lt;L$1,
    "O",
    IF( OFFSET(L$1, COLUMN(L44)-1, 0)="-", "O", IF(MOD($A44, L$1)=0, "X", "O") )
  )
)</f>
        <v>O</v>
      </c>
      <c r="M44" s="44" t="str">
        <f ca="1">IF(
  $A44=M$1,
  IF( ROW(M44)=2, "+", IF(COUNTIF($B44:L44,"X")=0, "+", "-") ),
  IF(
    $A44&lt;M$1,
    "O",
    IF( OFFSET(M$1, COLUMN(M44)-1, 0)="-", "O", IF(MOD($A44, M$1)=0, "X", "O") )
  )
)</f>
        <v>O</v>
      </c>
      <c r="N44" s="45" t="str">
        <f ca="1">IF(
  $A44=N$1,
  IF( ROW(N44)=2, "+", IF(COUNTIF($B44:M44,"X")=0, "+", "-") ),
  IF(
    $A44&lt;N$1,
    "O",
    IF( OFFSET(N$1, COLUMN(N44)-1, 0)="-", "O", IF(MOD($A44, N$1)=0, "X", "O") )
  )
)</f>
        <v>O</v>
      </c>
      <c r="O44" s="45" t="str">
        <f ca="1">IF(
  $A44=O$1,
  IF( ROW(O44)=2, "+", IF(COUNTIF($B44:N44,"X")=0, "+", "-") ),
  IF(
    $A44&lt;O$1,
    "O",
    IF( OFFSET(O$1, COLUMN(O44)-1, 0)="-", "O", IF(MOD($A44, O$1)=0, "X", "O") )
  )
)</f>
        <v>O</v>
      </c>
      <c r="P44" s="45" t="str">
        <f ca="1">IF(
  $A44=P$1,
  IF( ROW(P44)=2, "+", IF(COUNTIF($B44:O44,"X")=0, "+", "-") ),
  IF(
    $A44&lt;P$1,
    "O",
    IF( OFFSET(P$1, COLUMN(P44)-1, 0)="-", "O", IF(MOD($A44, P$1)=0, "X", "O") )
  )
)</f>
        <v>O</v>
      </c>
      <c r="Q44" s="44" t="str">
        <f ca="1">IF(
  $A44=Q$1,
  IF( ROW(Q44)=2, "+", IF(COUNTIF($B44:P44,"X")=0, "+", "-") ),
  IF(
    $A44&lt;Q$1,
    "O",
    IF( OFFSET(Q$1, COLUMN(Q44)-1, 0)="-", "O", IF(MOD($A44, Q$1)=0, "X", "O") )
  )
)</f>
        <v>O</v>
      </c>
      <c r="R44" s="45" t="str">
        <f ca="1">IF(
  $A44=R$1,
  IF( ROW(R44)=2, "+", IF(COUNTIF($B44:Q44,"X")=0, "+", "-") ),
  IF(
    $A44&lt;R$1,
    "O",
    IF( OFFSET(R$1, COLUMN(R44)-1, 0)="-", "O", IF(MOD($A44, R$1)=0, "X", "O") )
  )
)</f>
        <v>O</v>
      </c>
      <c r="S44" s="44" t="str">
        <f ca="1">IF(
  $A44=S$1,
  IF( ROW(S44)=2, "+", IF(COUNTIF($B44:R44,"X")=0, "+", "-") ),
  IF(
    $A44&lt;S$1,
    "O",
    IF( OFFSET(S$1, COLUMN(S44)-1, 0)="-", "O", IF(MOD($A44, S$1)=0, "X", "O") )
  )
)</f>
        <v>O</v>
      </c>
      <c r="T44" s="45" t="str">
        <f ca="1">IF(
  $A44=T$1,
  IF( ROW(T44)=2, "+", IF(COUNTIF($B44:S44,"X")=0, "+", "-") ),
  IF(
    $A44&lt;T$1,
    "O",
    IF( OFFSET(T$1, COLUMN(T44)-1, 0)="-", "O", IF(MOD($A44, T$1)=0, "X", "O") )
  )
)</f>
        <v>O</v>
      </c>
      <c r="U44" s="45" t="str">
        <f ca="1">IF(
  $A44=U$1,
  IF( ROW(U44)=2, "+", IF(COUNTIF($B44:T44,"X")=0, "+", "-") ),
  IF(
    $A44&lt;U$1,
    "O",
    IF( OFFSET(U$1, COLUMN(U44)-1, 0)="-", "O", IF(MOD($A44, U$1)=0, "X", "O") )
  )
)</f>
        <v>O</v>
      </c>
      <c r="V44" s="45" t="str">
        <f ca="1">IF(
  $A44=V$1,
  IF( ROW(V44)=2, "+", IF(COUNTIF($B44:U44,"X")=0, "+", "-") ),
  IF(
    $A44&lt;V$1,
    "O",
    IF( OFFSET(V$1, COLUMN(V44)-1, 0)="-", "O", IF(MOD($A44, V$1)=0, "X", "O") )
  )
)</f>
        <v>O</v>
      </c>
      <c r="W44" s="44" t="str">
        <f ca="1">IF(
  $A44=W$1,
  IF( ROW(W44)=2, "+", IF(COUNTIF($B44:V44,"X")=0, "+", "-") ),
  IF(
    $A44&lt;W$1,
    "O",
    IF( OFFSET(W$1, COLUMN(W44)-1, 0)="-", "O", IF(MOD($A44, W$1)=0, "X", "O") )
  )
)</f>
        <v>O</v>
      </c>
      <c r="X44" s="45" t="str">
        <f ca="1">IF(
  $A44=X$1,
  IF( ROW(X44)=2, "+", IF(COUNTIF($B44:W44,"X")=0, "+", "-") ),
  IF(
    $A44&lt;X$1,
    "O",
    IF( OFFSET(X$1, COLUMN(X44)-1, 0)="-", "O", IF(MOD($A44, X$1)=0, "X", "O") )
  )
)</f>
        <v>O</v>
      </c>
      <c r="Y44" s="45" t="str">
        <f ca="1">IF(
  $A44=Y$1,
  IF( ROW(Y44)=2, "+", IF(COUNTIF($B44:X44,"X")=0, "+", "-") ),
  IF(
    $A44&lt;Y$1,
    "O",
    IF( OFFSET(Y$1, COLUMN(Y44)-1, 0)="-", "O", IF(MOD($A44, Y$1)=0, "X", "O") )
  )
)</f>
        <v>O</v>
      </c>
      <c r="Z44" s="45" t="str">
        <f ca="1">IF(
  $A44=Z$1,
  IF( ROW(Z44)=2, "+", IF(COUNTIF($B44:Y44,"X")=0, "+", "-") ),
  IF(
    $A44&lt;Z$1,
    "O",
    IF( OFFSET(Z$1, COLUMN(Z44)-1, 0)="-", "O", IF(MOD($A44, Z$1)=0, "X", "O") )
  )
)</f>
        <v>O</v>
      </c>
      <c r="AA44" s="45" t="str">
        <f ca="1">IF(
  $A44=AA$1,
  IF( ROW(AA44)=2, "+", IF(COUNTIF($B44:Z44,"X")=0, "+", "-") ),
  IF(
    $A44&lt;AA$1,
    "O",
    IF( OFFSET(AA$1, COLUMN(AA44)-1, 0)="-", "O", IF(MOD($A44, AA$1)=0, "X", "O") )
  )
)</f>
        <v>O</v>
      </c>
      <c r="AB44" s="45" t="str">
        <f ca="1">IF(
  $A44=AB$1,
  IF( ROW(AB44)=2, "+", IF(COUNTIF($B44:AA44,"X")=0, "+", "-") ),
  IF(
    $A44&lt;AB$1,
    "O",
    IF( OFFSET(AB$1, COLUMN(AB44)-1, 0)="-", "O", IF(MOD($A44, AB$1)=0, "X", "O") )
  )
)</f>
        <v>O</v>
      </c>
      <c r="AC44" s="44" t="str">
        <f ca="1">IF(
  $A44=AC$1,
  IF( ROW(AC44)=2, "+", IF(COUNTIF($B44:AB44,"X")=0, "+", "-") ),
  IF(
    $A44&lt;AC$1,
    "O",
    IF( OFFSET(AC$1, COLUMN(AC44)-1, 0)="-", "O", IF(MOD($A44, AC$1)=0, "X", "O") )
  )
)</f>
        <v>O</v>
      </c>
      <c r="AD44" s="45" t="str">
        <f ca="1">IF(
  $A44=AD$1,
  IF( ROW(AD44)=2, "+", IF(COUNTIF($B44:AC44,"X")=0, "+", "-") ),
  IF(
    $A44&lt;AD$1,
    "O",
    IF( OFFSET(AD$1, COLUMN(AD44)-1, 0)="-", "O", IF(MOD($A44, AD$1)=0, "X", "O") )
  )
)</f>
        <v>O</v>
      </c>
      <c r="AE44" s="44" t="str">
        <f ca="1">IF(
  $A44=AE$1,
  IF( ROW(AE44)=2, "+", IF(COUNTIF($B44:AD44,"X")=0, "+", "-") ),
  IF(
    $A44&lt;AE$1,
    "O",
    IF( OFFSET(AE$1, COLUMN(AE44)-1, 0)="-", "O", IF(MOD($A44, AE$1)=0, "X", "O") )
  )
)</f>
        <v>O</v>
      </c>
      <c r="AF44" s="45" t="str">
        <f ca="1">IF(
  $A44=AF$1,
  IF( ROW(AF44)=2, "+", IF(COUNTIF($B44:AE44,"X")=0, "+", "-") ),
  IF(
    $A44&lt;AF$1,
    "O",
    IF( OFFSET(AF$1, COLUMN(AF44)-1, 0)="-", "O", IF(MOD($A44, AF$1)=0, "X", "O") )
  )
)</f>
        <v>O</v>
      </c>
      <c r="AG44" s="45" t="str">
        <f ca="1">IF(
  $A44=AG$1,
  IF( ROW(AG44)=2, "+", IF(COUNTIF($B44:AF44,"X")=0, "+", "-") ),
  IF(
    $A44&lt;AG$1,
    "O",
    IF( OFFSET(AG$1, COLUMN(AG44)-1, 0)="-", "O", IF(MOD($A44, AG$1)=0, "X", "O") )
  )
)</f>
        <v>O</v>
      </c>
      <c r="AH44" s="45" t="str">
        <f ca="1">IF(
  $A44=AH$1,
  IF( ROW(AH44)=2, "+", IF(COUNTIF($B44:AG44,"X")=0, "+", "-") ),
  IF(
    $A44&lt;AH$1,
    "O",
    IF( OFFSET(AH$1, COLUMN(AH44)-1, 0)="-", "O", IF(MOD($A44, AH$1)=0, "X", "O") )
  )
)</f>
        <v>O</v>
      </c>
      <c r="AI44" s="45" t="str">
        <f ca="1">IF(
  $A44=AI$1,
  IF( ROW(AI44)=2, "+", IF(COUNTIF($B44:AH44,"X")=0, "+", "-") ),
  IF(
    $A44&lt;AI$1,
    "O",
    IF( OFFSET(AI$1, COLUMN(AI44)-1, 0)="-", "O", IF(MOD($A44, AI$1)=0, "X", "O") )
  )
)</f>
        <v>O</v>
      </c>
      <c r="AJ44" s="45" t="str">
        <f ca="1">IF(
  $A44=AJ$1,
  IF( ROW(AJ44)=2, "+", IF(COUNTIF($B44:AI44,"X")=0, "+", "-") ),
  IF(
    $A44&lt;AJ$1,
    "O",
    IF( OFFSET(AJ$1, COLUMN(AJ44)-1, 0)="-", "O", IF(MOD($A44, AJ$1)=0, "X", "O") )
  )
)</f>
        <v>O</v>
      </c>
      <c r="AK44" s="44" t="str">
        <f ca="1">IF(
  $A44=AK$1,
  IF( ROW(AK44)=2, "+", IF(COUNTIF($B44:AJ44,"X")=0, "+", "-") ),
  IF(
    $A44&lt;AK$1,
    "O",
    IF( OFFSET(AK$1, COLUMN(AK44)-1, 0)="-", "O", IF(MOD($A44, AK$1)=0, "X", "O") )
  )
)</f>
        <v>O</v>
      </c>
      <c r="AL44" s="45" t="str">
        <f ca="1">IF(
  $A44=AL$1,
  IF( ROW(AL44)=2, "+", IF(COUNTIF($B44:AK44,"X")=0, "+", "-") ),
  IF(
    $A44&lt;AL$1,
    "O",
    IF( OFFSET(AL$1, COLUMN(AL44)-1, 0)="-", "O", IF(MOD($A44, AL$1)=0, "X", "O") )
  )
)</f>
        <v>O</v>
      </c>
      <c r="AM44" s="45" t="str">
        <f ca="1">IF(
  $A44=AM$1,
  IF( ROW(AM44)=2, "+", IF(COUNTIF($B44:AL44,"X")=0, "+", "-") ),
  IF(
    $A44&lt;AM$1,
    "O",
    IF( OFFSET(AM$1, COLUMN(AM44)-1, 0)="-", "O", IF(MOD($A44, AM$1)=0, "X", "O") )
  )
)</f>
        <v>O</v>
      </c>
      <c r="AN44" s="45" t="str">
        <f ca="1">IF(
  $A44=AN$1,
  IF( ROW(AN44)=2, "+", IF(COUNTIF($B44:AM44,"X")=0, "+", "-") ),
  IF(
    $A44&lt;AN$1,
    "O",
    IF( OFFSET(AN$1, COLUMN(AN44)-1, 0)="-", "O", IF(MOD($A44, AN$1)=0, "X", "O") )
  )
)</f>
        <v>O</v>
      </c>
      <c r="AO44" s="44" t="str">
        <f ca="1">IF(
  $A44=AO$1,
  IF( ROW(AO44)=2, "+", IF(COUNTIF($B44:AN44,"X")=0, "+", "-") ),
  IF(
    $A44&lt;AO$1,
    "O",
    IF( OFFSET(AO$1, COLUMN(AO44)-1, 0)="-", "O", IF(MOD($A44, AO$1)=0, "X", "O") )
  )
)</f>
        <v>O</v>
      </c>
      <c r="AP44" s="45" t="str">
        <f ca="1">IF(
  $A44=AP$1,
  IF( ROW(AP44)=2, "+", IF(COUNTIF($B44:AO44,"X")=0, "+", "-") ),
  IF(
    $A44&lt;AP$1,
    "O",
    IF( OFFSET(AP$1, COLUMN(AP44)-1, 0)="-", "O", IF(MOD($A44, AP$1)=0, "X", "O") )
  )
)</f>
        <v>O</v>
      </c>
      <c r="AQ44" s="44" t="str">
        <f ca="1">IF(
  $A44=AQ$1,
  IF( ROW(AQ44)=2, "+", IF(COUNTIF($B44:AP44,"X")=0, "+", "-") ),
  IF(
    $A44&lt;AQ$1,
    "O",
    IF( OFFSET(AQ$1, COLUMN(AQ44)-1, 0)="-", "O", IF(MOD($A44, AQ$1)=0, "X", "O") )
  )
)</f>
        <v>O</v>
      </c>
      <c r="AR44" s="45" t="str">
        <f ca="1">IF(
  $A44=AR$1,
  IF( ROW(AR44)=2, "+", IF(COUNTIF($B44:AQ44,"X")=0, "+", "-") ),
  IF(
    $A44&lt;AR$1,
    "O",
    IF( OFFSET(AR$1, COLUMN(AR44)-1, 0)="-", "O", IF(MOD($A44, AR$1)=0, "X", "O") )
  )
)</f>
        <v>-</v>
      </c>
      <c r="AS44" s="45" t="str">
        <f ca="1">IF(
  $A44=AS$1,
  IF( ROW(AS44)=2, "+", IF(COUNTIF($B44:AR44,"X")=0, "+", "-") ),
  IF(
    $A44&lt;AS$1,
    "O",
    IF( OFFSET(AS$1, COLUMN(AS44)-1, 0)="-", "O", IF(MOD($A44, AS$1)=0, "X", "O") )
  )
)</f>
        <v>O</v>
      </c>
      <c r="AT44" s="45" t="str">
        <f ca="1">IF(
  $A44=AT$1,
  IF( ROW(AT44)=2, "+", IF(COUNTIF($B44:AS44,"X")=0, "+", "-") ),
  IF(
    $A44&lt;AT$1,
    "O",
    IF( OFFSET(AT$1, COLUMN(AT44)-1, 0)="-", "O", IF(MOD($A44, AT$1)=0, "X", "O") )
  )
)</f>
        <v>O</v>
      </c>
      <c r="AU44" s="45" t="str">
        <f ca="1">IF(
  $A44=AU$1,
  IF( ROW(AU44)=2, "+", IF(COUNTIF($B44:AT44,"X")=0, "+", "-") ),
  IF(
    $A44&lt;AU$1,
    "O",
    IF( OFFSET(AU$1, COLUMN(AU44)-1, 0)="-", "O", IF(MOD($A44, AU$1)=0, "X", "O") )
  )
)</f>
        <v>O</v>
      </c>
      <c r="AV44" s="45" t="str">
        <f ca="1">IF(
  $A44=AV$1,
  IF( ROW(AV44)=2, "+", IF(COUNTIF($B44:AU44,"X")=0, "+", "-") ),
  IF(
    $A44&lt;AV$1,
    "O",
    IF( OFFSET(AV$1, COLUMN(AV44)-1, 0)="-", "O", IF(MOD($A44, AV$1)=0, "X", "O") )
  )
)</f>
        <v>O</v>
      </c>
      <c r="AW44" s="45" t="str">
        <f ca="1">IF(
  $A44=AW$1,
  IF( ROW(AW44)=2, "+", IF(COUNTIF($B44:AV44,"X")=0, "+", "-") ),
  IF(
    $A44&lt;AW$1,
    "O",
    IF( OFFSET(AW$1, COLUMN(AW44)-1, 0)="-", "O", IF(MOD($A44, AW$1)=0, "X", "O") )
  )
)</f>
        <v>O</v>
      </c>
      <c r="AX44" s="45" t="str">
        <f ca="1">IF(
  $A44=AX$1,
  IF( ROW(AX44)=2, "+", IF(COUNTIF($B44:AW44,"X")=0, "+", "-") ),
  IF(
    $A44&lt;AX$1,
    "O",
    IF( OFFSET(AX$1, COLUMN(AX44)-1, 0)="-", "O", IF(MOD($A44, AX$1)=0, "X", "O") )
  )
)</f>
        <v>O</v>
      </c>
      <c r="AY44" s="45" t="str">
        <f ca="1">IF(
  $A44=AY$1,
  IF( ROW(AY44)=2, "+", IF(COUNTIF($B44:AX44,"X")=0, "+", "-") ),
  IF(
    $A44&lt;AY$1,
    "O",
    IF( OFFSET(AY$1, COLUMN(AY44)-1, 0)="-", "O", IF(MOD($A44, AY$1)=0, "X", "O") )
  )
)</f>
        <v>O</v>
      </c>
      <c r="AZ44" s="45" t="str">
        <f ca="1">IF(
  $A44=AZ$1,
  IF( ROW(AZ44)=2, "+", IF(COUNTIF($B44:AY44,"X")=0, "+", "-") ),
  IF(
    $A44&lt;AZ$1,
    "O",
    IF( OFFSET(AZ$1, COLUMN(AZ44)-1, 0)="-", "O", IF(MOD($A44, AZ$1)=0, "X", "O") )
  )
)</f>
        <v>O</v>
      </c>
      <c r="BA44" s="45" t="str">
        <f ca="1">IF(
  $A44=BA$1,
  IF( ROW(BA44)=2, "+", IF(COUNTIF($B44:AZ44,"X")=0, "+", "-") ),
  IF(
    $A44&lt;BA$1,
    "O",
    IF( OFFSET(BA$1, COLUMN(BA44)-1, 0)="-", "O", IF(MOD($A44, BA$1)=0, "X", "O") )
  )
)</f>
        <v>O</v>
      </c>
      <c r="BB44" s="45" t="str">
        <f ca="1">IF(
  $A44=BB$1,
  IF( ROW(BB44)=2, "+", IF(COUNTIF($B44:BA44,"X")=0, "+", "-") ),
  IF(
    $A44&lt;BB$1,
    "O",
    IF( OFFSET(BB$1, COLUMN(BB44)-1, 0)="-", "O", IF(MOD($A44, BB$1)=0, "X", "O") )
  )
)</f>
        <v>O</v>
      </c>
      <c r="BC44" s="45" t="str">
        <f ca="1">IF(
  $A44=BC$1,
  IF( ROW(BC44)=2, "+", IF(COUNTIF($B44:BB44,"X")=0, "+", "-") ),
  IF(
    $A44&lt;BC$1,
    "O",
    IF( OFFSET(BC$1, COLUMN(BC44)-1, 0)="-", "O", IF(MOD($A44, BC$1)=0, "X", "O") )
  )
)</f>
        <v>O</v>
      </c>
      <c r="BD44" s="45" t="str">
        <f ca="1">IF(
  $A44=BD$1,
  IF( ROW(BD44)=2, "+", IF(COUNTIF($B44:BC44,"X")=0, "+", "-") ),
  IF(
    $A44&lt;BD$1,
    "O",
    IF( OFFSET(BD$1, COLUMN(BD44)-1, 0)="-", "O", IF(MOD($A44, BD$1)=0, "X", "O") )
  )
)</f>
        <v>O</v>
      </c>
      <c r="BE44" s="45" t="str">
        <f ca="1">IF(
  $A44=BE$1,
  IF( ROW(BE44)=2, "+", IF(COUNTIF($B44:BD44,"X")=0, "+", "-") ),
  IF(
    $A44&lt;BE$1,
    "O",
    IF( OFFSET(BE$1, COLUMN(BE44)-1, 0)="-", "O", IF(MOD($A44, BE$1)=0, "X", "O") )
  )
)</f>
        <v>O</v>
      </c>
      <c r="BF44" s="45" t="str">
        <f ca="1">IF(
  $A44=BF$1,
  IF( ROW(BF44)=2, "+", IF(COUNTIF($B44:BE44,"X")=0, "+", "-") ),
  IF(
    $A44&lt;BF$1,
    "O",
    IF( OFFSET(BF$1, COLUMN(BF44)-1, 0)="-", "O", IF(MOD($A44, BF$1)=0, "X", "O") )
  )
)</f>
        <v>O</v>
      </c>
      <c r="BG44" s="45" t="str">
        <f ca="1">IF(
  $A44=BG$1,
  IF( ROW(BG44)=2, "+", IF(COUNTIF($B44:BF44,"X")=0, "+", "-") ),
  IF(
    $A44&lt;BG$1,
    "O",
    IF( OFFSET(BG$1, COLUMN(BG44)-1, 0)="-", "O", IF(MOD($A44, BG$1)=0, "X", "O") )
  )
)</f>
        <v>O</v>
      </c>
      <c r="BH44" s="45" t="str">
        <f ca="1">IF(
  $A44=BH$1,
  IF( ROW(BH44)=2, "+", IF(COUNTIF($B44:BG44,"X")=0, "+", "-") ),
  IF(
    $A44&lt;BH$1,
    "O",
    IF( OFFSET(BH$1, COLUMN(BH44)-1, 0)="-", "O", IF(MOD($A44, BH$1)=0, "X", "O") )
  )
)</f>
        <v>O</v>
      </c>
    </row>
    <row r="45" spans="1:60" s="46" customFormat="1" x14ac:dyDescent="0.25">
      <c r="A45">
        <v>45</v>
      </c>
      <c r="B45" s="44" t="str">
        <f ca="1">IF(
  $A45=B$1,
  IF( ROW(B45)=2, "+", IF(COUNTIF(A45:$B45,"X")=0, "+", "-") ),
  IF(
    $A45&lt;B$1,
    "O",
    IF( OFFSET(B$1, COLUMN(B45)-1, 0)="-", "O", IF(MOD($A45, B$1)=0, "X", "O") )
  )
)</f>
        <v>O</v>
      </c>
      <c r="C45" s="44" t="str">
        <f ca="1">IF(
  $A45=C$1,
  IF( ROW(C45)=2, "+", IF(COUNTIF(B45:$B45,"X")=0, "+", "-") ),
  IF(
    $A45&lt;C$1,
    "O",
    IF( OFFSET(C$1, COLUMN(C45)-1, 0)="-", "O", IF(MOD($A45, C$1)=0, "X", "O") )
  )
)</f>
        <v>X</v>
      </c>
      <c r="D45" s="45" t="str">
        <f ca="1">IF(
  $A45=D$1,
  IF( ROW(D45)=2, "+", IF(COUNTIF($B45:C45,"X")=0, "+", "-") ),
  IF(
    $A45&lt;D$1,
    "O",
    IF( OFFSET(D$1, COLUMN(D45)-1, 0)="-", "O", IF(MOD($A45, D$1)=0, "X", "O") )
  )
)</f>
        <v>O</v>
      </c>
      <c r="E45" s="44" t="str">
        <f ca="1">IF(
  $A45=E$1,
  IF( ROW(E45)=2, "+", IF(COUNTIF($B45:D45,"X")=0, "+", "-") ),
  IF(
    $A45&lt;E$1,
    "O",
    IF( OFFSET(E$1, COLUMN(E45)-1, 0)="-", "O", IF(MOD($A45, E$1)=0, "X", "O") )
  )
)</f>
        <v>X</v>
      </c>
      <c r="F45" s="45" t="str">
        <f ca="1">IF(
  $A45=F$1,
  IF( ROW(F45)=2, "+", IF(COUNTIF($B45:E45,"X")=0, "+", "-") ),
  IF(
    $A45&lt;F$1,
    "O",
    IF( OFFSET(F$1, COLUMN(F45)-1, 0)="-", "O", IF(MOD($A45, F$1)=0, "X", "O") )
  )
)</f>
        <v>O</v>
      </c>
      <c r="G45" s="44" t="str">
        <f ca="1">IF(
  $A45=G$1,
  IF( ROW(G45)=2, "+", IF(COUNTIF($B45:F45,"X")=0, "+", "-") ),
  IF(
    $A45&lt;G$1,
    "O",
    IF( OFFSET(G$1, COLUMN(G45)-1, 0)="-", "O", IF(MOD($A45, G$1)=0, "X", "O") )
  )
)</f>
        <v>O</v>
      </c>
      <c r="H45" s="45" t="str">
        <f ca="1">IF(
  $A45=H$1,
  IF( ROW(H45)=2, "+", IF(COUNTIF($B45:G45,"X")=0, "+", "-") ),
  IF(
    $A45&lt;H$1,
    "O",
    IF( OFFSET(H$1, COLUMN(H45)-1, 0)="-", "O", IF(MOD($A45, H$1)=0, "X", "O") )
  )
)</f>
        <v>O</v>
      </c>
      <c r="I45" s="45" t="str">
        <f ca="1">IF(
  $A45=I$1,
  IF( ROW(I45)=2, "+", IF(COUNTIF($B45:H45,"X")=0, "+", "-") ),
  IF(
    $A45&lt;I$1,
    "O",
    IF( OFFSET(I$1, COLUMN(I45)-1, 0)="-", "O", IF(MOD($A45, I$1)=0, "X", "O") )
  )
)</f>
        <v>O</v>
      </c>
      <c r="J45" s="45" t="str">
        <f ca="1">IF(
  $A45=J$1,
  IF( ROW(J45)=2, "+", IF(COUNTIF($B45:I45,"X")=0, "+", "-") ),
  IF(
    $A45&lt;J$1,
    "O",
    IF( OFFSET(J$1, COLUMN(J45)-1, 0)="-", "O", IF(MOD($A45, J$1)=0, "X", "O") )
  )
)</f>
        <v>O</v>
      </c>
      <c r="K45" s="44" t="str">
        <f ca="1">IF(
  $A45=K$1,
  IF( ROW(K45)=2, "+", IF(COUNTIF($B45:J45,"X")=0, "+", "-") ),
  IF(
    $A45&lt;K$1,
    "O",
    IF( OFFSET(K$1, COLUMN(K45)-1, 0)="-", "O", IF(MOD($A45, K$1)=0, "X", "O") )
  )
)</f>
        <v>O</v>
      </c>
      <c r="L45" s="45" t="str">
        <f ca="1">IF(
  $A45=L$1,
  IF( ROW(L45)=2, "+", IF(COUNTIF($B45:K45,"X")=0, "+", "-") ),
  IF(
    $A45&lt;L$1,
    "O",
    IF( OFFSET(L$1, COLUMN(L45)-1, 0)="-", "O", IF(MOD($A45, L$1)=0, "X", "O") )
  )
)</f>
        <v>O</v>
      </c>
      <c r="M45" s="44" t="str">
        <f ca="1">IF(
  $A45=M$1,
  IF( ROW(M45)=2, "+", IF(COUNTIF($B45:L45,"X")=0, "+", "-") ),
  IF(
    $A45&lt;M$1,
    "O",
    IF( OFFSET(M$1, COLUMN(M45)-1, 0)="-", "O", IF(MOD($A45, M$1)=0, "X", "O") )
  )
)</f>
        <v>O</v>
      </c>
      <c r="N45" s="45" t="str">
        <f ca="1">IF(
  $A45=N$1,
  IF( ROW(N45)=2, "+", IF(COUNTIF($B45:M45,"X")=0, "+", "-") ),
  IF(
    $A45&lt;N$1,
    "O",
    IF( OFFSET(N$1, COLUMN(N45)-1, 0)="-", "O", IF(MOD($A45, N$1)=0, "X", "O") )
  )
)</f>
        <v>O</v>
      </c>
      <c r="O45" s="45" t="str">
        <f ca="1">IF(
  $A45=O$1,
  IF( ROW(O45)=2, "+", IF(COUNTIF($B45:N45,"X")=0, "+", "-") ),
  IF(
    $A45&lt;O$1,
    "O",
    IF( OFFSET(O$1, COLUMN(O45)-1, 0)="-", "O", IF(MOD($A45, O$1)=0, "X", "O") )
  )
)</f>
        <v>O</v>
      </c>
      <c r="P45" s="45" t="str">
        <f ca="1">IF(
  $A45=P$1,
  IF( ROW(P45)=2, "+", IF(COUNTIF($B45:O45,"X")=0, "+", "-") ),
  IF(
    $A45&lt;P$1,
    "O",
    IF( OFFSET(P$1, COLUMN(P45)-1, 0)="-", "O", IF(MOD($A45, P$1)=0, "X", "O") )
  )
)</f>
        <v>O</v>
      </c>
      <c r="Q45" s="44" t="str">
        <f ca="1">IF(
  $A45=Q$1,
  IF( ROW(Q45)=2, "+", IF(COUNTIF($B45:P45,"X")=0, "+", "-") ),
  IF(
    $A45&lt;Q$1,
    "O",
    IF( OFFSET(Q$1, COLUMN(Q45)-1, 0)="-", "O", IF(MOD($A45, Q$1)=0, "X", "O") )
  )
)</f>
        <v>O</v>
      </c>
      <c r="R45" s="45" t="str">
        <f ca="1">IF(
  $A45=R$1,
  IF( ROW(R45)=2, "+", IF(COUNTIF($B45:Q45,"X")=0, "+", "-") ),
  IF(
    $A45&lt;R$1,
    "O",
    IF( OFFSET(R$1, COLUMN(R45)-1, 0)="-", "O", IF(MOD($A45, R$1)=0, "X", "O") )
  )
)</f>
        <v>O</v>
      </c>
      <c r="S45" s="44" t="str">
        <f ca="1">IF(
  $A45=S$1,
  IF( ROW(S45)=2, "+", IF(COUNTIF($B45:R45,"X")=0, "+", "-") ),
  IF(
    $A45&lt;S$1,
    "O",
    IF( OFFSET(S$1, COLUMN(S45)-1, 0)="-", "O", IF(MOD($A45, S$1)=0, "X", "O") )
  )
)</f>
        <v>O</v>
      </c>
      <c r="T45" s="45" t="str">
        <f ca="1">IF(
  $A45=T$1,
  IF( ROW(T45)=2, "+", IF(COUNTIF($B45:S45,"X")=0, "+", "-") ),
  IF(
    $A45&lt;T$1,
    "O",
    IF( OFFSET(T$1, COLUMN(T45)-1, 0)="-", "O", IF(MOD($A45, T$1)=0, "X", "O") )
  )
)</f>
        <v>O</v>
      </c>
      <c r="U45" s="45" t="str">
        <f ca="1">IF(
  $A45=U$1,
  IF( ROW(U45)=2, "+", IF(COUNTIF($B45:T45,"X")=0, "+", "-") ),
  IF(
    $A45&lt;U$1,
    "O",
    IF( OFFSET(U$1, COLUMN(U45)-1, 0)="-", "O", IF(MOD($A45, U$1)=0, "X", "O") )
  )
)</f>
        <v>O</v>
      </c>
      <c r="V45" s="45" t="str">
        <f ca="1">IF(
  $A45=V$1,
  IF( ROW(V45)=2, "+", IF(COUNTIF($B45:U45,"X")=0, "+", "-") ),
  IF(
    $A45&lt;V$1,
    "O",
    IF( OFFSET(V$1, COLUMN(V45)-1, 0)="-", "O", IF(MOD($A45, V$1)=0, "X", "O") )
  )
)</f>
        <v>O</v>
      </c>
      <c r="W45" s="44" t="str">
        <f ca="1">IF(
  $A45=W$1,
  IF( ROW(W45)=2, "+", IF(COUNTIF($B45:V45,"X")=0, "+", "-") ),
  IF(
    $A45&lt;W$1,
    "O",
    IF( OFFSET(W$1, COLUMN(W45)-1, 0)="-", "O", IF(MOD($A45, W$1)=0, "X", "O") )
  )
)</f>
        <v>O</v>
      </c>
      <c r="X45" s="45" t="str">
        <f ca="1">IF(
  $A45=X$1,
  IF( ROW(X45)=2, "+", IF(COUNTIF($B45:W45,"X")=0, "+", "-") ),
  IF(
    $A45&lt;X$1,
    "O",
    IF( OFFSET(X$1, COLUMN(X45)-1, 0)="-", "O", IF(MOD($A45, X$1)=0, "X", "O") )
  )
)</f>
        <v>O</v>
      </c>
      <c r="Y45" s="45" t="str">
        <f ca="1">IF(
  $A45=Y$1,
  IF( ROW(Y45)=2, "+", IF(COUNTIF($B45:X45,"X")=0, "+", "-") ),
  IF(
    $A45&lt;Y$1,
    "O",
    IF( OFFSET(Y$1, COLUMN(Y45)-1, 0)="-", "O", IF(MOD($A45, Y$1)=0, "X", "O") )
  )
)</f>
        <v>O</v>
      </c>
      <c r="Z45" s="45" t="str">
        <f ca="1">IF(
  $A45=Z$1,
  IF( ROW(Z45)=2, "+", IF(COUNTIF($B45:Y45,"X")=0, "+", "-") ),
  IF(
    $A45&lt;Z$1,
    "O",
    IF( OFFSET(Z$1, COLUMN(Z45)-1, 0)="-", "O", IF(MOD($A45, Z$1)=0, "X", "O") )
  )
)</f>
        <v>O</v>
      </c>
      <c r="AA45" s="45" t="str">
        <f ca="1">IF(
  $A45=AA$1,
  IF( ROW(AA45)=2, "+", IF(COUNTIF($B45:Z45,"X")=0, "+", "-") ),
  IF(
    $A45&lt;AA$1,
    "O",
    IF( OFFSET(AA$1, COLUMN(AA45)-1, 0)="-", "O", IF(MOD($A45, AA$1)=0, "X", "O") )
  )
)</f>
        <v>O</v>
      </c>
      <c r="AB45" s="45" t="str">
        <f ca="1">IF(
  $A45=AB$1,
  IF( ROW(AB45)=2, "+", IF(COUNTIF($B45:AA45,"X")=0, "+", "-") ),
  IF(
    $A45&lt;AB$1,
    "O",
    IF( OFFSET(AB$1, COLUMN(AB45)-1, 0)="-", "O", IF(MOD($A45, AB$1)=0, "X", "O") )
  )
)</f>
        <v>O</v>
      </c>
      <c r="AC45" s="44" t="str">
        <f ca="1">IF(
  $A45=AC$1,
  IF( ROW(AC45)=2, "+", IF(COUNTIF($B45:AB45,"X")=0, "+", "-") ),
  IF(
    $A45&lt;AC$1,
    "O",
    IF( OFFSET(AC$1, COLUMN(AC45)-1, 0)="-", "O", IF(MOD($A45, AC$1)=0, "X", "O") )
  )
)</f>
        <v>O</v>
      </c>
      <c r="AD45" s="45" t="str">
        <f ca="1">IF(
  $A45=AD$1,
  IF( ROW(AD45)=2, "+", IF(COUNTIF($B45:AC45,"X")=0, "+", "-") ),
  IF(
    $A45&lt;AD$1,
    "O",
    IF( OFFSET(AD$1, COLUMN(AD45)-1, 0)="-", "O", IF(MOD($A45, AD$1)=0, "X", "O") )
  )
)</f>
        <v>O</v>
      </c>
      <c r="AE45" s="44" t="str">
        <f ca="1">IF(
  $A45=AE$1,
  IF( ROW(AE45)=2, "+", IF(COUNTIF($B45:AD45,"X")=0, "+", "-") ),
  IF(
    $A45&lt;AE$1,
    "O",
    IF( OFFSET(AE$1, COLUMN(AE45)-1, 0)="-", "O", IF(MOD($A45, AE$1)=0, "X", "O") )
  )
)</f>
        <v>O</v>
      </c>
      <c r="AF45" s="45" t="str">
        <f ca="1">IF(
  $A45=AF$1,
  IF( ROW(AF45)=2, "+", IF(COUNTIF($B45:AE45,"X")=0, "+", "-") ),
  IF(
    $A45&lt;AF$1,
    "O",
    IF( OFFSET(AF$1, COLUMN(AF45)-1, 0)="-", "O", IF(MOD($A45, AF$1)=0, "X", "O") )
  )
)</f>
        <v>O</v>
      </c>
      <c r="AG45" s="45" t="str">
        <f ca="1">IF(
  $A45=AG$1,
  IF( ROW(AG45)=2, "+", IF(COUNTIF($B45:AF45,"X")=0, "+", "-") ),
  IF(
    $A45&lt;AG$1,
    "O",
    IF( OFFSET(AG$1, COLUMN(AG45)-1, 0)="-", "O", IF(MOD($A45, AG$1)=0, "X", "O") )
  )
)</f>
        <v>O</v>
      </c>
      <c r="AH45" s="45" t="str">
        <f ca="1">IF(
  $A45=AH$1,
  IF( ROW(AH45)=2, "+", IF(COUNTIF($B45:AG45,"X")=0, "+", "-") ),
  IF(
    $A45&lt;AH$1,
    "O",
    IF( OFFSET(AH$1, COLUMN(AH45)-1, 0)="-", "O", IF(MOD($A45, AH$1)=0, "X", "O") )
  )
)</f>
        <v>O</v>
      </c>
      <c r="AI45" s="45" t="str">
        <f ca="1">IF(
  $A45=AI$1,
  IF( ROW(AI45)=2, "+", IF(COUNTIF($B45:AH45,"X")=0, "+", "-") ),
  IF(
    $A45&lt;AI$1,
    "O",
    IF( OFFSET(AI$1, COLUMN(AI45)-1, 0)="-", "O", IF(MOD($A45, AI$1)=0, "X", "O") )
  )
)</f>
        <v>O</v>
      </c>
      <c r="AJ45" s="45" t="str">
        <f ca="1">IF(
  $A45=AJ$1,
  IF( ROW(AJ45)=2, "+", IF(COUNTIF($B45:AI45,"X")=0, "+", "-") ),
  IF(
    $A45&lt;AJ$1,
    "O",
    IF( OFFSET(AJ$1, COLUMN(AJ45)-1, 0)="-", "O", IF(MOD($A45, AJ$1)=0, "X", "O") )
  )
)</f>
        <v>O</v>
      </c>
      <c r="AK45" s="44" t="str">
        <f ca="1">IF(
  $A45=AK$1,
  IF( ROW(AK45)=2, "+", IF(COUNTIF($B45:AJ45,"X")=0, "+", "-") ),
  IF(
    $A45&lt;AK$1,
    "O",
    IF( OFFSET(AK$1, COLUMN(AK45)-1, 0)="-", "O", IF(MOD($A45, AK$1)=0, "X", "O") )
  )
)</f>
        <v>O</v>
      </c>
      <c r="AL45" s="45" t="str">
        <f ca="1">IF(
  $A45=AL$1,
  IF( ROW(AL45)=2, "+", IF(COUNTIF($B45:AK45,"X")=0, "+", "-") ),
  IF(
    $A45&lt;AL$1,
    "O",
    IF( OFFSET(AL$1, COLUMN(AL45)-1, 0)="-", "O", IF(MOD($A45, AL$1)=0, "X", "O") )
  )
)</f>
        <v>O</v>
      </c>
      <c r="AM45" s="45" t="str">
        <f ca="1">IF(
  $A45=AM$1,
  IF( ROW(AM45)=2, "+", IF(COUNTIF($B45:AL45,"X")=0, "+", "-") ),
  IF(
    $A45&lt;AM$1,
    "O",
    IF( OFFSET(AM$1, COLUMN(AM45)-1, 0)="-", "O", IF(MOD($A45, AM$1)=0, "X", "O") )
  )
)</f>
        <v>O</v>
      </c>
      <c r="AN45" s="45" t="str">
        <f ca="1">IF(
  $A45=AN$1,
  IF( ROW(AN45)=2, "+", IF(COUNTIF($B45:AM45,"X")=0, "+", "-") ),
  IF(
    $A45&lt;AN$1,
    "O",
    IF( OFFSET(AN$1, COLUMN(AN45)-1, 0)="-", "O", IF(MOD($A45, AN$1)=0, "X", "O") )
  )
)</f>
        <v>O</v>
      </c>
      <c r="AO45" s="44" t="str">
        <f ca="1">IF(
  $A45=AO$1,
  IF( ROW(AO45)=2, "+", IF(COUNTIF($B45:AN45,"X")=0, "+", "-") ),
  IF(
    $A45&lt;AO$1,
    "O",
    IF( OFFSET(AO$1, COLUMN(AO45)-1, 0)="-", "O", IF(MOD($A45, AO$1)=0, "X", "O") )
  )
)</f>
        <v>O</v>
      </c>
      <c r="AP45" s="45" t="str">
        <f ca="1">IF(
  $A45=AP$1,
  IF( ROW(AP45)=2, "+", IF(COUNTIF($B45:AO45,"X")=0, "+", "-") ),
  IF(
    $A45&lt;AP$1,
    "O",
    IF( OFFSET(AP$1, COLUMN(AP45)-1, 0)="-", "O", IF(MOD($A45, AP$1)=0, "X", "O") )
  )
)</f>
        <v>O</v>
      </c>
      <c r="AQ45" s="44" t="str">
        <f ca="1">IF(
  $A45=AQ$1,
  IF( ROW(AQ45)=2, "+", IF(COUNTIF($B45:AP45,"X")=0, "+", "-") ),
  IF(
    $A45&lt;AQ$1,
    "O",
    IF( OFFSET(AQ$1, COLUMN(AQ45)-1, 0)="-", "O", IF(MOD($A45, AQ$1)=0, "X", "O") )
  )
)</f>
        <v>O</v>
      </c>
      <c r="AR45" s="45" t="str">
        <f ca="1">IF(
  $A45=AR$1,
  IF( ROW(AR45)=2, "+", IF(COUNTIF($B45:AQ45,"X")=0, "+", "-") ),
  IF(
    $A45&lt;AR$1,
    "O",
    IF( OFFSET(AR$1, COLUMN(AR45)-1, 0)="-", "O", IF(MOD($A45, AR$1)=0, "X", "O") )
  )
)</f>
        <v>O</v>
      </c>
      <c r="AS45" s="45" t="str">
        <f ca="1">IF(
  $A45=AS$1,
  IF( ROW(AS45)=2, "+", IF(COUNTIF($B45:AR45,"X")=0, "+", "-") ),
  IF(
    $A45&lt;AS$1,
    "O",
    IF( OFFSET(AS$1, COLUMN(AS45)-1, 0)="-", "O", IF(MOD($A45, AS$1)=0, "X", "O") )
  )
)</f>
        <v>-</v>
      </c>
      <c r="AT45" s="45" t="str">
        <f ca="1">IF(
  $A45=AT$1,
  IF( ROW(AT45)=2, "+", IF(COUNTIF($B45:AS45,"X")=0, "+", "-") ),
  IF(
    $A45&lt;AT$1,
    "O",
    IF( OFFSET(AT$1, COLUMN(AT45)-1, 0)="-", "O", IF(MOD($A45, AT$1)=0, "X", "O") )
  )
)</f>
        <v>O</v>
      </c>
      <c r="AU45" s="45" t="str">
        <f ca="1">IF(
  $A45=AU$1,
  IF( ROW(AU45)=2, "+", IF(COUNTIF($B45:AT45,"X")=0, "+", "-") ),
  IF(
    $A45&lt;AU$1,
    "O",
    IF( OFFSET(AU$1, COLUMN(AU45)-1, 0)="-", "O", IF(MOD($A45, AU$1)=0, "X", "O") )
  )
)</f>
        <v>O</v>
      </c>
      <c r="AV45" s="45" t="str">
        <f ca="1">IF(
  $A45=AV$1,
  IF( ROW(AV45)=2, "+", IF(COUNTIF($B45:AU45,"X")=0, "+", "-") ),
  IF(
    $A45&lt;AV$1,
    "O",
    IF( OFFSET(AV$1, COLUMN(AV45)-1, 0)="-", "O", IF(MOD($A45, AV$1)=0, "X", "O") )
  )
)</f>
        <v>O</v>
      </c>
      <c r="AW45" s="45" t="str">
        <f ca="1">IF(
  $A45=AW$1,
  IF( ROW(AW45)=2, "+", IF(COUNTIF($B45:AV45,"X")=0, "+", "-") ),
  IF(
    $A45&lt;AW$1,
    "O",
    IF( OFFSET(AW$1, COLUMN(AW45)-1, 0)="-", "O", IF(MOD($A45, AW$1)=0, "X", "O") )
  )
)</f>
        <v>O</v>
      </c>
      <c r="AX45" s="45" t="str">
        <f ca="1">IF(
  $A45=AX$1,
  IF( ROW(AX45)=2, "+", IF(COUNTIF($B45:AW45,"X")=0, "+", "-") ),
  IF(
    $A45&lt;AX$1,
    "O",
    IF( OFFSET(AX$1, COLUMN(AX45)-1, 0)="-", "O", IF(MOD($A45, AX$1)=0, "X", "O") )
  )
)</f>
        <v>O</v>
      </c>
      <c r="AY45" s="45" t="str">
        <f ca="1">IF(
  $A45=AY$1,
  IF( ROW(AY45)=2, "+", IF(COUNTIF($B45:AX45,"X")=0, "+", "-") ),
  IF(
    $A45&lt;AY$1,
    "O",
    IF( OFFSET(AY$1, COLUMN(AY45)-1, 0)="-", "O", IF(MOD($A45, AY$1)=0, "X", "O") )
  )
)</f>
        <v>O</v>
      </c>
      <c r="AZ45" s="45" t="str">
        <f ca="1">IF(
  $A45=AZ$1,
  IF( ROW(AZ45)=2, "+", IF(COUNTIF($B45:AY45,"X")=0, "+", "-") ),
  IF(
    $A45&lt;AZ$1,
    "O",
    IF( OFFSET(AZ$1, COLUMN(AZ45)-1, 0)="-", "O", IF(MOD($A45, AZ$1)=0, "X", "O") )
  )
)</f>
        <v>O</v>
      </c>
      <c r="BA45" s="45" t="str">
        <f ca="1">IF(
  $A45=BA$1,
  IF( ROW(BA45)=2, "+", IF(COUNTIF($B45:AZ45,"X")=0, "+", "-") ),
  IF(
    $A45&lt;BA$1,
    "O",
    IF( OFFSET(BA$1, COLUMN(BA45)-1, 0)="-", "O", IF(MOD($A45, BA$1)=0, "X", "O") )
  )
)</f>
        <v>O</v>
      </c>
      <c r="BB45" s="45" t="str">
        <f ca="1">IF(
  $A45=BB$1,
  IF( ROW(BB45)=2, "+", IF(COUNTIF($B45:BA45,"X")=0, "+", "-") ),
  IF(
    $A45&lt;BB$1,
    "O",
    IF( OFFSET(BB$1, COLUMN(BB45)-1, 0)="-", "O", IF(MOD($A45, BB$1)=0, "X", "O") )
  )
)</f>
        <v>O</v>
      </c>
      <c r="BC45" s="45" t="str">
        <f ca="1">IF(
  $A45=BC$1,
  IF( ROW(BC45)=2, "+", IF(COUNTIF($B45:BB45,"X")=0, "+", "-") ),
  IF(
    $A45&lt;BC$1,
    "O",
    IF( OFFSET(BC$1, COLUMN(BC45)-1, 0)="-", "O", IF(MOD($A45, BC$1)=0, "X", "O") )
  )
)</f>
        <v>O</v>
      </c>
      <c r="BD45" s="45" t="str">
        <f ca="1">IF(
  $A45=BD$1,
  IF( ROW(BD45)=2, "+", IF(COUNTIF($B45:BC45,"X")=0, "+", "-") ),
  IF(
    $A45&lt;BD$1,
    "O",
    IF( OFFSET(BD$1, COLUMN(BD45)-1, 0)="-", "O", IF(MOD($A45, BD$1)=0, "X", "O") )
  )
)</f>
        <v>O</v>
      </c>
      <c r="BE45" s="45" t="str">
        <f ca="1">IF(
  $A45=BE$1,
  IF( ROW(BE45)=2, "+", IF(COUNTIF($B45:BD45,"X")=0, "+", "-") ),
  IF(
    $A45&lt;BE$1,
    "O",
    IF( OFFSET(BE$1, COLUMN(BE45)-1, 0)="-", "O", IF(MOD($A45, BE$1)=0, "X", "O") )
  )
)</f>
        <v>O</v>
      </c>
      <c r="BF45" s="45" t="str">
        <f ca="1">IF(
  $A45=BF$1,
  IF( ROW(BF45)=2, "+", IF(COUNTIF($B45:BE45,"X")=0, "+", "-") ),
  IF(
    $A45&lt;BF$1,
    "O",
    IF( OFFSET(BF$1, COLUMN(BF45)-1, 0)="-", "O", IF(MOD($A45, BF$1)=0, "X", "O") )
  )
)</f>
        <v>O</v>
      </c>
      <c r="BG45" s="45" t="str">
        <f ca="1">IF(
  $A45=BG$1,
  IF( ROW(BG45)=2, "+", IF(COUNTIF($B45:BF45,"X")=0, "+", "-") ),
  IF(
    $A45&lt;BG$1,
    "O",
    IF( OFFSET(BG$1, COLUMN(BG45)-1, 0)="-", "O", IF(MOD($A45, BG$1)=0, "X", "O") )
  )
)</f>
        <v>O</v>
      </c>
      <c r="BH45" s="45" t="str">
        <f ca="1">IF(
  $A45=BH$1,
  IF( ROW(BH45)=2, "+", IF(COUNTIF($B45:BG45,"X")=0, "+", "-") ),
  IF(
    $A45&lt;BH$1,
    "O",
    IF( OFFSET(BH$1, COLUMN(BH45)-1, 0)="-", "O", IF(MOD($A45, BH$1)=0, "X", "O") )
  )
)</f>
        <v>O</v>
      </c>
    </row>
    <row r="46" spans="1:60" s="46" customFormat="1" x14ac:dyDescent="0.25">
      <c r="A46">
        <v>46</v>
      </c>
      <c r="B46" s="44" t="str">
        <f ca="1">IF(
  $A46=B$1,
  IF( ROW(B46)=2, "+", IF(COUNTIF(A46:$B46,"X")=0, "+", "-") ),
  IF(
    $A46&lt;B$1,
    "O",
    IF( OFFSET(B$1, COLUMN(B46)-1, 0)="-", "O", IF(MOD($A46, B$1)=0, "X", "O") )
  )
)</f>
        <v>X</v>
      </c>
      <c r="C46" s="44" t="str">
        <f ca="1">IF(
  $A46=C$1,
  IF( ROW(C46)=2, "+", IF(COUNTIF(B46:$B46,"X")=0, "+", "-") ),
  IF(
    $A46&lt;C$1,
    "O",
    IF( OFFSET(C$1, COLUMN(C46)-1, 0)="-", "O", IF(MOD($A46, C$1)=0, "X", "O") )
  )
)</f>
        <v>O</v>
      </c>
      <c r="D46" s="45" t="str">
        <f ca="1">IF(
  $A46=D$1,
  IF( ROW(D46)=2, "+", IF(COUNTIF($B46:C46,"X")=0, "+", "-") ),
  IF(
    $A46&lt;D$1,
    "O",
    IF( OFFSET(D$1, COLUMN(D46)-1, 0)="-", "O", IF(MOD($A46, D$1)=0, "X", "O") )
  )
)</f>
        <v>O</v>
      </c>
      <c r="E46" s="44" t="str">
        <f ca="1">IF(
  $A46=E$1,
  IF( ROW(E46)=2, "+", IF(COUNTIF($B46:D46,"X")=0, "+", "-") ),
  IF(
    $A46&lt;E$1,
    "O",
    IF( OFFSET(E$1, COLUMN(E46)-1, 0)="-", "O", IF(MOD($A46, E$1)=0, "X", "O") )
  )
)</f>
        <v>O</v>
      </c>
      <c r="F46" s="45" t="str">
        <f ca="1">IF(
  $A46=F$1,
  IF( ROW(F46)=2, "+", IF(COUNTIF($B46:E46,"X")=0, "+", "-") ),
  IF(
    $A46&lt;F$1,
    "O",
    IF( OFFSET(F$1, COLUMN(F46)-1, 0)="-", "O", IF(MOD($A46, F$1)=0, "X", "O") )
  )
)</f>
        <v>O</v>
      </c>
      <c r="G46" s="44" t="str">
        <f ca="1">IF(
  $A46=G$1,
  IF( ROW(G46)=2, "+", IF(COUNTIF($B46:F46,"X")=0, "+", "-") ),
  IF(
    $A46&lt;G$1,
    "O",
    IF( OFFSET(G$1, COLUMN(G46)-1, 0)="-", "O", IF(MOD($A46, G$1)=0, "X", "O") )
  )
)</f>
        <v>O</v>
      </c>
      <c r="H46" s="45" t="str">
        <f ca="1">IF(
  $A46=H$1,
  IF( ROW(H46)=2, "+", IF(COUNTIF($B46:G46,"X")=0, "+", "-") ),
  IF(
    $A46&lt;H$1,
    "O",
    IF( OFFSET(H$1, COLUMN(H46)-1, 0)="-", "O", IF(MOD($A46, H$1)=0, "X", "O") )
  )
)</f>
        <v>O</v>
      </c>
      <c r="I46" s="45" t="str">
        <f ca="1">IF(
  $A46=I$1,
  IF( ROW(I46)=2, "+", IF(COUNTIF($B46:H46,"X")=0, "+", "-") ),
  IF(
    $A46&lt;I$1,
    "O",
    IF( OFFSET(I$1, COLUMN(I46)-1, 0)="-", "O", IF(MOD($A46, I$1)=0, "X", "O") )
  )
)</f>
        <v>O</v>
      </c>
      <c r="J46" s="45" t="str">
        <f ca="1">IF(
  $A46=J$1,
  IF( ROW(J46)=2, "+", IF(COUNTIF($B46:I46,"X")=0, "+", "-") ),
  IF(
    $A46&lt;J$1,
    "O",
    IF( OFFSET(J$1, COLUMN(J46)-1, 0)="-", "O", IF(MOD($A46, J$1)=0, "X", "O") )
  )
)</f>
        <v>O</v>
      </c>
      <c r="K46" s="44" t="str">
        <f ca="1">IF(
  $A46=K$1,
  IF( ROW(K46)=2, "+", IF(COUNTIF($B46:J46,"X")=0, "+", "-") ),
  IF(
    $A46&lt;K$1,
    "O",
    IF( OFFSET(K$1, COLUMN(K46)-1, 0)="-", "O", IF(MOD($A46, K$1)=0, "X", "O") )
  )
)</f>
        <v>O</v>
      </c>
      <c r="L46" s="45" t="str">
        <f ca="1">IF(
  $A46=L$1,
  IF( ROW(L46)=2, "+", IF(COUNTIF($B46:K46,"X")=0, "+", "-") ),
  IF(
    $A46&lt;L$1,
    "O",
    IF( OFFSET(L$1, COLUMN(L46)-1, 0)="-", "O", IF(MOD($A46, L$1)=0, "X", "O") )
  )
)</f>
        <v>O</v>
      </c>
      <c r="M46" s="44" t="str">
        <f ca="1">IF(
  $A46=M$1,
  IF( ROW(M46)=2, "+", IF(COUNTIF($B46:L46,"X")=0, "+", "-") ),
  IF(
    $A46&lt;M$1,
    "O",
    IF( OFFSET(M$1, COLUMN(M46)-1, 0)="-", "O", IF(MOD($A46, M$1)=0, "X", "O") )
  )
)</f>
        <v>O</v>
      </c>
      <c r="N46" s="45" t="str">
        <f ca="1">IF(
  $A46=N$1,
  IF( ROW(N46)=2, "+", IF(COUNTIF($B46:M46,"X")=0, "+", "-") ),
  IF(
    $A46&lt;N$1,
    "O",
    IF( OFFSET(N$1, COLUMN(N46)-1, 0)="-", "O", IF(MOD($A46, N$1)=0, "X", "O") )
  )
)</f>
        <v>O</v>
      </c>
      <c r="O46" s="45" t="str">
        <f ca="1">IF(
  $A46=O$1,
  IF( ROW(O46)=2, "+", IF(COUNTIF($B46:N46,"X")=0, "+", "-") ),
  IF(
    $A46&lt;O$1,
    "O",
    IF( OFFSET(O$1, COLUMN(O46)-1, 0)="-", "O", IF(MOD($A46, O$1)=0, "X", "O") )
  )
)</f>
        <v>O</v>
      </c>
      <c r="P46" s="45" t="str">
        <f ca="1">IF(
  $A46=P$1,
  IF( ROW(P46)=2, "+", IF(COUNTIF($B46:O46,"X")=0, "+", "-") ),
  IF(
    $A46&lt;P$1,
    "O",
    IF( OFFSET(P$1, COLUMN(P46)-1, 0)="-", "O", IF(MOD($A46, P$1)=0, "X", "O") )
  )
)</f>
        <v>O</v>
      </c>
      <c r="Q46" s="44" t="str">
        <f ca="1">IF(
  $A46=Q$1,
  IF( ROW(Q46)=2, "+", IF(COUNTIF($B46:P46,"X")=0, "+", "-") ),
  IF(
    $A46&lt;Q$1,
    "O",
    IF( OFFSET(Q$1, COLUMN(Q46)-1, 0)="-", "O", IF(MOD($A46, Q$1)=0, "X", "O") )
  )
)</f>
        <v>O</v>
      </c>
      <c r="R46" s="45" t="str">
        <f ca="1">IF(
  $A46=R$1,
  IF( ROW(R46)=2, "+", IF(COUNTIF($B46:Q46,"X")=0, "+", "-") ),
  IF(
    $A46&lt;R$1,
    "O",
    IF( OFFSET(R$1, COLUMN(R46)-1, 0)="-", "O", IF(MOD($A46, R$1)=0, "X", "O") )
  )
)</f>
        <v>O</v>
      </c>
      <c r="S46" s="44" t="str">
        <f ca="1">IF(
  $A46=S$1,
  IF( ROW(S46)=2, "+", IF(COUNTIF($B46:R46,"X")=0, "+", "-") ),
  IF(
    $A46&lt;S$1,
    "O",
    IF( OFFSET(S$1, COLUMN(S46)-1, 0)="-", "O", IF(MOD($A46, S$1)=0, "X", "O") )
  )
)</f>
        <v>O</v>
      </c>
      <c r="T46" s="45" t="str">
        <f ca="1">IF(
  $A46=T$1,
  IF( ROW(T46)=2, "+", IF(COUNTIF($B46:S46,"X")=0, "+", "-") ),
  IF(
    $A46&lt;T$1,
    "O",
    IF( OFFSET(T$1, COLUMN(T46)-1, 0)="-", "O", IF(MOD($A46, T$1)=0, "X", "O") )
  )
)</f>
        <v>O</v>
      </c>
      <c r="U46" s="45" t="str">
        <f ca="1">IF(
  $A46=U$1,
  IF( ROW(U46)=2, "+", IF(COUNTIF($B46:T46,"X")=0, "+", "-") ),
  IF(
    $A46&lt;U$1,
    "O",
    IF( OFFSET(U$1, COLUMN(U46)-1, 0)="-", "O", IF(MOD($A46, U$1)=0, "X", "O") )
  )
)</f>
        <v>O</v>
      </c>
      <c r="V46" s="45" t="str">
        <f ca="1">IF(
  $A46=V$1,
  IF( ROW(V46)=2, "+", IF(COUNTIF($B46:U46,"X")=0, "+", "-") ),
  IF(
    $A46&lt;V$1,
    "O",
    IF( OFFSET(V$1, COLUMN(V46)-1, 0)="-", "O", IF(MOD($A46, V$1)=0, "X", "O") )
  )
)</f>
        <v>O</v>
      </c>
      <c r="W46" s="44" t="str">
        <f ca="1">IF(
  $A46=W$1,
  IF( ROW(W46)=2, "+", IF(COUNTIF($B46:V46,"X")=0, "+", "-") ),
  IF(
    $A46&lt;W$1,
    "O",
    IF( OFFSET(W$1, COLUMN(W46)-1, 0)="-", "O", IF(MOD($A46, W$1)=0, "X", "O") )
  )
)</f>
        <v>X</v>
      </c>
      <c r="X46" s="45" t="str">
        <f ca="1">IF(
  $A46=X$1,
  IF( ROW(X46)=2, "+", IF(COUNTIF($B46:W46,"X")=0, "+", "-") ),
  IF(
    $A46&lt;X$1,
    "O",
    IF( OFFSET(X$1, COLUMN(X46)-1, 0)="-", "O", IF(MOD($A46, X$1)=0, "X", "O") )
  )
)</f>
        <v>O</v>
      </c>
      <c r="Y46" s="45" t="str">
        <f ca="1">IF(
  $A46=Y$1,
  IF( ROW(Y46)=2, "+", IF(COUNTIF($B46:X46,"X")=0, "+", "-") ),
  IF(
    $A46&lt;Y$1,
    "O",
    IF( OFFSET(Y$1, COLUMN(Y46)-1, 0)="-", "O", IF(MOD($A46, Y$1)=0, "X", "O") )
  )
)</f>
        <v>O</v>
      </c>
      <c r="Z46" s="45" t="str">
        <f ca="1">IF(
  $A46=Z$1,
  IF( ROW(Z46)=2, "+", IF(COUNTIF($B46:Y46,"X")=0, "+", "-") ),
  IF(
    $A46&lt;Z$1,
    "O",
    IF( OFFSET(Z$1, COLUMN(Z46)-1, 0)="-", "O", IF(MOD($A46, Z$1)=0, "X", "O") )
  )
)</f>
        <v>O</v>
      </c>
      <c r="AA46" s="45" t="str">
        <f ca="1">IF(
  $A46=AA$1,
  IF( ROW(AA46)=2, "+", IF(COUNTIF($B46:Z46,"X")=0, "+", "-") ),
  IF(
    $A46&lt;AA$1,
    "O",
    IF( OFFSET(AA$1, COLUMN(AA46)-1, 0)="-", "O", IF(MOD($A46, AA$1)=0, "X", "O") )
  )
)</f>
        <v>O</v>
      </c>
      <c r="AB46" s="45" t="str">
        <f ca="1">IF(
  $A46=AB$1,
  IF( ROW(AB46)=2, "+", IF(COUNTIF($B46:AA46,"X")=0, "+", "-") ),
  IF(
    $A46&lt;AB$1,
    "O",
    IF( OFFSET(AB$1, COLUMN(AB46)-1, 0)="-", "O", IF(MOD($A46, AB$1)=0, "X", "O") )
  )
)</f>
        <v>O</v>
      </c>
      <c r="AC46" s="44" t="str">
        <f ca="1">IF(
  $A46=AC$1,
  IF( ROW(AC46)=2, "+", IF(COUNTIF($B46:AB46,"X")=0, "+", "-") ),
  IF(
    $A46&lt;AC$1,
    "O",
    IF( OFFSET(AC$1, COLUMN(AC46)-1, 0)="-", "O", IF(MOD($A46, AC$1)=0, "X", "O") )
  )
)</f>
        <v>O</v>
      </c>
      <c r="AD46" s="45" t="str">
        <f ca="1">IF(
  $A46=AD$1,
  IF( ROW(AD46)=2, "+", IF(COUNTIF($B46:AC46,"X")=0, "+", "-") ),
  IF(
    $A46&lt;AD$1,
    "O",
    IF( OFFSET(AD$1, COLUMN(AD46)-1, 0)="-", "O", IF(MOD($A46, AD$1)=0, "X", "O") )
  )
)</f>
        <v>O</v>
      </c>
      <c r="AE46" s="44" t="str">
        <f ca="1">IF(
  $A46=AE$1,
  IF( ROW(AE46)=2, "+", IF(COUNTIF($B46:AD46,"X")=0, "+", "-") ),
  IF(
    $A46&lt;AE$1,
    "O",
    IF( OFFSET(AE$1, COLUMN(AE46)-1, 0)="-", "O", IF(MOD($A46, AE$1)=0, "X", "O") )
  )
)</f>
        <v>O</v>
      </c>
      <c r="AF46" s="45" t="str">
        <f ca="1">IF(
  $A46=AF$1,
  IF( ROW(AF46)=2, "+", IF(COUNTIF($B46:AE46,"X")=0, "+", "-") ),
  IF(
    $A46&lt;AF$1,
    "O",
    IF( OFFSET(AF$1, COLUMN(AF46)-1, 0)="-", "O", IF(MOD($A46, AF$1)=0, "X", "O") )
  )
)</f>
        <v>O</v>
      </c>
      <c r="AG46" s="45" t="str">
        <f ca="1">IF(
  $A46=AG$1,
  IF( ROW(AG46)=2, "+", IF(COUNTIF($B46:AF46,"X")=0, "+", "-") ),
  IF(
    $A46&lt;AG$1,
    "O",
    IF( OFFSET(AG$1, COLUMN(AG46)-1, 0)="-", "O", IF(MOD($A46, AG$1)=0, "X", "O") )
  )
)</f>
        <v>O</v>
      </c>
      <c r="AH46" s="45" t="str">
        <f ca="1">IF(
  $A46=AH$1,
  IF( ROW(AH46)=2, "+", IF(COUNTIF($B46:AG46,"X")=0, "+", "-") ),
  IF(
    $A46&lt;AH$1,
    "O",
    IF( OFFSET(AH$1, COLUMN(AH46)-1, 0)="-", "O", IF(MOD($A46, AH$1)=0, "X", "O") )
  )
)</f>
        <v>O</v>
      </c>
      <c r="AI46" s="45" t="str">
        <f ca="1">IF(
  $A46=AI$1,
  IF( ROW(AI46)=2, "+", IF(COUNTIF($B46:AH46,"X")=0, "+", "-") ),
  IF(
    $A46&lt;AI$1,
    "O",
    IF( OFFSET(AI$1, COLUMN(AI46)-1, 0)="-", "O", IF(MOD($A46, AI$1)=0, "X", "O") )
  )
)</f>
        <v>O</v>
      </c>
      <c r="AJ46" s="45" t="str">
        <f ca="1">IF(
  $A46=AJ$1,
  IF( ROW(AJ46)=2, "+", IF(COUNTIF($B46:AI46,"X")=0, "+", "-") ),
  IF(
    $A46&lt;AJ$1,
    "O",
    IF( OFFSET(AJ$1, COLUMN(AJ46)-1, 0)="-", "O", IF(MOD($A46, AJ$1)=0, "X", "O") )
  )
)</f>
        <v>O</v>
      </c>
      <c r="AK46" s="44" t="str">
        <f ca="1">IF(
  $A46=AK$1,
  IF( ROW(AK46)=2, "+", IF(COUNTIF($B46:AJ46,"X")=0, "+", "-") ),
  IF(
    $A46&lt;AK$1,
    "O",
    IF( OFFSET(AK$1, COLUMN(AK46)-1, 0)="-", "O", IF(MOD($A46, AK$1)=0, "X", "O") )
  )
)</f>
        <v>O</v>
      </c>
      <c r="AL46" s="45" t="str">
        <f ca="1">IF(
  $A46=AL$1,
  IF( ROW(AL46)=2, "+", IF(COUNTIF($B46:AK46,"X")=0, "+", "-") ),
  IF(
    $A46&lt;AL$1,
    "O",
    IF( OFFSET(AL$1, COLUMN(AL46)-1, 0)="-", "O", IF(MOD($A46, AL$1)=0, "X", "O") )
  )
)</f>
        <v>O</v>
      </c>
      <c r="AM46" s="45" t="str">
        <f ca="1">IF(
  $A46=AM$1,
  IF( ROW(AM46)=2, "+", IF(COUNTIF($B46:AL46,"X")=0, "+", "-") ),
  IF(
    $A46&lt;AM$1,
    "O",
    IF( OFFSET(AM$1, COLUMN(AM46)-1, 0)="-", "O", IF(MOD($A46, AM$1)=0, "X", "O") )
  )
)</f>
        <v>O</v>
      </c>
      <c r="AN46" s="45" t="str">
        <f ca="1">IF(
  $A46=AN$1,
  IF( ROW(AN46)=2, "+", IF(COUNTIF($B46:AM46,"X")=0, "+", "-") ),
  IF(
    $A46&lt;AN$1,
    "O",
    IF( OFFSET(AN$1, COLUMN(AN46)-1, 0)="-", "O", IF(MOD($A46, AN$1)=0, "X", "O") )
  )
)</f>
        <v>O</v>
      </c>
      <c r="AO46" s="44" t="str">
        <f ca="1">IF(
  $A46=AO$1,
  IF( ROW(AO46)=2, "+", IF(COUNTIF($B46:AN46,"X")=0, "+", "-") ),
  IF(
    $A46&lt;AO$1,
    "O",
    IF( OFFSET(AO$1, COLUMN(AO46)-1, 0)="-", "O", IF(MOD($A46, AO$1)=0, "X", "O") )
  )
)</f>
        <v>O</v>
      </c>
      <c r="AP46" s="45" t="str">
        <f ca="1">IF(
  $A46=AP$1,
  IF( ROW(AP46)=2, "+", IF(COUNTIF($B46:AO46,"X")=0, "+", "-") ),
  IF(
    $A46&lt;AP$1,
    "O",
    IF( OFFSET(AP$1, COLUMN(AP46)-1, 0)="-", "O", IF(MOD($A46, AP$1)=0, "X", "O") )
  )
)</f>
        <v>O</v>
      </c>
      <c r="AQ46" s="44" t="str">
        <f ca="1">IF(
  $A46=AQ$1,
  IF( ROW(AQ46)=2, "+", IF(COUNTIF($B46:AP46,"X")=0, "+", "-") ),
  IF(
    $A46&lt;AQ$1,
    "O",
    IF( OFFSET(AQ$1, COLUMN(AQ46)-1, 0)="-", "O", IF(MOD($A46, AQ$1)=0, "X", "O") )
  )
)</f>
        <v>O</v>
      </c>
      <c r="AR46" s="45" t="str">
        <f ca="1">IF(
  $A46=AR$1,
  IF( ROW(AR46)=2, "+", IF(COUNTIF($B46:AQ46,"X")=0, "+", "-") ),
  IF(
    $A46&lt;AR$1,
    "O",
    IF( OFFSET(AR$1, COLUMN(AR46)-1, 0)="-", "O", IF(MOD($A46, AR$1)=0, "X", "O") )
  )
)</f>
        <v>O</v>
      </c>
      <c r="AS46" s="45" t="str">
        <f ca="1">IF(
  $A46=AS$1,
  IF( ROW(AS46)=2, "+", IF(COUNTIF($B46:AR46,"X")=0, "+", "-") ),
  IF(
    $A46&lt;AS$1,
    "O",
    IF( OFFSET(AS$1, COLUMN(AS46)-1, 0)="-", "O", IF(MOD($A46, AS$1)=0, "X", "O") )
  )
)</f>
        <v>O</v>
      </c>
      <c r="AT46" s="45" t="str">
        <f ca="1">IF(
  $A46=AT$1,
  IF( ROW(AT46)=2, "+", IF(COUNTIF($B46:AS46,"X")=0, "+", "-") ),
  IF(
    $A46&lt;AT$1,
    "O",
    IF( OFFSET(AT$1, COLUMN(AT46)-1, 0)="-", "O", IF(MOD($A46, AT$1)=0, "X", "O") )
  )
)</f>
        <v>-</v>
      </c>
      <c r="AU46" s="45" t="str">
        <f ca="1">IF(
  $A46=AU$1,
  IF( ROW(AU46)=2, "+", IF(COUNTIF($B46:AT46,"X")=0, "+", "-") ),
  IF(
    $A46&lt;AU$1,
    "O",
    IF( OFFSET(AU$1, COLUMN(AU46)-1, 0)="-", "O", IF(MOD($A46, AU$1)=0, "X", "O") )
  )
)</f>
        <v>O</v>
      </c>
      <c r="AV46" s="45" t="str">
        <f ca="1">IF(
  $A46=AV$1,
  IF( ROW(AV46)=2, "+", IF(COUNTIF($B46:AU46,"X")=0, "+", "-") ),
  IF(
    $A46&lt;AV$1,
    "O",
    IF( OFFSET(AV$1, COLUMN(AV46)-1, 0)="-", "O", IF(MOD($A46, AV$1)=0, "X", "O") )
  )
)</f>
        <v>O</v>
      </c>
      <c r="AW46" s="45" t="str">
        <f ca="1">IF(
  $A46=AW$1,
  IF( ROW(AW46)=2, "+", IF(COUNTIF($B46:AV46,"X")=0, "+", "-") ),
  IF(
    $A46&lt;AW$1,
    "O",
    IF( OFFSET(AW$1, COLUMN(AW46)-1, 0)="-", "O", IF(MOD($A46, AW$1)=0, "X", "O") )
  )
)</f>
        <v>O</v>
      </c>
      <c r="AX46" s="45" t="str">
        <f ca="1">IF(
  $A46=AX$1,
  IF( ROW(AX46)=2, "+", IF(COUNTIF($B46:AW46,"X")=0, "+", "-") ),
  IF(
    $A46&lt;AX$1,
    "O",
    IF( OFFSET(AX$1, COLUMN(AX46)-1, 0)="-", "O", IF(MOD($A46, AX$1)=0, "X", "O") )
  )
)</f>
        <v>O</v>
      </c>
      <c r="AY46" s="45" t="str">
        <f ca="1">IF(
  $A46=AY$1,
  IF( ROW(AY46)=2, "+", IF(COUNTIF($B46:AX46,"X")=0, "+", "-") ),
  IF(
    $A46&lt;AY$1,
    "O",
    IF( OFFSET(AY$1, COLUMN(AY46)-1, 0)="-", "O", IF(MOD($A46, AY$1)=0, "X", "O") )
  )
)</f>
        <v>O</v>
      </c>
      <c r="AZ46" s="45" t="str">
        <f ca="1">IF(
  $A46=AZ$1,
  IF( ROW(AZ46)=2, "+", IF(COUNTIF($B46:AY46,"X")=0, "+", "-") ),
  IF(
    $A46&lt;AZ$1,
    "O",
    IF( OFFSET(AZ$1, COLUMN(AZ46)-1, 0)="-", "O", IF(MOD($A46, AZ$1)=0, "X", "O") )
  )
)</f>
        <v>O</v>
      </c>
      <c r="BA46" s="45" t="str">
        <f ca="1">IF(
  $A46=BA$1,
  IF( ROW(BA46)=2, "+", IF(COUNTIF($B46:AZ46,"X")=0, "+", "-") ),
  IF(
    $A46&lt;BA$1,
    "O",
    IF( OFFSET(BA$1, COLUMN(BA46)-1, 0)="-", "O", IF(MOD($A46, BA$1)=0, "X", "O") )
  )
)</f>
        <v>O</v>
      </c>
      <c r="BB46" s="45" t="str">
        <f ca="1">IF(
  $A46=BB$1,
  IF( ROW(BB46)=2, "+", IF(COUNTIF($B46:BA46,"X")=0, "+", "-") ),
  IF(
    $A46&lt;BB$1,
    "O",
    IF( OFFSET(BB$1, COLUMN(BB46)-1, 0)="-", "O", IF(MOD($A46, BB$1)=0, "X", "O") )
  )
)</f>
        <v>O</v>
      </c>
      <c r="BC46" s="45" t="str">
        <f ca="1">IF(
  $A46=BC$1,
  IF( ROW(BC46)=2, "+", IF(COUNTIF($B46:BB46,"X")=0, "+", "-") ),
  IF(
    $A46&lt;BC$1,
    "O",
    IF( OFFSET(BC$1, COLUMN(BC46)-1, 0)="-", "O", IF(MOD($A46, BC$1)=0, "X", "O") )
  )
)</f>
        <v>O</v>
      </c>
      <c r="BD46" s="45" t="str">
        <f ca="1">IF(
  $A46=BD$1,
  IF( ROW(BD46)=2, "+", IF(COUNTIF($B46:BC46,"X")=0, "+", "-") ),
  IF(
    $A46&lt;BD$1,
    "O",
    IF( OFFSET(BD$1, COLUMN(BD46)-1, 0)="-", "O", IF(MOD($A46, BD$1)=0, "X", "O") )
  )
)</f>
        <v>O</v>
      </c>
      <c r="BE46" s="45" t="str">
        <f ca="1">IF(
  $A46=BE$1,
  IF( ROW(BE46)=2, "+", IF(COUNTIF($B46:BD46,"X")=0, "+", "-") ),
  IF(
    $A46&lt;BE$1,
    "O",
    IF( OFFSET(BE$1, COLUMN(BE46)-1, 0)="-", "O", IF(MOD($A46, BE$1)=0, "X", "O") )
  )
)</f>
        <v>O</v>
      </c>
      <c r="BF46" s="45" t="str">
        <f ca="1">IF(
  $A46=BF$1,
  IF( ROW(BF46)=2, "+", IF(COUNTIF($B46:BE46,"X")=0, "+", "-") ),
  IF(
    $A46&lt;BF$1,
    "O",
    IF( OFFSET(BF$1, COLUMN(BF46)-1, 0)="-", "O", IF(MOD($A46, BF$1)=0, "X", "O") )
  )
)</f>
        <v>O</v>
      </c>
      <c r="BG46" s="45" t="str">
        <f ca="1">IF(
  $A46=BG$1,
  IF( ROW(BG46)=2, "+", IF(COUNTIF($B46:BF46,"X")=0, "+", "-") ),
  IF(
    $A46&lt;BG$1,
    "O",
    IF( OFFSET(BG$1, COLUMN(BG46)-1, 0)="-", "O", IF(MOD($A46, BG$1)=0, "X", "O") )
  )
)</f>
        <v>O</v>
      </c>
      <c r="BH46" s="45" t="str">
        <f ca="1">IF(
  $A46=BH$1,
  IF( ROW(BH46)=2, "+", IF(COUNTIF($B46:BG46,"X")=0, "+", "-") ),
  IF(
    $A46&lt;BH$1,
    "O",
    IF( OFFSET(BH$1, COLUMN(BH46)-1, 0)="-", "O", IF(MOD($A46, BH$1)=0, "X", "O") )
  )
)</f>
        <v>O</v>
      </c>
    </row>
    <row r="47" spans="1:60" s="46" customFormat="1" x14ac:dyDescent="0.25">
      <c r="A47">
        <v>47</v>
      </c>
      <c r="B47" s="44" t="str">
        <f ca="1">IF(
  $A47=B$1,
  IF( ROW(B47)=2, "+", IF(COUNTIF(A47:$B47,"X")=0, "+", "-") ),
  IF(
    $A47&lt;B$1,
    "O",
    IF( OFFSET(B$1, COLUMN(B47)-1, 0)="-", "O", IF(MOD($A47, B$1)=0, "X", "O") )
  )
)</f>
        <v>O</v>
      </c>
      <c r="C47" s="44" t="str">
        <f ca="1">IF(
  $A47=C$1,
  IF( ROW(C47)=2, "+", IF(COUNTIF(B47:$B47,"X")=0, "+", "-") ),
  IF(
    $A47&lt;C$1,
    "O",
    IF( OFFSET(C$1, COLUMN(C47)-1, 0)="-", "O", IF(MOD($A47, C$1)=0, "X", "O") )
  )
)</f>
        <v>O</v>
      </c>
      <c r="D47" s="45" t="str">
        <f ca="1">IF(
  $A47=D$1,
  IF( ROW(D47)=2, "+", IF(COUNTIF($B47:C47,"X")=0, "+", "-") ),
  IF(
    $A47&lt;D$1,
    "O",
    IF( OFFSET(D$1, COLUMN(D47)-1, 0)="-", "O", IF(MOD($A47, D$1)=0, "X", "O") )
  )
)</f>
        <v>O</v>
      </c>
      <c r="E47" s="44" t="str">
        <f ca="1">IF(
  $A47=E$1,
  IF( ROW(E47)=2, "+", IF(COUNTIF($B47:D47,"X")=0, "+", "-") ),
  IF(
    $A47&lt;E$1,
    "O",
    IF( OFFSET(E$1, COLUMN(E47)-1, 0)="-", "O", IF(MOD($A47, E$1)=0, "X", "O") )
  )
)</f>
        <v>O</v>
      </c>
      <c r="F47" s="45" t="str">
        <f ca="1">IF(
  $A47=F$1,
  IF( ROW(F47)=2, "+", IF(COUNTIF($B47:E47,"X")=0, "+", "-") ),
  IF(
    $A47&lt;F$1,
    "O",
    IF( OFFSET(F$1, COLUMN(F47)-1, 0)="-", "O", IF(MOD($A47, F$1)=0, "X", "O") )
  )
)</f>
        <v>O</v>
      </c>
      <c r="G47" s="44" t="str">
        <f ca="1">IF(
  $A47=G$1,
  IF( ROW(G47)=2, "+", IF(COUNTIF($B47:F47,"X")=0, "+", "-") ),
  IF(
    $A47&lt;G$1,
    "O",
    IF( OFFSET(G$1, COLUMN(G47)-1, 0)="-", "O", IF(MOD($A47, G$1)=0, "X", "O") )
  )
)</f>
        <v>O</v>
      </c>
      <c r="H47" s="45" t="str">
        <f ca="1">IF(
  $A47=H$1,
  IF( ROW(H47)=2, "+", IF(COUNTIF($B47:G47,"X")=0, "+", "-") ),
  IF(
    $A47&lt;H$1,
    "O",
    IF( OFFSET(H$1, COLUMN(H47)-1, 0)="-", "O", IF(MOD($A47, H$1)=0, "X", "O") )
  )
)</f>
        <v>O</v>
      </c>
      <c r="I47" s="45" t="str">
        <f ca="1">IF(
  $A47=I$1,
  IF( ROW(I47)=2, "+", IF(COUNTIF($B47:H47,"X")=0, "+", "-") ),
  IF(
    $A47&lt;I$1,
    "O",
    IF( OFFSET(I$1, COLUMN(I47)-1, 0)="-", "O", IF(MOD($A47, I$1)=0, "X", "O") )
  )
)</f>
        <v>O</v>
      </c>
      <c r="J47" s="45" t="str">
        <f ca="1">IF(
  $A47=J$1,
  IF( ROW(J47)=2, "+", IF(COUNTIF($B47:I47,"X")=0, "+", "-") ),
  IF(
    $A47&lt;J$1,
    "O",
    IF( OFFSET(J$1, COLUMN(J47)-1, 0)="-", "O", IF(MOD($A47, J$1)=0, "X", "O") )
  )
)</f>
        <v>O</v>
      </c>
      <c r="K47" s="44" t="str">
        <f ca="1">IF(
  $A47=K$1,
  IF( ROW(K47)=2, "+", IF(COUNTIF($B47:J47,"X")=0, "+", "-") ),
  IF(
    $A47&lt;K$1,
    "O",
    IF( OFFSET(K$1, COLUMN(K47)-1, 0)="-", "O", IF(MOD($A47, K$1)=0, "X", "O") )
  )
)</f>
        <v>O</v>
      </c>
      <c r="L47" s="45" t="str">
        <f ca="1">IF(
  $A47=L$1,
  IF( ROW(L47)=2, "+", IF(COUNTIF($B47:K47,"X")=0, "+", "-") ),
  IF(
    $A47&lt;L$1,
    "O",
    IF( OFFSET(L$1, COLUMN(L47)-1, 0)="-", "O", IF(MOD($A47, L$1)=0, "X", "O") )
  )
)</f>
        <v>O</v>
      </c>
      <c r="M47" s="44" t="str">
        <f ca="1">IF(
  $A47=M$1,
  IF( ROW(M47)=2, "+", IF(COUNTIF($B47:L47,"X")=0, "+", "-") ),
  IF(
    $A47&lt;M$1,
    "O",
    IF( OFFSET(M$1, COLUMN(M47)-1, 0)="-", "O", IF(MOD($A47, M$1)=0, "X", "O") )
  )
)</f>
        <v>O</v>
      </c>
      <c r="N47" s="45" t="str">
        <f ca="1">IF(
  $A47=N$1,
  IF( ROW(N47)=2, "+", IF(COUNTIF($B47:M47,"X")=0, "+", "-") ),
  IF(
    $A47&lt;N$1,
    "O",
    IF( OFFSET(N$1, COLUMN(N47)-1, 0)="-", "O", IF(MOD($A47, N$1)=0, "X", "O") )
  )
)</f>
        <v>O</v>
      </c>
      <c r="O47" s="45" t="str">
        <f ca="1">IF(
  $A47=O$1,
  IF( ROW(O47)=2, "+", IF(COUNTIF($B47:N47,"X")=0, "+", "-") ),
  IF(
    $A47&lt;O$1,
    "O",
    IF( OFFSET(O$1, COLUMN(O47)-1, 0)="-", "O", IF(MOD($A47, O$1)=0, "X", "O") )
  )
)</f>
        <v>O</v>
      </c>
      <c r="P47" s="45" t="str">
        <f ca="1">IF(
  $A47=P$1,
  IF( ROW(P47)=2, "+", IF(COUNTIF($B47:O47,"X")=0, "+", "-") ),
  IF(
    $A47&lt;P$1,
    "O",
    IF( OFFSET(P$1, COLUMN(P47)-1, 0)="-", "O", IF(MOD($A47, P$1)=0, "X", "O") )
  )
)</f>
        <v>O</v>
      </c>
      <c r="Q47" s="44" t="str">
        <f ca="1">IF(
  $A47=Q$1,
  IF( ROW(Q47)=2, "+", IF(COUNTIF($B47:P47,"X")=0, "+", "-") ),
  IF(
    $A47&lt;Q$1,
    "O",
    IF( OFFSET(Q$1, COLUMN(Q47)-1, 0)="-", "O", IF(MOD($A47, Q$1)=0, "X", "O") )
  )
)</f>
        <v>O</v>
      </c>
      <c r="R47" s="45" t="str">
        <f ca="1">IF(
  $A47=R$1,
  IF( ROW(R47)=2, "+", IF(COUNTIF($B47:Q47,"X")=0, "+", "-") ),
  IF(
    $A47&lt;R$1,
    "O",
    IF( OFFSET(R$1, COLUMN(R47)-1, 0)="-", "O", IF(MOD($A47, R$1)=0, "X", "O") )
  )
)</f>
        <v>O</v>
      </c>
      <c r="S47" s="44" t="str">
        <f ca="1">IF(
  $A47=S$1,
  IF( ROW(S47)=2, "+", IF(COUNTIF($B47:R47,"X")=0, "+", "-") ),
  IF(
    $A47&lt;S$1,
    "O",
    IF( OFFSET(S$1, COLUMN(S47)-1, 0)="-", "O", IF(MOD($A47, S$1)=0, "X", "O") )
  )
)</f>
        <v>O</v>
      </c>
      <c r="T47" s="45" t="str">
        <f ca="1">IF(
  $A47=T$1,
  IF( ROW(T47)=2, "+", IF(COUNTIF($B47:S47,"X")=0, "+", "-") ),
  IF(
    $A47&lt;T$1,
    "O",
    IF( OFFSET(T$1, COLUMN(T47)-1, 0)="-", "O", IF(MOD($A47, T$1)=0, "X", "O") )
  )
)</f>
        <v>O</v>
      </c>
      <c r="U47" s="45" t="str">
        <f ca="1">IF(
  $A47=U$1,
  IF( ROW(U47)=2, "+", IF(COUNTIF($B47:T47,"X")=0, "+", "-") ),
  IF(
    $A47&lt;U$1,
    "O",
    IF( OFFSET(U$1, COLUMN(U47)-1, 0)="-", "O", IF(MOD($A47, U$1)=0, "X", "O") )
  )
)</f>
        <v>O</v>
      </c>
      <c r="V47" s="45" t="str">
        <f ca="1">IF(
  $A47=V$1,
  IF( ROW(V47)=2, "+", IF(COUNTIF($B47:U47,"X")=0, "+", "-") ),
  IF(
    $A47&lt;V$1,
    "O",
    IF( OFFSET(V$1, COLUMN(V47)-1, 0)="-", "O", IF(MOD($A47, V$1)=0, "X", "O") )
  )
)</f>
        <v>O</v>
      </c>
      <c r="W47" s="44" t="str">
        <f ca="1">IF(
  $A47=W$1,
  IF( ROW(W47)=2, "+", IF(COUNTIF($B47:V47,"X")=0, "+", "-") ),
  IF(
    $A47&lt;W$1,
    "O",
    IF( OFFSET(W$1, COLUMN(W47)-1, 0)="-", "O", IF(MOD($A47, W$1)=0, "X", "O") )
  )
)</f>
        <v>O</v>
      </c>
      <c r="X47" s="45" t="str">
        <f ca="1">IF(
  $A47=X$1,
  IF( ROW(X47)=2, "+", IF(COUNTIF($B47:W47,"X")=0, "+", "-") ),
  IF(
    $A47&lt;X$1,
    "O",
    IF( OFFSET(X$1, COLUMN(X47)-1, 0)="-", "O", IF(MOD($A47, X$1)=0, "X", "O") )
  )
)</f>
        <v>O</v>
      </c>
      <c r="Y47" s="45" t="str">
        <f ca="1">IF(
  $A47=Y$1,
  IF( ROW(Y47)=2, "+", IF(COUNTIF($B47:X47,"X")=0, "+", "-") ),
  IF(
    $A47&lt;Y$1,
    "O",
    IF( OFFSET(Y$1, COLUMN(Y47)-1, 0)="-", "O", IF(MOD($A47, Y$1)=0, "X", "O") )
  )
)</f>
        <v>O</v>
      </c>
      <c r="Z47" s="45" t="str">
        <f ca="1">IF(
  $A47=Z$1,
  IF( ROW(Z47)=2, "+", IF(COUNTIF($B47:Y47,"X")=0, "+", "-") ),
  IF(
    $A47&lt;Z$1,
    "O",
    IF( OFFSET(Z$1, COLUMN(Z47)-1, 0)="-", "O", IF(MOD($A47, Z$1)=0, "X", "O") )
  )
)</f>
        <v>O</v>
      </c>
      <c r="AA47" s="45" t="str">
        <f ca="1">IF(
  $A47=AA$1,
  IF( ROW(AA47)=2, "+", IF(COUNTIF($B47:Z47,"X")=0, "+", "-") ),
  IF(
    $A47&lt;AA$1,
    "O",
    IF( OFFSET(AA$1, COLUMN(AA47)-1, 0)="-", "O", IF(MOD($A47, AA$1)=0, "X", "O") )
  )
)</f>
        <v>O</v>
      </c>
      <c r="AB47" s="45" t="str">
        <f ca="1">IF(
  $A47=AB$1,
  IF( ROW(AB47)=2, "+", IF(COUNTIF($B47:AA47,"X")=0, "+", "-") ),
  IF(
    $A47&lt;AB$1,
    "O",
    IF( OFFSET(AB$1, COLUMN(AB47)-1, 0)="-", "O", IF(MOD($A47, AB$1)=0, "X", "O") )
  )
)</f>
        <v>O</v>
      </c>
      <c r="AC47" s="44" t="str">
        <f ca="1">IF(
  $A47=AC$1,
  IF( ROW(AC47)=2, "+", IF(COUNTIF($B47:AB47,"X")=0, "+", "-") ),
  IF(
    $A47&lt;AC$1,
    "O",
    IF( OFFSET(AC$1, COLUMN(AC47)-1, 0)="-", "O", IF(MOD($A47, AC$1)=0, "X", "O") )
  )
)</f>
        <v>O</v>
      </c>
      <c r="AD47" s="45" t="str">
        <f ca="1">IF(
  $A47=AD$1,
  IF( ROW(AD47)=2, "+", IF(COUNTIF($B47:AC47,"X")=0, "+", "-") ),
  IF(
    $A47&lt;AD$1,
    "O",
    IF( OFFSET(AD$1, COLUMN(AD47)-1, 0)="-", "O", IF(MOD($A47, AD$1)=0, "X", "O") )
  )
)</f>
        <v>O</v>
      </c>
      <c r="AE47" s="44" t="str">
        <f ca="1">IF(
  $A47=AE$1,
  IF( ROW(AE47)=2, "+", IF(COUNTIF($B47:AD47,"X")=0, "+", "-") ),
  IF(
    $A47&lt;AE$1,
    "O",
    IF( OFFSET(AE$1, COLUMN(AE47)-1, 0)="-", "O", IF(MOD($A47, AE$1)=0, "X", "O") )
  )
)</f>
        <v>O</v>
      </c>
      <c r="AF47" s="45" t="str">
        <f ca="1">IF(
  $A47=AF$1,
  IF( ROW(AF47)=2, "+", IF(COUNTIF($B47:AE47,"X")=0, "+", "-") ),
  IF(
    $A47&lt;AF$1,
    "O",
    IF( OFFSET(AF$1, COLUMN(AF47)-1, 0)="-", "O", IF(MOD($A47, AF$1)=0, "X", "O") )
  )
)</f>
        <v>O</v>
      </c>
      <c r="AG47" s="45" t="str">
        <f ca="1">IF(
  $A47=AG$1,
  IF( ROW(AG47)=2, "+", IF(COUNTIF($B47:AF47,"X")=0, "+", "-") ),
  IF(
    $A47&lt;AG$1,
    "O",
    IF( OFFSET(AG$1, COLUMN(AG47)-1, 0)="-", "O", IF(MOD($A47, AG$1)=0, "X", "O") )
  )
)</f>
        <v>O</v>
      </c>
      <c r="AH47" s="45" t="str">
        <f ca="1">IF(
  $A47=AH$1,
  IF( ROW(AH47)=2, "+", IF(COUNTIF($B47:AG47,"X")=0, "+", "-") ),
  IF(
    $A47&lt;AH$1,
    "O",
    IF( OFFSET(AH$1, COLUMN(AH47)-1, 0)="-", "O", IF(MOD($A47, AH$1)=0, "X", "O") )
  )
)</f>
        <v>O</v>
      </c>
      <c r="AI47" s="45" t="str">
        <f ca="1">IF(
  $A47=AI$1,
  IF( ROW(AI47)=2, "+", IF(COUNTIF($B47:AH47,"X")=0, "+", "-") ),
  IF(
    $A47&lt;AI$1,
    "O",
    IF( OFFSET(AI$1, COLUMN(AI47)-1, 0)="-", "O", IF(MOD($A47, AI$1)=0, "X", "O") )
  )
)</f>
        <v>O</v>
      </c>
      <c r="AJ47" s="45" t="str">
        <f ca="1">IF(
  $A47=AJ$1,
  IF( ROW(AJ47)=2, "+", IF(COUNTIF($B47:AI47,"X")=0, "+", "-") ),
  IF(
    $A47&lt;AJ$1,
    "O",
    IF( OFFSET(AJ$1, COLUMN(AJ47)-1, 0)="-", "O", IF(MOD($A47, AJ$1)=0, "X", "O") )
  )
)</f>
        <v>O</v>
      </c>
      <c r="AK47" s="44" t="str">
        <f ca="1">IF(
  $A47=AK$1,
  IF( ROW(AK47)=2, "+", IF(COUNTIF($B47:AJ47,"X")=0, "+", "-") ),
  IF(
    $A47&lt;AK$1,
    "O",
    IF( OFFSET(AK$1, COLUMN(AK47)-1, 0)="-", "O", IF(MOD($A47, AK$1)=0, "X", "O") )
  )
)</f>
        <v>O</v>
      </c>
      <c r="AL47" s="45" t="str">
        <f ca="1">IF(
  $A47=AL$1,
  IF( ROW(AL47)=2, "+", IF(COUNTIF($B47:AK47,"X")=0, "+", "-") ),
  IF(
    $A47&lt;AL$1,
    "O",
    IF( OFFSET(AL$1, COLUMN(AL47)-1, 0)="-", "O", IF(MOD($A47, AL$1)=0, "X", "O") )
  )
)</f>
        <v>O</v>
      </c>
      <c r="AM47" s="45" t="str">
        <f ca="1">IF(
  $A47=AM$1,
  IF( ROW(AM47)=2, "+", IF(COUNTIF($B47:AL47,"X")=0, "+", "-") ),
  IF(
    $A47&lt;AM$1,
    "O",
    IF( OFFSET(AM$1, COLUMN(AM47)-1, 0)="-", "O", IF(MOD($A47, AM$1)=0, "X", "O") )
  )
)</f>
        <v>O</v>
      </c>
      <c r="AN47" s="45" t="str">
        <f ca="1">IF(
  $A47=AN$1,
  IF( ROW(AN47)=2, "+", IF(COUNTIF($B47:AM47,"X")=0, "+", "-") ),
  IF(
    $A47&lt;AN$1,
    "O",
    IF( OFFSET(AN$1, COLUMN(AN47)-1, 0)="-", "O", IF(MOD($A47, AN$1)=0, "X", "O") )
  )
)</f>
        <v>O</v>
      </c>
      <c r="AO47" s="44" t="str">
        <f ca="1">IF(
  $A47=AO$1,
  IF( ROW(AO47)=2, "+", IF(COUNTIF($B47:AN47,"X")=0, "+", "-") ),
  IF(
    $A47&lt;AO$1,
    "O",
    IF( OFFSET(AO$1, COLUMN(AO47)-1, 0)="-", "O", IF(MOD($A47, AO$1)=0, "X", "O") )
  )
)</f>
        <v>O</v>
      </c>
      <c r="AP47" s="45" t="str">
        <f ca="1">IF(
  $A47=AP$1,
  IF( ROW(AP47)=2, "+", IF(COUNTIF($B47:AO47,"X")=0, "+", "-") ),
  IF(
    $A47&lt;AP$1,
    "O",
    IF( OFFSET(AP$1, COLUMN(AP47)-1, 0)="-", "O", IF(MOD($A47, AP$1)=0, "X", "O") )
  )
)</f>
        <v>O</v>
      </c>
      <c r="AQ47" s="44" t="str">
        <f ca="1">IF(
  $A47=AQ$1,
  IF( ROW(AQ47)=2, "+", IF(COUNTIF($B47:AP47,"X")=0, "+", "-") ),
  IF(
    $A47&lt;AQ$1,
    "O",
    IF( OFFSET(AQ$1, COLUMN(AQ47)-1, 0)="-", "O", IF(MOD($A47, AQ$1)=0, "X", "O") )
  )
)</f>
        <v>O</v>
      </c>
      <c r="AR47" s="45" t="str">
        <f ca="1">IF(
  $A47=AR$1,
  IF( ROW(AR47)=2, "+", IF(COUNTIF($B47:AQ47,"X")=0, "+", "-") ),
  IF(
    $A47&lt;AR$1,
    "O",
    IF( OFFSET(AR$1, COLUMN(AR47)-1, 0)="-", "O", IF(MOD($A47, AR$1)=0, "X", "O") )
  )
)</f>
        <v>O</v>
      </c>
      <c r="AS47" s="45" t="str">
        <f ca="1">IF(
  $A47=AS$1,
  IF( ROW(AS47)=2, "+", IF(COUNTIF($B47:AR47,"X")=0, "+", "-") ),
  IF(
    $A47&lt;AS$1,
    "O",
    IF( OFFSET(AS$1, COLUMN(AS47)-1, 0)="-", "O", IF(MOD($A47, AS$1)=0, "X", "O") )
  )
)</f>
        <v>O</v>
      </c>
      <c r="AT47" s="45" t="str">
        <f ca="1">IF(
  $A47=AT$1,
  IF( ROW(AT47)=2, "+", IF(COUNTIF($B47:AS47,"X")=0, "+", "-") ),
  IF(
    $A47&lt;AT$1,
    "O",
    IF( OFFSET(AT$1, COLUMN(AT47)-1, 0)="-", "O", IF(MOD($A47, AT$1)=0, "X", "O") )
  )
)</f>
        <v>O</v>
      </c>
      <c r="AU47" s="44" t="str">
        <f ca="1">IF(
  $A47=AU$1,
  IF( ROW(AU47)=2, "+", IF(COUNTIF($B47:AT47,"X")=0, "+", "-") ),
  IF(
    $A47&lt;AU$1,
    "O",
    IF( OFFSET(AU$1, COLUMN(AU47)-1, 0)="-", "O", IF(MOD($A47, AU$1)=0, "X", "O") )
  )
)</f>
        <v>+</v>
      </c>
      <c r="AV47" s="45" t="str">
        <f ca="1">IF(
  $A47=AV$1,
  IF( ROW(AV47)=2, "+", IF(COUNTIF($B47:AU47,"X")=0, "+", "-") ),
  IF(
    $A47&lt;AV$1,
    "O",
    IF( OFFSET(AV$1, COLUMN(AV47)-1, 0)="-", "O", IF(MOD($A47, AV$1)=0, "X", "O") )
  )
)</f>
        <v>O</v>
      </c>
      <c r="AW47" s="45" t="str">
        <f ca="1">IF(
  $A47=AW$1,
  IF( ROW(AW47)=2, "+", IF(COUNTIF($B47:AV47,"X")=0, "+", "-") ),
  IF(
    $A47&lt;AW$1,
    "O",
    IF( OFFSET(AW$1, COLUMN(AW47)-1, 0)="-", "O", IF(MOD($A47, AW$1)=0, "X", "O") )
  )
)</f>
        <v>O</v>
      </c>
      <c r="AX47" s="45" t="str">
        <f ca="1">IF(
  $A47=AX$1,
  IF( ROW(AX47)=2, "+", IF(COUNTIF($B47:AW47,"X")=0, "+", "-") ),
  IF(
    $A47&lt;AX$1,
    "O",
    IF( OFFSET(AX$1, COLUMN(AX47)-1, 0)="-", "O", IF(MOD($A47, AX$1)=0, "X", "O") )
  )
)</f>
        <v>O</v>
      </c>
      <c r="AY47" s="45" t="str">
        <f ca="1">IF(
  $A47=AY$1,
  IF( ROW(AY47)=2, "+", IF(COUNTIF($B47:AX47,"X")=0, "+", "-") ),
  IF(
    $A47&lt;AY$1,
    "O",
    IF( OFFSET(AY$1, COLUMN(AY47)-1, 0)="-", "O", IF(MOD($A47, AY$1)=0, "X", "O") )
  )
)</f>
        <v>O</v>
      </c>
      <c r="AZ47" s="45" t="str">
        <f ca="1">IF(
  $A47=AZ$1,
  IF( ROW(AZ47)=2, "+", IF(COUNTIF($B47:AY47,"X")=0, "+", "-") ),
  IF(
    $A47&lt;AZ$1,
    "O",
    IF( OFFSET(AZ$1, COLUMN(AZ47)-1, 0)="-", "O", IF(MOD($A47, AZ$1)=0, "X", "O") )
  )
)</f>
        <v>O</v>
      </c>
      <c r="BA47" s="45" t="str">
        <f ca="1">IF(
  $A47=BA$1,
  IF( ROW(BA47)=2, "+", IF(COUNTIF($B47:AZ47,"X")=0, "+", "-") ),
  IF(
    $A47&lt;BA$1,
    "O",
    IF( OFFSET(BA$1, COLUMN(BA47)-1, 0)="-", "O", IF(MOD($A47, BA$1)=0, "X", "O") )
  )
)</f>
        <v>O</v>
      </c>
      <c r="BB47" s="45" t="str">
        <f ca="1">IF(
  $A47=BB$1,
  IF( ROW(BB47)=2, "+", IF(COUNTIF($B47:BA47,"X")=0, "+", "-") ),
  IF(
    $A47&lt;BB$1,
    "O",
    IF( OFFSET(BB$1, COLUMN(BB47)-1, 0)="-", "O", IF(MOD($A47, BB$1)=0, "X", "O") )
  )
)</f>
        <v>O</v>
      </c>
      <c r="BC47" s="45" t="str">
        <f ca="1">IF(
  $A47=BC$1,
  IF( ROW(BC47)=2, "+", IF(COUNTIF($B47:BB47,"X")=0, "+", "-") ),
  IF(
    $A47&lt;BC$1,
    "O",
    IF( OFFSET(BC$1, COLUMN(BC47)-1, 0)="-", "O", IF(MOD($A47, BC$1)=0, "X", "O") )
  )
)</f>
        <v>O</v>
      </c>
      <c r="BD47" s="45" t="str">
        <f ca="1">IF(
  $A47=BD$1,
  IF( ROW(BD47)=2, "+", IF(COUNTIF($B47:BC47,"X")=0, "+", "-") ),
  IF(
    $A47&lt;BD$1,
    "O",
    IF( OFFSET(BD$1, COLUMN(BD47)-1, 0)="-", "O", IF(MOD($A47, BD$1)=0, "X", "O") )
  )
)</f>
        <v>O</v>
      </c>
      <c r="BE47" s="45" t="str">
        <f ca="1">IF(
  $A47=BE$1,
  IF( ROW(BE47)=2, "+", IF(COUNTIF($B47:BD47,"X")=0, "+", "-") ),
  IF(
    $A47&lt;BE$1,
    "O",
    IF( OFFSET(BE$1, COLUMN(BE47)-1, 0)="-", "O", IF(MOD($A47, BE$1)=0, "X", "O") )
  )
)</f>
        <v>O</v>
      </c>
      <c r="BF47" s="45" t="str">
        <f ca="1">IF(
  $A47=BF$1,
  IF( ROW(BF47)=2, "+", IF(COUNTIF($B47:BE47,"X")=0, "+", "-") ),
  IF(
    $A47&lt;BF$1,
    "O",
    IF( OFFSET(BF$1, COLUMN(BF47)-1, 0)="-", "O", IF(MOD($A47, BF$1)=0, "X", "O") )
  )
)</f>
        <v>O</v>
      </c>
      <c r="BG47" s="45" t="str">
        <f ca="1">IF(
  $A47=BG$1,
  IF( ROW(BG47)=2, "+", IF(COUNTIF($B47:BF47,"X")=0, "+", "-") ),
  IF(
    $A47&lt;BG$1,
    "O",
    IF( OFFSET(BG$1, COLUMN(BG47)-1, 0)="-", "O", IF(MOD($A47, BG$1)=0, "X", "O") )
  )
)</f>
        <v>O</v>
      </c>
      <c r="BH47" s="45" t="str">
        <f ca="1">IF(
  $A47=BH$1,
  IF( ROW(BH47)=2, "+", IF(COUNTIF($B47:BG47,"X")=0, "+", "-") ),
  IF(
    $A47&lt;BH$1,
    "O",
    IF( OFFSET(BH$1, COLUMN(BH47)-1, 0)="-", "O", IF(MOD($A47, BH$1)=0, "X", "O") )
  )
)</f>
        <v>O</v>
      </c>
    </row>
    <row r="48" spans="1:60" s="46" customFormat="1" x14ac:dyDescent="0.25">
      <c r="A48">
        <v>48</v>
      </c>
      <c r="B48" s="44" t="str">
        <f ca="1">IF(
  $A48=B$1,
  IF( ROW(B48)=2, "+", IF(COUNTIF(A48:$B48,"X")=0, "+", "-") ),
  IF(
    $A48&lt;B$1,
    "O",
    IF( OFFSET(B$1, COLUMN(B48)-1, 0)="-", "O", IF(MOD($A48, B$1)=0, "X", "O") )
  )
)</f>
        <v>X</v>
      </c>
      <c r="C48" s="44" t="str">
        <f ca="1">IF(
  $A48=C$1,
  IF( ROW(C48)=2, "+", IF(COUNTIF(B48:$B48,"X")=0, "+", "-") ),
  IF(
    $A48&lt;C$1,
    "O",
    IF( OFFSET(C$1, COLUMN(C48)-1, 0)="-", "O", IF(MOD($A48, C$1)=0, "X", "O") )
  )
)</f>
        <v>X</v>
      </c>
      <c r="D48" s="45" t="str">
        <f ca="1">IF(
  $A48=D$1,
  IF( ROW(D48)=2, "+", IF(COUNTIF($B48:C48,"X")=0, "+", "-") ),
  IF(
    $A48&lt;D$1,
    "O",
    IF( OFFSET(D$1, COLUMN(D48)-1, 0)="-", "O", IF(MOD($A48, D$1)=0, "X", "O") )
  )
)</f>
        <v>O</v>
      </c>
      <c r="E48" s="44" t="str">
        <f ca="1">IF(
  $A48=E$1,
  IF( ROW(E48)=2, "+", IF(COUNTIF($B48:D48,"X")=0, "+", "-") ),
  IF(
    $A48&lt;E$1,
    "O",
    IF( OFFSET(E$1, COLUMN(E48)-1, 0)="-", "O", IF(MOD($A48, E$1)=0, "X", "O") )
  )
)</f>
        <v>O</v>
      </c>
      <c r="F48" s="45" t="str">
        <f ca="1">IF(
  $A48=F$1,
  IF( ROW(F48)=2, "+", IF(COUNTIF($B48:E48,"X")=0, "+", "-") ),
  IF(
    $A48&lt;F$1,
    "O",
    IF( OFFSET(F$1, COLUMN(F48)-1, 0)="-", "O", IF(MOD($A48, F$1)=0, "X", "O") )
  )
)</f>
        <v>O</v>
      </c>
      <c r="G48" s="44" t="str">
        <f ca="1">IF(
  $A48=G$1,
  IF( ROW(G48)=2, "+", IF(COUNTIF($B48:F48,"X")=0, "+", "-") ),
  IF(
    $A48&lt;G$1,
    "O",
    IF( OFFSET(G$1, COLUMN(G48)-1, 0)="-", "O", IF(MOD($A48, G$1)=0, "X", "O") )
  )
)</f>
        <v>O</v>
      </c>
      <c r="H48" s="45" t="str">
        <f ca="1">IF(
  $A48=H$1,
  IF( ROW(H48)=2, "+", IF(COUNTIF($B48:G48,"X")=0, "+", "-") ),
  IF(
    $A48&lt;H$1,
    "O",
    IF( OFFSET(H$1, COLUMN(H48)-1, 0)="-", "O", IF(MOD($A48, H$1)=0, "X", "O") )
  )
)</f>
        <v>O</v>
      </c>
      <c r="I48" s="45" t="str">
        <f ca="1">IF(
  $A48=I$1,
  IF( ROW(I48)=2, "+", IF(COUNTIF($B48:H48,"X")=0, "+", "-") ),
  IF(
    $A48&lt;I$1,
    "O",
    IF( OFFSET(I$1, COLUMN(I48)-1, 0)="-", "O", IF(MOD($A48, I$1)=0, "X", "O") )
  )
)</f>
        <v>O</v>
      </c>
      <c r="J48" s="45" t="str">
        <f ca="1">IF(
  $A48=J$1,
  IF( ROW(J48)=2, "+", IF(COUNTIF($B48:I48,"X")=0, "+", "-") ),
  IF(
    $A48&lt;J$1,
    "O",
    IF( OFFSET(J$1, COLUMN(J48)-1, 0)="-", "O", IF(MOD($A48, J$1)=0, "X", "O") )
  )
)</f>
        <v>O</v>
      </c>
      <c r="K48" s="44" t="str">
        <f ca="1">IF(
  $A48=K$1,
  IF( ROW(K48)=2, "+", IF(COUNTIF($B48:J48,"X")=0, "+", "-") ),
  IF(
    $A48&lt;K$1,
    "O",
    IF( OFFSET(K$1, COLUMN(K48)-1, 0)="-", "O", IF(MOD($A48, K$1)=0, "X", "O") )
  )
)</f>
        <v>O</v>
      </c>
      <c r="L48" s="45" t="str">
        <f ca="1">IF(
  $A48=L$1,
  IF( ROW(L48)=2, "+", IF(COUNTIF($B48:K48,"X")=0, "+", "-") ),
  IF(
    $A48&lt;L$1,
    "O",
    IF( OFFSET(L$1, COLUMN(L48)-1, 0)="-", "O", IF(MOD($A48, L$1)=0, "X", "O") )
  )
)</f>
        <v>O</v>
      </c>
      <c r="M48" s="44" t="str">
        <f ca="1">IF(
  $A48=M$1,
  IF( ROW(M48)=2, "+", IF(COUNTIF($B48:L48,"X")=0, "+", "-") ),
  IF(
    $A48&lt;M$1,
    "O",
    IF( OFFSET(M$1, COLUMN(M48)-1, 0)="-", "O", IF(MOD($A48, M$1)=0, "X", "O") )
  )
)</f>
        <v>O</v>
      </c>
      <c r="N48" s="45" t="str">
        <f ca="1">IF(
  $A48=N$1,
  IF( ROW(N48)=2, "+", IF(COUNTIF($B48:M48,"X")=0, "+", "-") ),
  IF(
    $A48&lt;N$1,
    "O",
    IF( OFFSET(N$1, COLUMN(N48)-1, 0)="-", "O", IF(MOD($A48, N$1)=0, "X", "O") )
  )
)</f>
        <v>O</v>
      </c>
      <c r="O48" s="45" t="str">
        <f ca="1">IF(
  $A48=O$1,
  IF( ROW(O48)=2, "+", IF(COUNTIF($B48:N48,"X")=0, "+", "-") ),
  IF(
    $A48&lt;O$1,
    "O",
    IF( OFFSET(O$1, COLUMN(O48)-1, 0)="-", "O", IF(MOD($A48, O$1)=0, "X", "O") )
  )
)</f>
        <v>O</v>
      </c>
      <c r="P48" s="45" t="str">
        <f ca="1">IF(
  $A48=P$1,
  IF( ROW(P48)=2, "+", IF(COUNTIF($B48:O48,"X")=0, "+", "-") ),
  IF(
    $A48&lt;P$1,
    "O",
    IF( OFFSET(P$1, COLUMN(P48)-1, 0)="-", "O", IF(MOD($A48, P$1)=0, "X", "O") )
  )
)</f>
        <v>O</v>
      </c>
      <c r="Q48" s="44" t="str">
        <f ca="1">IF(
  $A48=Q$1,
  IF( ROW(Q48)=2, "+", IF(COUNTIF($B48:P48,"X")=0, "+", "-") ),
  IF(
    $A48&lt;Q$1,
    "O",
    IF( OFFSET(Q$1, COLUMN(Q48)-1, 0)="-", "O", IF(MOD($A48, Q$1)=0, "X", "O") )
  )
)</f>
        <v>O</v>
      </c>
      <c r="R48" s="45" t="str">
        <f ca="1">IF(
  $A48=R$1,
  IF( ROW(R48)=2, "+", IF(COUNTIF($B48:Q48,"X")=0, "+", "-") ),
  IF(
    $A48&lt;R$1,
    "O",
    IF( OFFSET(R$1, COLUMN(R48)-1, 0)="-", "O", IF(MOD($A48, R$1)=0, "X", "O") )
  )
)</f>
        <v>O</v>
      </c>
      <c r="S48" s="44" t="str">
        <f ca="1">IF(
  $A48=S$1,
  IF( ROW(S48)=2, "+", IF(COUNTIF($B48:R48,"X")=0, "+", "-") ),
  IF(
    $A48&lt;S$1,
    "O",
    IF( OFFSET(S$1, COLUMN(S48)-1, 0)="-", "O", IF(MOD($A48, S$1)=0, "X", "O") )
  )
)</f>
        <v>O</v>
      </c>
      <c r="T48" s="45" t="str">
        <f ca="1">IF(
  $A48=T$1,
  IF( ROW(T48)=2, "+", IF(COUNTIF($B48:S48,"X")=0, "+", "-") ),
  IF(
    $A48&lt;T$1,
    "O",
    IF( OFFSET(T$1, COLUMN(T48)-1, 0)="-", "O", IF(MOD($A48, T$1)=0, "X", "O") )
  )
)</f>
        <v>O</v>
      </c>
      <c r="U48" s="45" t="str">
        <f ca="1">IF(
  $A48=U$1,
  IF( ROW(U48)=2, "+", IF(COUNTIF($B48:T48,"X")=0, "+", "-") ),
  IF(
    $A48&lt;U$1,
    "O",
    IF( OFFSET(U$1, COLUMN(U48)-1, 0)="-", "O", IF(MOD($A48, U$1)=0, "X", "O") )
  )
)</f>
        <v>O</v>
      </c>
      <c r="V48" s="45" t="str">
        <f ca="1">IF(
  $A48=V$1,
  IF( ROW(V48)=2, "+", IF(COUNTIF($B48:U48,"X")=0, "+", "-") ),
  IF(
    $A48&lt;V$1,
    "O",
    IF( OFFSET(V$1, COLUMN(V48)-1, 0)="-", "O", IF(MOD($A48, V$1)=0, "X", "O") )
  )
)</f>
        <v>O</v>
      </c>
      <c r="W48" s="44" t="str">
        <f ca="1">IF(
  $A48=W$1,
  IF( ROW(W48)=2, "+", IF(COUNTIF($B48:V48,"X")=0, "+", "-") ),
  IF(
    $A48&lt;W$1,
    "O",
    IF( OFFSET(W$1, COLUMN(W48)-1, 0)="-", "O", IF(MOD($A48, W$1)=0, "X", "O") )
  )
)</f>
        <v>O</v>
      </c>
      <c r="X48" s="45" t="str">
        <f ca="1">IF(
  $A48=X$1,
  IF( ROW(X48)=2, "+", IF(COUNTIF($B48:W48,"X")=0, "+", "-") ),
  IF(
    $A48&lt;X$1,
    "O",
    IF( OFFSET(X$1, COLUMN(X48)-1, 0)="-", "O", IF(MOD($A48, X$1)=0, "X", "O") )
  )
)</f>
        <v>O</v>
      </c>
      <c r="Y48" s="45" t="str">
        <f ca="1">IF(
  $A48=Y$1,
  IF( ROW(Y48)=2, "+", IF(COUNTIF($B48:X48,"X")=0, "+", "-") ),
  IF(
    $A48&lt;Y$1,
    "O",
    IF( OFFSET(Y$1, COLUMN(Y48)-1, 0)="-", "O", IF(MOD($A48, Y$1)=0, "X", "O") )
  )
)</f>
        <v>O</v>
      </c>
      <c r="Z48" s="45" t="str">
        <f ca="1">IF(
  $A48=Z$1,
  IF( ROW(Z48)=2, "+", IF(COUNTIF($B48:Y48,"X")=0, "+", "-") ),
  IF(
    $A48&lt;Z$1,
    "O",
    IF( OFFSET(Z$1, COLUMN(Z48)-1, 0)="-", "O", IF(MOD($A48, Z$1)=0, "X", "O") )
  )
)</f>
        <v>O</v>
      </c>
      <c r="AA48" s="45" t="str">
        <f ca="1">IF(
  $A48=AA$1,
  IF( ROW(AA48)=2, "+", IF(COUNTIF($B48:Z48,"X")=0, "+", "-") ),
  IF(
    $A48&lt;AA$1,
    "O",
    IF( OFFSET(AA$1, COLUMN(AA48)-1, 0)="-", "O", IF(MOD($A48, AA$1)=0, "X", "O") )
  )
)</f>
        <v>O</v>
      </c>
      <c r="AB48" s="45" t="str">
        <f ca="1">IF(
  $A48=AB$1,
  IF( ROW(AB48)=2, "+", IF(COUNTIF($B48:AA48,"X")=0, "+", "-") ),
  IF(
    $A48&lt;AB$1,
    "O",
    IF( OFFSET(AB$1, COLUMN(AB48)-1, 0)="-", "O", IF(MOD($A48, AB$1)=0, "X", "O") )
  )
)</f>
        <v>O</v>
      </c>
      <c r="AC48" s="44" t="str">
        <f ca="1">IF(
  $A48=AC$1,
  IF( ROW(AC48)=2, "+", IF(COUNTIF($B48:AB48,"X")=0, "+", "-") ),
  IF(
    $A48&lt;AC$1,
    "O",
    IF( OFFSET(AC$1, COLUMN(AC48)-1, 0)="-", "O", IF(MOD($A48, AC$1)=0, "X", "O") )
  )
)</f>
        <v>O</v>
      </c>
      <c r="AD48" s="45" t="str">
        <f ca="1">IF(
  $A48=AD$1,
  IF( ROW(AD48)=2, "+", IF(COUNTIF($B48:AC48,"X")=0, "+", "-") ),
  IF(
    $A48&lt;AD$1,
    "O",
    IF( OFFSET(AD$1, COLUMN(AD48)-1, 0)="-", "O", IF(MOD($A48, AD$1)=0, "X", "O") )
  )
)</f>
        <v>O</v>
      </c>
      <c r="AE48" s="44" t="str">
        <f ca="1">IF(
  $A48=AE$1,
  IF( ROW(AE48)=2, "+", IF(COUNTIF($B48:AD48,"X")=0, "+", "-") ),
  IF(
    $A48&lt;AE$1,
    "O",
    IF( OFFSET(AE$1, COLUMN(AE48)-1, 0)="-", "O", IF(MOD($A48, AE$1)=0, "X", "O") )
  )
)</f>
        <v>O</v>
      </c>
      <c r="AF48" s="45" t="str">
        <f ca="1">IF(
  $A48=AF$1,
  IF( ROW(AF48)=2, "+", IF(COUNTIF($B48:AE48,"X")=0, "+", "-") ),
  IF(
    $A48&lt;AF$1,
    "O",
    IF( OFFSET(AF$1, COLUMN(AF48)-1, 0)="-", "O", IF(MOD($A48, AF$1)=0, "X", "O") )
  )
)</f>
        <v>O</v>
      </c>
      <c r="AG48" s="45" t="str">
        <f ca="1">IF(
  $A48=AG$1,
  IF( ROW(AG48)=2, "+", IF(COUNTIF($B48:AF48,"X")=0, "+", "-") ),
  IF(
    $A48&lt;AG$1,
    "O",
    IF( OFFSET(AG$1, COLUMN(AG48)-1, 0)="-", "O", IF(MOD($A48, AG$1)=0, "X", "O") )
  )
)</f>
        <v>O</v>
      </c>
      <c r="AH48" s="45" t="str">
        <f ca="1">IF(
  $A48=AH$1,
  IF( ROW(AH48)=2, "+", IF(COUNTIF($B48:AG48,"X")=0, "+", "-") ),
  IF(
    $A48&lt;AH$1,
    "O",
    IF( OFFSET(AH$1, COLUMN(AH48)-1, 0)="-", "O", IF(MOD($A48, AH$1)=0, "X", "O") )
  )
)</f>
        <v>O</v>
      </c>
      <c r="AI48" s="45" t="str">
        <f ca="1">IF(
  $A48=AI$1,
  IF( ROW(AI48)=2, "+", IF(COUNTIF($B48:AH48,"X")=0, "+", "-") ),
  IF(
    $A48&lt;AI$1,
    "O",
    IF( OFFSET(AI$1, COLUMN(AI48)-1, 0)="-", "O", IF(MOD($A48, AI$1)=0, "X", "O") )
  )
)</f>
        <v>O</v>
      </c>
      <c r="AJ48" s="45" t="str">
        <f ca="1">IF(
  $A48=AJ$1,
  IF( ROW(AJ48)=2, "+", IF(COUNTIF($B48:AI48,"X")=0, "+", "-") ),
  IF(
    $A48&lt;AJ$1,
    "O",
    IF( OFFSET(AJ$1, COLUMN(AJ48)-1, 0)="-", "O", IF(MOD($A48, AJ$1)=0, "X", "O") )
  )
)</f>
        <v>O</v>
      </c>
      <c r="AK48" s="44" t="str">
        <f ca="1">IF(
  $A48=AK$1,
  IF( ROW(AK48)=2, "+", IF(COUNTIF($B48:AJ48,"X")=0, "+", "-") ),
  IF(
    $A48&lt;AK$1,
    "O",
    IF( OFFSET(AK$1, COLUMN(AK48)-1, 0)="-", "O", IF(MOD($A48, AK$1)=0, "X", "O") )
  )
)</f>
        <v>O</v>
      </c>
      <c r="AL48" s="45" t="str">
        <f ca="1">IF(
  $A48=AL$1,
  IF( ROW(AL48)=2, "+", IF(COUNTIF($B48:AK48,"X")=0, "+", "-") ),
  IF(
    $A48&lt;AL$1,
    "O",
    IF( OFFSET(AL$1, COLUMN(AL48)-1, 0)="-", "O", IF(MOD($A48, AL$1)=0, "X", "O") )
  )
)</f>
        <v>O</v>
      </c>
      <c r="AM48" s="45" t="str">
        <f ca="1">IF(
  $A48=AM$1,
  IF( ROW(AM48)=2, "+", IF(COUNTIF($B48:AL48,"X")=0, "+", "-") ),
  IF(
    $A48&lt;AM$1,
    "O",
    IF( OFFSET(AM$1, COLUMN(AM48)-1, 0)="-", "O", IF(MOD($A48, AM$1)=0, "X", "O") )
  )
)</f>
        <v>O</v>
      </c>
      <c r="AN48" s="45" t="str">
        <f ca="1">IF(
  $A48=AN$1,
  IF( ROW(AN48)=2, "+", IF(COUNTIF($B48:AM48,"X")=0, "+", "-") ),
  IF(
    $A48&lt;AN$1,
    "O",
    IF( OFFSET(AN$1, COLUMN(AN48)-1, 0)="-", "O", IF(MOD($A48, AN$1)=0, "X", "O") )
  )
)</f>
        <v>O</v>
      </c>
      <c r="AO48" s="44" t="str">
        <f ca="1">IF(
  $A48=AO$1,
  IF( ROW(AO48)=2, "+", IF(COUNTIF($B48:AN48,"X")=0, "+", "-") ),
  IF(
    $A48&lt;AO$1,
    "O",
    IF( OFFSET(AO$1, COLUMN(AO48)-1, 0)="-", "O", IF(MOD($A48, AO$1)=0, "X", "O") )
  )
)</f>
        <v>O</v>
      </c>
      <c r="AP48" s="45" t="str">
        <f ca="1">IF(
  $A48=AP$1,
  IF( ROW(AP48)=2, "+", IF(COUNTIF($B48:AO48,"X")=0, "+", "-") ),
  IF(
    $A48&lt;AP$1,
    "O",
    IF( OFFSET(AP$1, COLUMN(AP48)-1, 0)="-", "O", IF(MOD($A48, AP$1)=0, "X", "O") )
  )
)</f>
        <v>O</v>
      </c>
      <c r="AQ48" s="44" t="str">
        <f ca="1">IF(
  $A48=AQ$1,
  IF( ROW(AQ48)=2, "+", IF(COUNTIF($B48:AP48,"X")=0, "+", "-") ),
  IF(
    $A48&lt;AQ$1,
    "O",
    IF( OFFSET(AQ$1, COLUMN(AQ48)-1, 0)="-", "O", IF(MOD($A48, AQ$1)=0, "X", "O") )
  )
)</f>
        <v>O</v>
      </c>
      <c r="AR48" s="45" t="str">
        <f ca="1">IF(
  $A48=AR$1,
  IF( ROW(AR48)=2, "+", IF(COUNTIF($B48:AQ48,"X")=0, "+", "-") ),
  IF(
    $A48&lt;AR$1,
    "O",
    IF( OFFSET(AR$1, COLUMN(AR48)-1, 0)="-", "O", IF(MOD($A48, AR$1)=0, "X", "O") )
  )
)</f>
        <v>O</v>
      </c>
      <c r="AS48" s="45" t="str">
        <f ca="1">IF(
  $A48=AS$1,
  IF( ROW(AS48)=2, "+", IF(COUNTIF($B48:AR48,"X")=0, "+", "-") ),
  IF(
    $A48&lt;AS$1,
    "O",
    IF( OFFSET(AS$1, COLUMN(AS48)-1, 0)="-", "O", IF(MOD($A48, AS$1)=0, "X", "O") )
  )
)</f>
        <v>O</v>
      </c>
      <c r="AT48" s="45" t="str">
        <f ca="1">IF(
  $A48=AT$1,
  IF( ROW(AT48)=2, "+", IF(COUNTIF($B48:AS48,"X")=0, "+", "-") ),
  IF(
    $A48&lt;AT$1,
    "O",
    IF( OFFSET(AT$1, COLUMN(AT48)-1, 0)="-", "O", IF(MOD($A48, AT$1)=0, "X", "O") )
  )
)</f>
        <v>O</v>
      </c>
      <c r="AU48" s="44" t="str">
        <f ca="1">IF(
  $A48=AU$1,
  IF( ROW(AU48)=2, "+", IF(COUNTIF($B48:AT48,"X")=0, "+", "-") ),
  IF(
    $A48&lt;AU$1,
    "O",
    IF( OFFSET(AU$1, COLUMN(AU48)-1, 0)="-", "O", IF(MOD($A48, AU$1)=0, "X", "O") )
  )
)</f>
        <v>O</v>
      </c>
      <c r="AV48" s="45" t="str">
        <f ca="1">IF(
  $A48=AV$1,
  IF( ROW(AV48)=2, "+", IF(COUNTIF($B48:AU48,"X")=0, "+", "-") ),
  IF(
    $A48&lt;AV$1,
    "O",
    IF( OFFSET(AV$1, COLUMN(AV48)-1, 0)="-", "O", IF(MOD($A48, AV$1)=0, "X", "O") )
  )
)</f>
        <v>-</v>
      </c>
      <c r="AW48" s="45" t="str">
        <f ca="1">IF(
  $A48=AW$1,
  IF( ROW(AW48)=2, "+", IF(COUNTIF($B48:AV48,"X")=0, "+", "-") ),
  IF(
    $A48&lt;AW$1,
    "O",
    IF( OFFSET(AW$1, COLUMN(AW48)-1, 0)="-", "O", IF(MOD($A48, AW$1)=0, "X", "O") )
  )
)</f>
        <v>O</v>
      </c>
      <c r="AX48" s="45" t="str">
        <f ca="1">IF(
  $A48=AX$1,
  IF( ROW(AX48)=2, "+", IF(COUNTIF($B48:AW48,"X")=0, "+", "-") ),
  IF(
    $A48&lt;AX$1,
    "O",
    IF( OFFSET(AX$1, COLUMN(AX48)-1, 0)="-", "O", IF(MOD($A48, AX$1)=0, "X", "O") )
  )
)</f>
        <v>O</v>
      </c>
      <c r="AY48" s="45" t="str">
        <f ca="1">IF(
  $A48=AY$1,
  IF( ROW(AY48)=2, "+", IF(COUNTIF($B48:AX48,"X")=0, "+", "-") ),
  IF(
    $A48&lt;AY$1,
    "O",
    IF( OFFSET(AY$1, COLUMN(AY48)-1, 0)="-", "O", IF(MOD($A48, AY$1)=0, "X", "O") )
  )
)</f>
        <v>O</v>
      </c>
      <c r="AZ48" s="45" t="str">
        <f ca="1">IF(
  $A48=AZ$1,
  IF( ROW(AZ48)=2, "+", IF(COUNTIF($B48:AY48,"X")=0, "+", "-") ),
  IF(
    $A48&lt;AZ$1,
    "O",
    IF( OFFSET(AZ$1, COLUMN(AZ48)-1, 0)="-", "O", IF(MOD($A48, AZ$1)=0, "X", "O") )
  )
)</f>
        <v>O</v>
      </c>
      <c r="BA48" s="45" t="str">
        <f ca="1">IF(
  $A48=BA$1,
  IF( ROW(BA48)=2, "+", IF(COUNTIF($B48:AZ48,"X")=0, "+", "-") ),
  IF(
    $A48&lt;BA$1,
    "O",
    IF( OFFSET(BA$1, COLUMN(BA48)-1, 0)="-", "O", IF(MOD($A48, BA$1)=0, "X", "O") )
  )
)</f>
        <v>O</v>
      </c>
      <c r="BB48" s="45" t="str">
        <f ca="1">IF(
  $A48=BB$1,
  IF( ROW(BB48)=2, "+", IF(COUNTIF($B48:BA48,"X")=0, "+", "-") ),
  IF(
    $A48&lt;BB$1,
    "O",
    IF( OFFSET(BB$1, COLUMN(BB48)-1, 0)="-", "O", IF(MOD($A48, BB$1)=0, "X", "O") )
  )
)</f>
        <v>O</v>
      </c>
      <c r="BC48" s="45" t="str">
        <f ca="1">IF(
  $A48=BC$1,
  IF( ROW(BC48)=2, "+", IF(COUNTIF($B48:BB48,"X")=0, "+", "-") ),
  IF(
    $A48&lt;BC$1,
    "O",
    IF( OFFSET(BC$1, COLUMN(BC48)-1, 0)="-", "O", IF(MOD($A48, BC$1)=0, "X", "O") )
  )
)</f>
        <v>O</v>
      </c>
      <c r="BD48" s="45" t="str">
        <f ca="1">IF(
  $A48=BD$1,
  IF( ROW(BD48)=2, "+", IF(COUNTIF($B48:BC48,"X")=0, "+", "-") ),
  IF(
    $A48&lt;BD$1,
    "O",
    IF( OFFSET(BD$1, COLUMN(BD48)-1, 0)="-", "O", IF(MOD($A48, BD$1)=0, "X", "O") )
  )
)</f>
        <v>O</v>
      </c>
      <c r="BE48" s="45" t="str">
        <f ca="1">IF(
  $A48=BE$1,
  IF( ROW(BE48)=2, "+", IF(COUNTIF($B48:BD48,"X")=0, "+", "-") ),
  IF(
    $A48&lt;BE$1,
    "O",
    IF( OFFSET(BE$1, COLUMN(BE48)-1, 0)="-", "O", IF(MOD($A48, BE$1)=0, "X", "O") )
  )
)</f>
        <v>O</v>
      </c>
      <c r="BF48" s="45" t="str">
        <f ca="1">IF(
  $A48=BF$1,
  IF( ROW(BF48)=2, "+", IF(COUNTIF($B48:BE48,"X")=0, "+", "-") ),
  IF(
    $A48&lt;BF$1,
    "O",
    IF( OFFSET(BF$1, COLUMN(BF48)-1, 0)="-", "O", IF(MOD($A48, BF$1)=0, "X", "O") )
  )
)</f>
        <v>O</v>
      </c>
      <c r="BG48" s="45" t="str">
        <f ca="1">IF(
  $A48=BG$1,
  IF( ROW(BG48)=2, "+", IF(COUNTIF($B48:BF48,"X")=0, "+", "-") ),
  IF(
    $A48&lt;BG$1,
    "O",
    IF( OFFSET(BG$1, COLUMN(BG48)-1, 0)="-", "O", IF(MOD($A48, BG$1)=0, "X", "O") )
  )
)</f>
        <v>O</v>
      </c>
      <c r="BH48" s="45" t="str">
        <f ca="1">IF(
  $A48=BH$1,
  IF( ROW(BH48)=2, "+", IF(COUNTIF($B48:BG48,"X")=0, "+", "-") ),
  IF(
    $A48&lt;BH$1,
    "O",
    IF( OFFSET(BH$1, COLUMN(BH48)-1, 0)="-", "O", IF(MOD($A48, BH$1)=0, "X", "O") )
  )
)</f>
        <v>O</v>
      </c>
    </row>
    <row r="49" spans="1:60" s="46" customFormat="1" x14ac:dyDescent="0.25">
      <c r="A49">
        <v>49</v>
      </c>
      <c r="B49" s="44" t="str">
        <f ca="1">IF(
  $A49=B$1,
  IF( ROW(B49)=2, "+", IF(COUNTIF(A49:$B49,"X")=0, "+", "-") ),
  IF(
    $A49&lt;B$1,
    "O",
    IF( OFFSET(B$1, COLUMN(B49)-1, 0)="-", "O", IF(MOD($A49, B$1)=0, "X", "O") )
  )
)</f>
        <v>O</v>
      </c>
      <c r="C49" s="44" t="str">
        <f ca="1">IF(
  $A49=C$1,
  IF( ROW(C49)=2, "+", IF(COUNTIF(B49:$B49,"X")=0, "+", "-") ),
  IF(
    $A49&lt;C$1,
    "O",
    IF( OFFSET(C$1, COLUMN(C49)-1, 0)="-", "O", IF(MOD($A49, C$1)=0, "X", "O") )
  )
)</f>
        <v>O</v>
      </c>
      <c r="D49" s="45" t="str">
        <f ca="1">IF(
  $A49=D$1,
  IF( ROW(D49)=2, "+", IF(COUNTIF($B49:C49,"X")=0, "+", "-") ),
  IF(
    $A49&lt;D$1,
    "O",
    IF( OFFSET(D$1, COLUMN(D49)-1, 0)="-", "O", IF(MOD($A49, D$1)=0, "X", "O") )
  )
)</f>
        <v>O</v>
      </c>
      <c r="E49" s="44" t="str">
        <f ca="1">IF(
  $A49=E$1,
  IF( ROW(E49)=2, "+", IF(COUNTIF($B49:D49,"X")=0, "+", "-") ),
  IF(
    $A49&lt;E$1,
    "O",
    IF( OFFSET(E$1, COLUMN(E49)-1, 0)="-", "O", IF(MOD($A49, E$1)=0, "X", "O") )
  )
)</f>
        <v>O</v>
      </c>
      <c r="F49" s="45" t="str">
        <f ca="1">IF(
  $A49=F$1,
  IF( ROW(F49)=2, "+", IF(COUNTIF($B49:E49,"X")=0, "+", "-") ),
  IF(
    $A49&lt;F$1,
    "O",
    IF( OFFSET(F$1, COLUMN(F49)-1, 0)="-", "O", IF(MOD($A49, F$1)=0, "X", "O") )
  )
)</f>
        <v>O</v>
      </c>
      <c r="G49" s="44" t="str">
        <f ca="1">IF(
  $A49=G$1,
  IF( ROW(G49)=2, "+", IF(COUNTIF($B49:F49,"X")=0, "+", "-") ),
  IF(
    $A49&lt;G$1,
    "O",
    IF( OFFSET(G$1, COLUMN(G49)-1, 0)="-", "O", IF(MOD($A49, G$1)=0, "X", "O") )
  )
)</f>
        <v>X</v>
      </c>
      <c r="H49" s="45" t="str">
        <f ca="1">IF(
  $A49=H$1,
  IF( ROW(H49)=2, "+", IF(COUNTIF($B49:G49,"X")=0, "+", "-") ),
  IF(
    $A49&lt;H$1,
    "O",
    IF( OFFSET(H$1, COLUMN(H49)-1, 0)="-", "O", IF(MOD($A49, H$1)=0, "X", "O") )
  )
)</f>
        <v>O</v>
      </c>
      <c r="I49" s="45" t="str">
        <f ca="1">IF(
  $A49=I$1,
  IF( ROW(I49)=2, "+", IF(COUNTIF($B49:H49,"X")=0, "+", "-") ),
  IF(
    $A49&lt;I$1,
    "O",
    IF( OFFSET(I$1, COLUMN(I49)-1, 0)="-", "O", IF(MOD($A49, I$1)=0, "X", "O") )
  )
)</f>
        <v>O</v>
      </c>
      <c r="J49" s="45" t="str">
        <f ca="1">IF(
  $A49=J$1,
  IF( ROW(J49)=2, "+", IF(COUNTIF($B49:I49,"X")=0, "+", "-") ),
  IF(
    $A49&lt;J$1,
    "O",
    IF( OFFSET(J$1, COLUMN(J49)-1, 0)="-", "O", IF(MOD($A49, J$1)=0, "X", "O") )
  )
)</f>
        <v>O</v>
      </c>
      <c r="K49" s="44" t="str">
        <f ca="1">IF(
  $A49=K$1,
  IF( ROW(K49)=2, "+", IF(COUNTIF($B49:J49,"X")=0, "+", "-") ),
  IF(
    $A49&lt;K$1,
    "O",
    IF( OFFSET(K$1, COLUMN(K49)-1, 0)="-", "O", IF(MOD($A49, K$1)=0, "X", "O") )
  )
)</f>
        <v>O</v>
      </c>
      <c r="L49" s="45" t="str">
        <f ca="1">IF(
  $A49=L$1,
  IF( ROW(L49)=2, "+", IF(COUNTIF($B49:K49,"X")=0, "+", "-") ),
  IF(
    $A49&lt;L$1,
    "O",
    IF( OFFSET(L$1, COLUMN(L49)-1, 0)="-", "O", IF(MOD($A49, L$1)=0, "X", "O") )
  )
)</f>
        <v>O</v>
      </c>
      <c r="M49" s="44" t="str">
        <f ca="1">IF(
  $A49=M$1,
  IF( ROW(M49)=2, "+", IF(COUNTIF($B49:L49,"X")=0, "+", "-") ),
  IF(
    $A49&lt;M$1,
    "O",
    IF( OFFSET(M$1, COLUMN(M49)-1, 0)="-", "O", IF(MOD($A49, M$1)=0, "X", "O") )
  )
)</f>
        <v>O</v>
      </c>
      <c r="N49" s="45" t="str">
        <f ca="1">IF(
  $A49=N$1,
  IF( ROW(N49)=2, "+", IF(COUNTIF($B49:M49,"X")=0, "+", "-") ),
  IF(
    $A49&lt;N$1,
    "O",
    IF( OFFSET(N$1, COLUMN(N49)-1, 0)="-", "O", IF(MOD($A49, N$1)=0, "X", "O") )
  )
)</f>
        <v>O</v>
      </c>
      <c r="O49" s="45" t="str">
        <f ca="1">IF(
  $A49=O$1,
  IF( ROW(O49)=2, "+", IF(COUNTIF($B49:N49,"X")=0, "+", "-") ),
  IF(
    $A49&lt;O$1,
    "O",
    IF( OFFSET(O$1, COLUMN(O49)-1, 0)="-", "O", IF(MOD($A49, O$1)=0, "X", "O") )
  )
)</f>
        <v>O</v>
      </c>
      <c r="P49" s="45" t="str">
        <f ca="1">IF(
  $A49=P$1,
  IF( ROW(P49)=2, "+", IF(COUNTIF($B49:O49,"X")=0, "+", "-") ),
  IF(
    $A49&lt;P$1,
    "O",
    IF( OFFSET(P$1, COLUMN(P49)-1, 0)="-", "O", IF(MOD($A49, P$1)=0, "X", "O") )
  )
)</f>
        <v>O</v>
      </c>
      <c r="Q49" s="44" t="str">
        <f ca="1">IF(
  $A49=Q$1,
  IF( ROW(Q49)=2, "+", IF(COUNTIF($B49:P49,"X")=0, "+", "-") ),
  IF(
    $A49&lt;Q$1,
    "O",
    IF( OFFSET(Q$1, COLUMN(Q49)-1, 0)="-", "O", IF(MOD($A49, Q$1)=0, "X", "O") )
  )
)</f>
        <v>O</v>
      </c>
      <c r="R49" s="45" t="str">
        <f ca="1">IF(
  $A49=R$1,
  IF( ROW(R49)=2, "+", IF(COUNTIF($B49:Q49,"X")=0, "+", "-") ),
  IF(
    $A49&lt;R$1,
    "O",
    IF( OFFSET(R$1, COLUMN(R49)-1, 0)="-", "O", IF(MOD($A49, R$1)=0, "X", "O") )
  )
)</f>
        <v>O</v>
      </c>
      <c r="S49" s="44" t="str">
        <f ca="1">IF(
  $A49=S$1,
  IF( ROW(S49)=2, "+", IF(COUNTIF($B49:R49,"X")=0, "+", "-") ),
  IF(
    $A49&lt;S$1,
    "O",
    IF( OFFSET(S$1, COLUMN(S49)-1, 0)="-", "O", IF(MOD($A49, S$1)=0, "X", "O") )
  )
)</f>
        <v>O</v>
      </c>
      <c r="T49" s="45" t="str">
        <f ca="1">IF(
  $A49=T$1,
  IF( ROW(T49)=2, "+", IF(COUNTIF($B49:S49,"X")=0, "+", "-") ),
  IF(
    $A49&lt;T$1,
    "O",
    IF( OFFSET(T$1, COLUMN(T49)-1, 0)="-", "O", IF(MOD($A49, T$1)=0, "X", "O") )
  )
)</f>
        <v>O</v>
      </c>
      <c r="U49" s="45" t="str">
        <f ca="1">IF(
  $A49=U$1,
  IF( ROW(U49)=2, "+", IF(COUNTIF($B49:T49,"X")=0, "+", "-") ),
  IF(
    $A49&lt;U$1,
    "O",
    IF( OFFSET(U$1, COLUMN(U49)-1, 0)="-", "O", IF(MOD($A49, U$1)=0, "X", "O") )
  )
)</f>
        <v>O</v>
      </c>
      <c r="V49" s="45" t="str">
        <f ca="1">IF(
  $A49=V$1,
  IF( ROW(V49)=2, "+", IF(COUNTIF($B49:U49,"X")=0, "+", "-") ),
  IF(
    $A49&lt;V$1,
    "O",
    IF( OFFSET(V$1, COLUMN(V49)-1, 0)="-", "O", IF(MOD($A49, V$1)=0, "X", "O") )
  )
)</f>
        <v>O</v>
      </c>
      <c r="W49" s="44" t="str">
        <f ca="1">IF(
  $A49=W$1,
  IF( ROW(W49)=2, "+", IF(COUNTIF($B49:V49,"X")=0, "+", "-") ),
  IF(
    $A49&lt;W$1,
    "O",
    IF( OFFSET(W$1, COLUMN(W49)-1, 0)="-", "O", IF(MOD($A49, W$1)=0, "X", "O") )
  )
)</f>
        <v>O</v>
      </c>
      <c r="X49" s="45" t="str">
        <f ca="1">IF(
  $A49=X$1,
  IF( ROW(X49)=2, "+", IF(COUNTIF($B49:W49,"X")=0, "+", "-") ),
  IF(
    $A49&lt;X$1,
    "O",
    IF( OFFSET(X$1, COLUMN(X49)-1, 0)="-", "O", IF(MOD($A49, X$1)=0, "X", "O") )
  )
)</f>
        <v>O</v>
      </c>
      <c r="Y49" s="45" t="str">
        <f ca="1">IF(
  $A49=Y$1,
  IF( ROW(Y49)=2, "+", IF(COUNTIF($B49:X49,"X")=0, "+", "-") ),
  IF(
    $A49&lt;Y$1,
    "O",
    IF( OFFSET(Y$1, COLUMN(Y49)-1, 0)="-", "O", IF(MOD($A49, Y$1)=0, "X", "O") )
  )
)</f>
        <v>O</v>
      </c>
      <c r="Z49" s="45" t="str">
        <f ca="1">IF(
  $A49=Z$1,
  IF( ROW(Z49)=2, "+", IF(COUNTIF($B49:Y49,"X")=0, "+", "-") ),
  IF(
    $A49&lt;Z$1,
    "O",
    IF( OFFSET(Z$1, COLUMN(Z49)-1, 0)="-", "O", IF(MOD($A49, Z$1)=0, "X", "O") )
  )
)</f>
        <v>O</v>
      </c>
      <c r="AA49" s="45" t="str">
        <f ca="1">IF(
  $A49=AA$1,
  IF( ROW(AA49)=2, "+", IF(COUNTIF($B49:Z49,"X")=0, "+", "-") ),
  IF(
    $A49&lt;AA$1,
    "O",
    IF( OFFSET(AA$1, COLUMN(AA49)-1, 0)="-", "O", IF(MOD($A49, AA$1)=0, "X", "O") )
  )
)</f>
        <v>O</v>
      </c>
      <c r="AB49" s="45" t="str">
        <f ca="1">IF(
  $A49=AB$1,
  IF( ROW(AB49)=2, "+", IF(COUNTIF($B49:AA49,"X")=0, "+", "-") ),
  IF(
    $A49&lt;AB$1,
    "O",
    IF( OFFSET(AB$1, COLUMN(AB49)-1, 0)="-", "O", IF(MOD($A49, AB$1)=0, "X", "O") )
  )
)</f>
        <v>O</v>
      </c>
      <c r="AC49" s="44" t="str">
        <f ca="1">IF(
  $A49=AC$1,
  IF( ROW(AC49)=2, "+", IF(COUNTIF($B49:AB49,"X")=0, "+", "-") ),
  IF(
    $A49&lt;AC$1,
    "O",
    IF( OFFSET(AC$1, COLUMN(AC49)-1, 0)="-", "O", IF(MOD($A49, AC$1)=0, "X", "O") )
  )
)</f>
        <v>O</v>
      </c>
      <c r="AD49" s="45" t="str">
        <f ca="1">IF(
  $A49=AD$1,
  IF( ROW(AD49)=2, "+", IF(COUNTIF($B49:AC49,"X")=0, "+", "-") ),
  IF(
    $A49&lt;AD$1,
    "O",
    IF( OFFSET(AD$1, COLUMN(AD49)-1, 0)="-", "O", IF(MOD($A49, AD$1)=0, "X", "O") )
  )
)</f>
        <v>O</v>
      </c>
      <c r="AE49" s="44" t="str">
        <f ca="1">IF(
  $A49=AE$1,
  IF( ROW(AE49)=2, "+", IF(COUNTIF($B49:AD49,"X")=0, "+", "-") ),
  IF(
    $A49&lt;AE$1,
    "O",
    IF( OFFSET(AE$1, COLUMN(AE49)-1, 0)="-", "O", IF(MOD($A49, AE$1)=0, "X", "O") )
  )
)</f>
        <v>O</v>
      </c>
      <c r="AF49" s="45" t="str">
        <f ca="1">IF(
  $A49=AF$1,
  IF( ROW(AF49)=2, "+", IF(COUNTIF($B49:AE49,"X")=0, "+", "-") ),
  IF(
    $A49&lt;AF$1,
    "O",
    IF( OFFSET(AF$1, COLUMN(AF49)-1, 0)="-", "O", IF(MOD($A49, AF$1)=0, "X", "O") )
  )
)</f>
        <v>O</v>
      </c>
      <c r="AG49" s="45" t="str">
        <f ca="1">IF(
  $A49=AG$1,
  IF( ROW(AG49)=2, "+", IF(COUNTIF($B49:AF49,"X")=0, "+", "-") ),
  IF(
    $A49&lt;AG$1,
    "O",
    IF( OFFSET(AG$1, COLUMN(AG49)-1, 0)="-", "O", IF(MOD($A49, AG$1)=0, "X", "O") )
  )
)</f>
        <v>O</v>
      </c>
      <c r="AH49" s="45" t="str">
        <f ca="1">IF(
  $A49=AH$1,
  IF( ROW(AH49)=2, "+", IF(COUNTIF($B49:AG49,"X")=0, "+", "-") ),
  IF(
    $A49&lt;AH$1,
    "O",
    IF( OFFSET(AH$1, COLUMN(AH49)-1, 0)="-", "O", IF(MOD($A49, AH$1)=0, "X", "O") )
  )
)</f>
        <v>O</v>
      </c>
      <c r="AI49" s="45" t="str">
        <f ca="1">IF(
  $A49=AI$1,
  IF( ROW(AI49)=2, "+", IF(COUNTIF($B49:AH49,"X")=0, "+", "-") ),
  IF(
    $A49&lt;AI$1,
    "O",
    IF( OFFSET(AI$1, COLUMN(AI49)-1, 0)="-", "O", IF(MOD($A49, AI$1)=0, "X", "O") )
  )
)</f>
        <v>O</v>
      </c>
      <c r="AJ49" s="45" t="str">
        <f ca="1">IF(
  $A49=AJ$1,
  IF( ROW(AJ49)=2, "+", IF(COUNTIF($B49:AI49,"X")=0, "+", "-") ),
  IF(
    $A49&lt;AJ$1,
    "O",
    IF( OFFSET(AJ$1, COLUMN(AJ49)-1, 0)="-", "O", IF(MOD($A49, AJ$1)=0, "X", "O") )
  )
)</f>
        <v>O</v>
      </c>
      <c r="AK49" s="44" t="str">
        <f ca="1">IF(
  $A49=AK$1,
  IF( ROW(AK49)=2, "+", IF(COUNTIF($B49:AJ49,"X")=0, "+", "-") ),
  IF(
    $A49&lt;AK$1,
    "O",
    IF( OFFSET(AK$1, COLUMN(AK49)-1, 0)="-", "O", IF(MOD($A49, AK$1)=0, "X", "O") )
  )
)</f>
        <v>O</v>
      </c>
      <c r="AL49" s="45" t="str">
        <f ca="1">IF(
  $A49=AL$1,
  IF( ROW(AL49)=2, "+", IF(COUNTIF($B49:AK49,"X")=0, "+", "-") ),
  IF(
    $A49&lt;AL$1,
    "O",
    IF( OFFSET(AL$1, COLUMN(AL49)-1, 0)="-", "O", IF(MOD($A49, AL$1)=0, "X", "O") )
  )
)</f>
        <v>O</v>
      </c>
      <c r="AM49" s="45" t="str">
        <f ca="1">IF(
  $A49=AM$1,
  IF( ROW(AM49)=2, "+", IF(COUNTIF($B49:AL49,"X")=0, "+", "-") ),
  IF(
    $A49&lt;AM$1,
    "O",
    IF( OFFSET(AM$1, COLUMN(AM49)-1, 0)="-", "O", IF(MOD($A49, AM$1)=0, "X", "O") )
  )
)</f>
        <v>O</v>
      </c>
      <c r="AN49" s="45" t="str">
        <f ca="1">IF(
  $A49=AN$1,
  IF( ROW(AN49)=2, "+", IF(COUNTIF($B49:AM49,"X")=0, "+", "-") ),
  IF(
    $A49&lt;AN$1,
    "O",
    IF( OFFSET(AN$1, COLUMN(AN49)-1, 0)="-", "O", IF(MOD($A49, AN$1)=0, "X", "O") )
  )
)</f>
        <v>O</v>
      </c>
      <c r="AO49" s="44" t="str">
        <f ca="1">IF(
  $A49=AO$1,
  IF( ROW(AO49)=2, "+", IF(COUNTIF($B49:AN49,"X")=0, "+", "-") ),
  IF(
    $A49&lt;AO$1,
    "O",
    IF( OFFSET(AO$1, COLUMN(AO49)-1, 0)="-", "O", IF(MOD($A49, AO$1)=0, "X", "O") )
  )
)</f>
        <v>O</v>
      </c>
      <c r="AP49" s="45" t="str">
        <f ca="1">IF(
  $A49=AP$1,
  IF( ROW(AP49)=2, "+", IF(COUNTIF($B49:AO49,"X")=0, "+", "-") ),
  IF(
    $A49&lt;AP$1,
    "O",
    IF( OFFSET(AP$1, COLUMN(AP49)-1, 0)="-", "O", IF(MOD($A49, AP$1)=0, "X", "O") )
  )
)</f>
        <v>O</v>
      </c>
      <c r="AQ49" s="44" t="str">
        <f ca="1">IF(
  $A49=AQ$1,
  IF( ROW(AQ49)=2, "+", IF(COUNTIF($B49:AP49,"X")=0, "+", "-") ),
  IF(
    $A49&lt;AQ$1,
    "O",
    IF( OFFSET(AQ$1, COLUMN(AQ49)-1, 0)="-", "O", IF(MOD($A49, AQ$1)=0, "X", "O") )
  )
)</f>
        <v>O</v>
      </c>
      <c r="AR49" s="45" t="str">
        <f ca="1">IF(
  $A49=AR$1,
  IF( ROW(AR49)=2, "+", IF(COUNTIF($B49:AQ49,"X")=0, "+", "-") ),
  IF(
    $A49&lt;AR$1,
    "O",
    IF( OFFSET(AR$1, COLUMN(AR49)-1, 0)="-", "O", IF(MOD($A49, AR$1)=0, "X", "O") )
  )
)</f>
        <v>O</v>
      </c>
      <c r="AS49" s="45" t="str">
        <f ca="1">IF(
  $A49=AS$1,
  IF( ROW(AS49)=2, "+", IF(COUNTIF($B49:AR49,"X")=0, "+", "-") ),
  IF(
    $A49&lt;AS$1,
    "O",
    IF( OFFSET(AS$1, COLUMN(AS49)-1, 0)="-", "O", IF(MOD($A49, AS$1)=0, "X", "O") )
  )
)</f>
        <v>O</v>
      </c>
      <c r="AT49" s="45" t="str">
        <f ca="1">IF(
  $A49=AT$1,
  IF( ROW(AT49)=2, "+", IF(COUNTIF($B49:AS49,"X")=0, "+", "-") ),
  IF(
    $A49&lt;AT$1,
    "O",
    IF( OFFSET(AT$1, COLUMN(AT49)-1, 0)="-", "O", IF(MOD($A49, AT$1)=0, "X", "O") )
  )
)</f>
        <v>O</v>
      </c>
      <c r="AU49" s="44" t="str">
        <f ca="1">IF(
  $A49=AU$1,
  IF( ROW(AU49)=2, "+", IF(COUNTIF($B49:AT49,"X")=0, "+", "-") ),
  IF(
    $A49&lt;AU$1,
    "O",
    IF( OFFSET(AU$1, COLUMN(AU49)-1, 0)="-", "O", IF(MOD($A49, AU$1)=0, "X", "O") )
  )
)</f>
        <v>O</v>
      </c>
      <c r="AV49" s="45" t="str">
        <f ca="1">IF(
  $A49=AV$1,
  IF( ROW(AV49)=2, "+", IF(COUNTIF($B49:AU49,"X")=0, "+", "-") ),
  IF(
    $A49&lt;AV$1,
    "O",
    IF( OFFSET(AV$1, COLUMN(AV49)-1, 0)="-", "O", IF(MOD($A49, AV$1)=0, "X", "O") )
  )
)</f>
        <v>O</v>
      </c>
      <c r="AW49" s="45" t="str">
        <f ca="1">IF(
  $A49=AW$1,
  IF( ROW(AW49)=2, "+", IF(COUNTIF($B49:AV49,"X")=0, "+", "-") ),
  IF(
    $A49&lt;AW$1,
    "O",
    IF( OFFSET(AW$1, COLUMN(AW49)-1, 0)="-", "O", IF(MOD($A49, AW$1)=0, "X", "O") )
  )
)</f>
        <v>-</v>
      </c>
      <c r="AX49" s="45" t="str">
        <f ca="1">IF(
  $A49=AX$1,
  IF( ROW(AX49)=2, "+", IF(COUNTIF($B49:AW49,"X")=0, "+", "-") ),
  IF(
    $A49&lt;AX$1,
    "O",
    IF( OFFSET(AX$1, COLUMN(AX49)-1, 0)="-", "O", IF(MOD($A49, AX$1)=0, "X", "O") )
  )
)</f>
        <v>O</v>
      </c>
      <c r="AY49" s="45" t="str">
        <f ca="1">IF(
  $A49=AY$1,
  IF( ROW(AY49)=2, "+", IF(COUNTIF($B49:AX49,"X")=0, "+", "-") ),
  IF(
    $A49&lt;AY$1,
    "O",
    IF( OFFSET(AY$1, COLUMN(AY49)-1, 0)="-", "O", IF(MOD($A49, AY$1)=0, "X", "O") )
  )
)</f>
        <v>O</v>
      </c>
      <c r="AZ49" s="45" t="str">
        <f ca="1">IF(
  $A49=AZ$1,
  IF( ROW(AZ49)=2, "+", IF(COUNTIF($B49:AY49,"X")=0, "+", "-") ),
  IF(
    $A49&lt;AZ$1,
    "O",
    IF( OFFSET(AZ$1, COLUMN(AZ49)-1, 0)="-", "O", IF(MOD($A49, AZ$1)=0, "X", "O") )
  )
)</f>
        <v>O</v>
      </c>
      <c r="BA49" s="45" t="str">
        <f ca="1">IF(
  $A49=BA$1,
  IF( ROW(BA49)=2, "+", IF(COUNTIF($B49:AZ49,"X")=0, "+", "-") ),
  IF(
    $A49&lt;BA$1,
    "O",
    IF( OFFSET(BA$1, COLUMN(BA49)-1, 0)="-", "O", IF(MOD($A49, BA$1)=0, "X", "O") )
  )
)</f>
        <v>O</v>
      </c>
      <c r="BB49" s="45" t="str">
        <f ca="1">IF(
  $A49=BB$1,
  IF( ROW(BB49)=2, "+", IF(COUNTIF($B49:BA49,"X")=0, "+", "-") ),
  IF(
    $A49&lt;BB$1,
    "O",
    IF( OFFSET(BB$1, COLUMN(BB49)-1, 0)="-", "O", IF(MOD($A49, BB$1)=0, "X", "O") )
  )
)</f>
        <v>O</v>
      </c>
      <c r="BC49" s="45" t="str">
        <f ca="1">IF(
  $A49=BC$1,
  IF( ROW(BC49)=2, "+", IF(COUNTIF($B49:BB49,"X")=0, "+", "-") ),
  IF(
    $A49&lt;BC$1,
    "O",
    IF( OFFSET(BC$1, COLUMN(BC49)-1, 0)="-", "O", IF(MOD($A49, BC$1)=0, "X", "O") )
  )
)</f>
        <v>O</v>
      </c>
      <c r="BD49" s="45" t="str">
        <f ca="1">IF(
  $A49=BD$1,
  IF( ROW(BD49)=2, "+", IF(COUNTIF($B49:BC49,"X")=0, "+", "-") ),
  IF(
    $A49&lt;BD$1,
    "O",
    IF( OFFSET(BD$1, COLUMN(BD49)-1, 0)="-", "O", IF(MOD($A49, BD$1)=0, "X", "O") )
  )
)</f>
        <v>O</v>
      </c>
      <c r="BE49" s="45" t="str">
        <f ca="1">IF(
  $A49=BE$1,
  IF( ROW(BE49)=2, "+", IF(COUNTIF($B49:BD49,"X")=0, "+", "-") ),
  IF(
    $A49&lt;BE$1,
    "O",
    IF( OFFSET(BE$1, COLUMN(BE49)-1, 0)="-", "O", IF(MOD($A49, BE$1)=0, "X", "O") )
  )
)</f>
        <v>O</v>
      </c>
      <c r="BF49" s="45" t="str">
        <f ca="1">IF(
  $A49=BF$1,
  IF( ROW(BF49)=2, "+", IF(COUNTIF($B49:BE49,"X")=0, "+", "-") ),
  IF(
    $A49&lt;BF$1,
    "O",
    IF( OFFSET(BF$1, COLUMN(BF49)-1, 0)="-", "O", IF(MOD($A49, BF$1)=0, "X", "O") )
  )
)</f>
        <v>O</v>
      </c>
      <c r="BG49" s="45" t="str">
        <f ca="1">IF(
  $A49=BG$1,
  IF( ROW(BG49)=2, "+", IF(COUNTIF($B49:BF49,"X")=0, "+", "-") ),
  IF(
    $A49&lt;BG$1,
    "O",
    IF( OFFSET(BG$1, COLUMN(BG49)-1, 0)="-", "O", IF(MOD($A49, BG$1)=0, "X", "O") )
  )
)</f>
        <v>O</v>
      </c>
      <c r="BH49" s="45" t="str">
        <f ca="1">IF(
  $A49=BH$1,
  IF( ROW(BH49)=2, "+", IF(COUNTIF($B49:BG49,"X")=0, "+", "-") ),
  IF(
    $A49&lt;BH$1,
    "O",
    IF( OFFSET(BH$1, COLUMN(BH49)-1, 0)="-", "O", IF(MOD($A49, BH$1)=0, "X", "O") )
  )
)</f>
        <v>O</v>
      </c>
    </row>
    <row r="50" spans="1:60" s="46" customFormat="1" x14ac:dyDescent="0.25">
      <c r="A50">
        <v>50</v>
      </c>
      <c r="B50" s="44" t="str">
        <f ca="1">IF(
  $A50=B$1,
  IF( ROW(B50)=2, "+", IF(COUNTIF(A50:$B50,"X")=0, "+", "-") ),
  IF(
    $A50&lt;B$1,
    "O",
    IF( OFFSET(B$1, COLUMN(B50)-1, 0)="-", "O", IF(MOD($A50, B$1)=0, "X", "O") )
  )
)</f>
        <v>X</v>
      </c>
      <c r="C50" s="44" t="str">
        <f ca="1">IF(
  $A50=C$1,
  IF( ROW(C50)=2, "+", IF(COUNTIF(B50:$B50,"X")=0, "+", "-") ),
  IF(
    $A50&lt;C$1,
    "O",
    IF( OFFSET(C$1, COLUMN(C50)-1, 0)="-", "O", IF(MOD($A50, C$1)=0, "X", "O") )
  )
)</f>
        <v>O</v>
      </c>
      <c r="D50" s="45" t="str">
        <f ca="1">IF(
  $A50=D$1,
  IF( ROW(D50)=2, "+", IF(COUNTIF($B50:C50,"X")=0, "+", "-") ),
  IF(
    $A50&lt;D$1,
    "O",
    IF( OFFSET(D$1, COLUMN(D50)-1, 0)="-", "O", IF(MOD($A50, D$1)=0, "X", "O") )
  )
)</f>
        <v>O</v>
      </c>
      <c r="E50" s="44" t="str">
        <f ca="1">IF(
  $A50=E$1,
  IF( ROW(E50)=2, "+", IF(COUNTIF($B50:D50,"X")=0, "+", "-") ),
  IF(
    $A50&lt;E$1,
    "O",
    IF( OFFSET(E$1, COLUMN(E50)-1, 0)="-", "O", IF(MOD($A50, E$1)=0, "X", "O") )
  )
)</f>
        <v>X</v>
      </c>
      <c r="F50" s="45" t="str">
        <f ca="1">IF(
  $A50=F$1,
  IF( ROW(F50)=2, "+", IF(COUNTIF($B50:E50,"X")=0, "+", "-") ),
  IF(
    $A50&lt;F$1,
    "O",
    IF( OFFSET(F$1, COLUMN(F50)-1, 0)="-", "O", IF(MOD($A50, F$1)=0, "X", "O") )
  )
)</f>
        <v>O</v>
      </c>
      <c r="G50" s="44" t="str">
        <f ca="1">IF(
  $A50=G$1,
  IF( ROW(G50)=2, "+", IF(COUNTIF($B50:F50,"X")=0, "+", "-") ),
  IF(
    $A50&lt;G$1,
    "O",
    IF( OFFSET(G$1, COLUMN(G50)-1, 0)="-", "O", IF(MOD($A50, G$1)=0, "X", "O") )
  )
)</f>
        <v>O</v>
      </c>
      <c r="H50" s="45" t="str">
        <f ca="1">IF(
  $A50=H$1,
  IF( ROW(H50)=2, "+", IF(COUNTIF($B50:G50,"X")=0, "+", "-") ),
  IF(
    $A50&lt;H$1,
    "O",
    IF( OFFSET(H$1, COLUMN(H50)-1, 0)="-", "O", IF(MOD($A50, H$1)=0, "X", "O") )
  )
)</f>
        <v>O</v>
      </c>
      <c r="I50" s="45" t="str">
        <f ca="1">IF(
  $A50=I$1,
  IF( ROW(I50)=2, "+", IF(COUNTIF($B50:H50,"X")=0, "+", "-") ),
  IF(
    $A50&lt;I$1,
    "O",
    IF( OFFSET(I$1, COLUMN(I50)-1, 0)="-", "O", IF(MOD($A50, I$1)=0, "X", "O") )
  )
)</f>
        <v>O</v>
      </c>
      <c r="J50" s="45" t="str">
        <f ca="1">IF(
  $A50=J$1,
  IF( ROW(J50)=2, "+", IF(COUNTIF($B50:I50,"X")=0, "+", "-") ),
  IF(
    $A50&lt;J$1,
    "O",
    IF( OFFSET(J$1, COLUMN(J50)-1, 0)="-", "O", IF(MOD($A50, J$1)=0, "X", "O") )
  )
)</f>
        <v>O</v>
      </c>
      <c r="K50" s="44" t="str">
        <f ca="1">IF(
  $A50=K$1,
  IF( ROW(K50)=2, "+", IF(COUNTIF($B50:J50,"X")=0, "+", "-") ),
  IF(
    $A50&lt;K$1,
    "O",
    IF( OFFSET(K$1, COLUMN(K50)-1, 0)="-", "O", IF(MOD($A50, K$1)=0, "X", "O") )
  )
)</f>
        <v>O</v>
      </c>
      <c r="L50" s="45" t="str">
        <f ca="1">IF(
  $A50=L$1,
  IF( ROW(L50)=2, "+", IF(COUNTIF($B50:K50,"X")=0, "+", "-") ),
  IF(
    $A50&lt;L$1,
    "O",
    IF( OFFSET(L$1, COLUMN(L50)-1, 0)="-", "O", IF(MOD($A50, L$1)=0, "X", "O") )
  )
)</f>
        <v>O</v>
      </c>
      <c r="M50" s="44" t="str">
        <f ca="1">IF(
  $A50=M$1,
  IF( ROW(M50)=2, "+", IF(COUNTIF($B50:L50,"X")=0, "+", "-") ),
  IF(
    $A50&lt;M$1,
    "O",
    IF( OFFSET(M$1, COLUMN(M50)-1, 0)="-", "O", IF(MOD($A50, M$1)=0, "X", "O") )
  )
)</f>
        <v>O</v>
      </c>
      <c r="N50" s="45" t="str">
        <f ca="1">IF(
  $A50=N$1,
  IF( ROW(N50)=2, "+", IF(COUNTIF($B50:M50,"X")=0, "+", "-") ),
  IF(
    $A50&lt;N$1,
    "O",
    IF( OFFSET(N$1, COLUMN(N50)-1, 0)="-", "O", IF(MOD($A50, N$1)=0, "X", "O") )
  )
)</f>
        <v>O</v>
      </c>
      <c r="O50" s="45" t="str">
        <f ca="1">IF(
  $A50=O$1,
  IF( ROW(O50)=2, "+", IF(COUNTIF($B50:N50,"X")=0, "+", "-") ),
  IF(
    $A50&lt;O$1,
    "O",
    IF( OFFSET(O$1, COLUMN(O50)-1, 0)="-", "O", IF(MOD($A50, O$1)=0, "X", "O") )
  )
)</f>
        <v>O</v>
      </c>
      <c r="P50" s="45" t="str">
        <f ca="1">IF(
  $A50=P$1,
  IF( ROW(P50)=2, "+", IF(COUNTIF($B50:O50,"X")=0, "+", "-") ),
  IF(
    $A50&lt;P$1,
    "O",
    IF( OFFSET(P$1, COLUMN(P50)-1, 0)="-", "O", IF(MOD($A50, P$1)=0, "X", "O") )
  )
)</f>
        <v>O</v>
      </c>
      <c r="Q50" s="44" t="str">
        <f ca="1">IF(
  $A50=Q$1,
  IF( ROW(Q50)=2, "+", IF(COUNTIF($B50:P50,"X")=0, "+", "-") ),
  IF(
    $A50&lt;Q$1,
    "O",
    IF( OFFSET(Q$1, COLUMN(Q50)-1, 0)="-", "O", IF(MOD($A50, Q$1)=0, "X", "O") )
  )
)</f>
        <v>O</v>
      </c>
      <c r="R50" s="45" t="str">
        <f ca="1">IF(
  $A50=R$1,
  IF( ROW(R50)=2, "+", IF(COUNTIF($B50:Q50,"X")=0, "+", "-") ),
  IF(
    $A50&lt;R$1,
    "O",
    IF( OFFSET(R$1, COLUMN(R50)-1, 0)="-", "O", IF(MOD($A50, R$1)=0, "X", "O") )
  )
)</f>
        <v>O</v>
      </c>
      <c r="S50" s="44" t="str">
        <f ca="1">IF(
  $A50=S$1,
  IF( ROW(S50)=2, "+", IF(COUNTIF($B50:R50,"X")=0, "+", "-") ),
  IF(
    $A50&lt;S$1,
    "O",
    IF( OFFSET(S$1, COLUMN(S50)-1, 0)="-", "O", IF(MOD($A50, S$1)=0, "X", "O") )
  )
)</f>
        <v>O</v>
      </c>
      <c r="T50" s="45" t="str">
        <f ca="1">IF(
  $A50=T$1,
  IF( ROW(T50)=2, "+", IF(COUNTIF($B50:S50,"X")=0, "+", "-") ),
  IF(
    $A50&lt;T$1,
    "O",
    IF( OFFSET(T$1, COLUMN(T50)-1, 0)="-", "O", IF(MOD($A50, T$1)=0, "X", "O") )
  )
)</f>
        <v>O</v>
      </c>
      <c r="U50" s="45" t="str">
        <f ca="1">IF(
  $A50=U$1,
  IF( ROW(U50)=2, "+", IF(COUNTIF($B50:T50,"X")=0, "+", "-") ),
  IF(
    $A50&lt;U$1,
    "O",
    IF( OFFSET(U$1, COLUMN(U50)-1, 0)="-", "O", IF(MOD($A50, U$1)=0, "X", "O") )
  )
)</f>
        <v>O</v>
      </c>
      <c r="V50" s="45" t="str">
        <f ca="1">IF(
  $A50=V$1,
  IF( ROW(V50)=2, "+", IF(COUNTIF($B50:U50,"X")=0, "+", "-") ),
  IF(
    $A50&lt;V$1,
    "O",
    IF( OFFSET(V$1, COLUMN(V50)-1, 0)="-", "O", IF(MOD($A50, V$1)=0, "X", "O") )
  )
)</f>
        <v>O</v>
      </c>
      <c r="W50" s="44" t="str">
        <f ca="1">IF(
  $A50=W$1,
  IF( ROW(W50)=2, "+", IF(COUNTIF($B50:V50,"X")=0, "+", "-") ),
  IF(
    $A50&lt;W$1,
    "O",
    IF( OFFSET(W$1, COLUMN(W50)-1, 0)="-", "O", IF(MOD($A50, W$1)=0, "X", "O") )
  )
)</f>
        <v>O</v>
      </c>
      <c r="X50" s="45" t="str">
        <f ca="1">IF(
  $A50=X$1,
  IF( ROW(X50)=2, "+", IF(COUNTIF($B50:W50,"X")=0, "+", "-") ),
  IF(
    $A50&lt;X$1,
    "O",
    IF( OFFSET(X$1, COLUMN(X50)-1, 0)="-", "O", IF(MOD($A50, X$1)=0, "X", "O") )
  )
)</f>
        <v>O</v>
      </c>
      <c r="Y50" s="45" t="str">
        <f ca="1">IF(
  $A50=Y$1,
  IF( ROW(Y50)=2, "+", IF(COUNTIF($B50:X50,"X")=0, "+", "-") ),
  IF(
    $A50&lt;Y$1,
    "O",
    IF( OFFSET(Y$1, COLUMN(Y50)-1, 0)="-", "O", IF(MOD($A50, Y$1)=0, "X", "O") )
  )
)</f>
        <v>O</v>
      </c>
      <c r="Z50" s="45" t="str">
        <f ca="1">IF(
  $A50=Z$1,
  IF( ROW(Z50)=2, "+", IF(COUNTIF($B50:Y50,"X")=0, "+", "-") ),
  IF(
    $A50&lt;Z$1,
    "O",
    IF( OFFSET(Z$1, COLUMN(Z50)-1, 0)="-", "O", IF(MOD($A50, Z$1)=0, "X", "O") )
  )
)</f>
        <v>O</v>
      </c>
      <c r="AA50" s="45" t="str">
        <f ca="1">IF(
  $A50=AA$1,
  IF( ROW(AA50)=2, "+", IF(COUNTIF($B50:Z50,"X")=0, "+", "-") ),
  IF(
    $A50&lt;AA$1,
    "O",
    IF( OFFSET(AA$1, COLUMN(AA50)-1, 0)="-", "O", IF(MOD($A50, AA$1)=0, "X", "O") )
  )
)</f>
        <v>O</v>
      </c>
      <c r="AB50" s="45" t="str">
        <f ca="1">IF(
  $A50=AB$1,
  IF( ROW(AB50)=2, "+", IF(COUNTIF($B50:AA50,"X")=0, "+", "-") ),
  IF(
    $A50&lt;AB$1,
    "O",
    IF( OFFSET(AB$1, COLUMN(AB50)-1, 0)="-", "O", IF(MOD($A50, AB$1)=0, "X", "O") )
  )
)</f>
        <v>O</v>
      </c>
      <c r="AC50" s="44" t="str">
        <f ca="1">IF(
  $A50=AC$1,
  IF( ROW(AC50)=2, "+", IF(COUNTIF($B50:AB50,"X")=0, "+", "-") ),
  IF(
    $A50&lt;AC$1,
    "O",
    IF( OFFSET(AC$1, COLUMN(AC50)-1, 0)="-", "O", IF(MOD($A50, AC$1)=0, "X", "O") )
  )
)</f>
        <v>O</v>
      </c>
      <c r="AD50" s="45" t="str">
        <f ca="1">IF(
  $A50=AD$1,
  IF( ROW(AD50)=2, "+", IF(COUNTIF($B50:AC50,"X")=0, "+", "-") ),
  IF(
    $A50&lt;AD$1,
    "O",
    IF( OFFSET(AD$1, COLUMN(AD50)-1, 0)="-", "O", IF(MOD($A50, AD$1)=0, "X", "O") )
  )
)</f>
        <v>O</v>
      </c>
      <c r="AE50" s="44" t="str">
        <f ca="1">IF(
  $A50=AE$1,
  IF( ROW(AE50)=2, "+", IF(COUNTIF($B50:AD50,"X")=0, "+", "-") ),
  IF(
    $A50&lt;AE$1,
    "O",
    IF( OFFSET(AE$1, COLUMN(AE50)-1, 0)="-", "O", IF(MOD($A50, AE$1)=0, "X", "O") )
  )
)</f>
        <v>O</v>
      </c>
      <c r="AF50" s="45" t="str">
        <f ca="1">IF(
  $A50=AF$1,
  IF( ROW(AF50)=2, "+", IF(COUNTIF($B50:AE50,"X")=0, "+", "-") ),
  IF(
    $A50&lt;AF$1,
    "O",
    IF( OFFSET(AF$1, COLUMN(AF50)-1, 0)="-", "O", IF(MOD($A50, AF$1)=0, "X", "O") )
  )
)</f>
        <v>O</v>
      </c>
      <c r="AG50" s="45" t="str">
        <f ca="1">IF(
  $A50=AG$1,
  IF( ROW(AG50)=2, "+", IF(COUNTIF($B50:AF50,"X")=0, "+", "-") ),
  IF(
    $A50&lt;AG$1,
    "O",
    IF( OFFSET(AG$1, COLUMN(AG50)-1, 0)="-", "O", IF(MOD($A50, AG$1)=0, "X", "O") )
  )
)</f>
        <v>O</v>
      </c>
      <c r="AH50" s="45" t="str">
        <f ca="1">IF(
  $A50=AH$1,
  IF( ROW(AH50)=2, "+", IF(COUNTIF($B50:AG50,"X")=0, "+", "-") ),
  IF(
    $A50&lt;AH$1,
    "O",
    IF( OFFSET(AH$1, COLUMN(AH50)-1, 0)="-", "O", IF(MOD($A50, AH$1)=0, "X", "O") )
  )
)</f>
        <v>O</v>
      </c>
      <c r="AI50" s="45" t="str">
        <f ca="1">IF(
  $A50=AI$1,
  IF( ROW(AI50)=2, "+", IF(COUNTIF($B50:AH50,"X")=0, "+", "-") ),
  IF(
    $A50&lt;AI$1,
    "O",
    IF( OFFSET(AI$1, COLUMN(AI50)-1, 0)="-", "O", IF(MOD($A50, AI$1)=0, "X", "O") )
  )
)</f>
        <v>O</v>
      </c>
      <c r="AJ50" s="45" t="str">
        <f ca="1">IF(
  $A50=AJ$1,
  IF( ROW(AJ50)=2, "+", IF(COUNTIF($B50:AI50,"X")=0, "+", "-") ),
  IF(
    $A50&lt;AJ$1,
    "O",
    IF( OFFSET(AJ$1, COLUMN(AJ50)-1, 0)="-", "O", IF(MOD($A50, AJ$1)=0, "X", "O") )
  )
)</f>
        <v>O</v>
      </c>
      <c r="AK50" s="44" t="str">
        <f ca="1">IF(
  $A50=AK$1,
  IF( ROW(AK50)=2, "+", IF(COUNTIF($B50:AJ50,"X")=0, "+", "-") ),
  IF(
    $A50&lt;AK$1,
    "O",
    IF( OFFSET(AK$1, COLUMN(AK50)-1, 0)="-", "O", IF(MOD($A50, AK$1)=0, "X", "O") )
  )
)</f>
        <v>O</v>
      </c>
      <c r="AL50" s="45" t="str">
        <f ca="1">IF(
  $A50=AL$1,
  IF( ROW(AL50)=2, "+", IF(COUNTIF($B50:AK50,"X")=0, "+", "-") ),
  IF(
    $A50&lt;AL$1,
    "O",
    IF( OFFSET(AL$1, COLUMN(AL50)-1, 0)="-", "O", IF(MOD($A50, AL$1)=0, "X", "O") )
  )
)</f>
        <v>O</v>
      </c>
      <c r="AM50" s="45" t="str">
        <f ca="1">IF(
  $A50=AM$1,
  IF( ROW(AM50)=2, "+", IF(COUNTIF($B50:AL50,"X")=0, "+", "-") ),
  IF(
    $A50&lt;AM$1,
    "O",
    IF( OFFSET(AM$1, COLUMN(AM50)-1, 0)="-", "O", IF(MOD($A50, AM$1)=0, "X", "O") )
  )
)</f>
        <v>O</v>
      </c>
      <c r="AN50" s="45" t="str">
        <f ca="1">IF(
  $A50=AN$1,
  IF( ROW(AN50)=2, "+", IF(COUNTIF($B50:AM50,"X")=0, "+", "-") ),
  IF(
    $A50&lt;AN$1,
    "O",
    IF( OFFSET(AN$1, COLUMN(AN50)-1, 0)="-", "O", IF(MOD($A50, AN$1)=0, "X", "O") )
  )
)</f>
        <v>O</v>
      </c>
      <c r="AO50" s="44" t="str">
        <f ca="1">IF(
  $A50=AO$1,
  IF( ROW(AO50)=2, "+", IF(COUNTIF($B50:AN50,"X")=0, "+", "-") ),
  IF(
    $A50&lt;AO$1,
    "O",
    IF( OFFSET(AO$1, COLUMN(AO50)-1, 0)="-", "O", IF(MOD($A50, AO$1)=0, "X", "O") )
  )
)</f>
        <v>O</v>
      </c>
      <c r="AP50" s="45" t="str">
        <f ca="1">IF(
  $A50=AP$1,
  IF( ROW(AP50)=2, "+", IF(COUNTIF($B50:AO50,"X")=0, "+", "-") ),
  IF(
    $A50&lt;AP$1,
    "O",
    IF( OFFSET(AP$1, COLUMN(AP50)-1, 0)="-", "O", IF(MOD($A50, AP$1)=0, "X", "O") )
  )
)</f>
        <v>O</v>
      </c>
      <c r="AQ50" s="44" t="str">
        <f ca="1">IF(
  $A50=AQ$1,
  IF( ROW(AQ50)=2, "+", IF(COUNTIF($B50:AP50,"X")=0, "+", "-") ),
  IF(
    $A50&lt;AQ$1,
    "O",
    IF( OFFSET(AQ$1, COLUMN(AQ50)-1, 0)="-", "O", IF(MOD($A50, AQ$1)=0, "X", "O") )
  )
)</f>
        <v>O</v>
      </c>
      <c r="AR50" s="45" t="str">
        <f ca="1">IF(
  $A50=AR$1,
  IF( ROW(AR50)=2, "+", IF(COUNTIF($B50:AQ50,"X")=0, "+", "-") ),
  IF(
    $A50&lt;AR$1,
    "O",
    IF( OFFSET(AR$1, COLUMN(AR50)-1, 0)="-", "O", IF(MOD($A50, AR$1)=0, "X", "O") )
  )
)</f>
        <v>O</v>
      </c>
      <c r="AS50" s="45" t="str">
        <f ca="1">IF(
  $A50=AS$1,
  IF( ROW(AS50)=2, "+", IF(COUNTIF($B50:AR50,"X")=0, "+", "-") ),
  IF(
    $A50&lt;AS$1,
    "O",
    IF( OFFSET(AS$1, COLUMN(AS50)-1, 0)="-", "O", IF(MOD($A50, AS$1)=0, "X", "O") )
  )
)</f>
        <v>O</v>
      </c>
      <c r="AT50" s="45" t="str">
        <f ca="1">IF(
  $A50=AT$1,
  IF( ROW(AT50)=2, "+", IF(COUNTIF($B50:AS50,"X")=0, "+", "-") ),
  IF(
    $A50&lt;AT$1,
    "O",
    IF( OFFSET(AT$1, COLUMN(AT50)-1, 0)="-", "O", IF(MOD($A50, AT$1)=0, "X", "O") )
  )
)</f>
        <v>O</v>
      </c>
      <c r="AU50" s="44" t="str">
        <f ca="1">IF(
  $A50=AU$1,
  IF( ROW(AU50)=2, "+", IF(COUNTIF($B50:AT50,"X")=0, "+", "-") ),
  IF(
    $A50&lt;AU$1,
    "O",
    IF( OFFSET(AU$1, COLUMN(AU50)-1, 0)="-", "O", IF(MOD($A50, AU$1)=0, "X", "O") )
  )
)</f>
        <v>O</v>
      </c>
      <c r="AV50" s="45" t="str">
        <f ca="1">IF(
  $A50=AV$1,
  IF( ROW(AV50)=2, "+", IF(COUNTIF($B50:AU50,"X")=0, "+", "-") ),
  IF(
    $A50&lt;AV$1,
    "O",
    IF( OFFSET(AV$1, COLUMN(AV50)-1, 0)="-", "O", IF(MOD($A50, AV$1)=0, "X", "O") )
  )
)</f>
        <v>O</v>
      </c>
      <c r="AW50" s="45" t="str">
        <f ca="1">IF(
  $A50=AW$1,
  IF( ROW(AW50)=2, "+", IF(COUNTIF($B50:AV50,"X")=0, "+", "-") ),
  IF(
    $A50&lt;AW$1,
    "O",
    IF( OFFSET(AW$1, COLUMN(AW50)-1, 0)="-", "O", IF(MOD($A50, AW$1)=0, "X", "O") )
  )
)</f>
        <v>O</v>
      </c>
      <c r="AX50" s="45" t="str">
        <f ca="1">IF(
  $A50=AX$1,
  IF( ROW(AX50)=2, "+", IF(COUNTIF($B50:AW50,"X")=0, "+", "-") ),
  IF(
    $A50&lt;AX$1,
    "O",
    IF( OFFSET(AX$1, COLUMN(AX50)-1, 0)="-", "O", IF(MOD($A50, AX$1)=0, "X", "O") )
  )
)</f>
        <v>-</v>
      </c>
      <c r="AY50" s="45" t="str">
        <f ca="1">IF(
  $A50=AY$1,
  IF( ROW(AY50)=2, "+", IF(COUNTIF($B50:AX50,"X")=0, "+", "-") ),
  IF(
    $A50&lt;AY$1,
    "O",
    IF( OFFSET(AY$1, COLUMN(AY50)-1, 0)="-", "O", IF(MOD($A50, AY$1)=0, "X", "O") )
  )
)</f>
        <v>O</v>
      </c>
      <c r="AZ50" s="45" t="str">
        <f ca="1">IF(
  $A50=AZ$1,
  IF( ROW(AZ50)=2, "+", IF(COUNTIF($B50:AY50,"X")=0, "+", "-") ),
  IF(
    $A50&lt;AZ$1,
    "O",
    IF( OFFSET(AZ$1, COLUMN(AZ50)-1, 0)="-", "O", IF(MOD($A50, AZ$1)=0, "X", "O") )
  )
)</f>
        <v>O</v>
      </c>
      <c r="BA50" s="45" t="str">
        <f ca="1">IF(
  $A50=BA$1,
  IF( ROW(BA50)=2, "+", IF(COUNTIF($B50:AZ50,"X")=0, "+", "-") ),
  IF(
    $A50&lt;BA$1,
    "O",
    IF( OFFSET(BA$1, COLUMN(BA50)-1, 0)="-", "O", IF(MOD($A50, BA$1)=0, "X", "O") )
  )
)</f>
        <v>O</v>
      </c>
      <c r="BB50" s="45" t="str">
        <f ca="1">IF(
  $A50=BB$1,
  IF( ROW(BB50)=2, "+", IF(COUNTIF($B50:BA50,"X")=0, "+", "-") ),
  IF(
    $A50&lt;BB$1,
    "O",
    IF( OFFSET(BB$1, COLUMN(BB50)-1, 0)="-", "O", IF(MOD($A50, BB$1)=0, "X", "O") )
  )
)</f>
        <v>O</v>
      </c>
      <c r="BC50" s="45" t="str">
        <f ca="1">IF(
  $A50=BC$1,
  IF( ROW(BC50)=2, "+", IF(COUNTIF($B50:BB50,"X")=0, "+", "-") ),
  IF(
    $A50&lt;BC$1,
    "O",
    IF( OFFSET(BC$1, COLUMN(BC50)-1, 0)="-", "O", IF(MOD($A50, BC$1)=0, "X", "O") )
  )
)</f>
        <v>O</v>
      </c>
      <c r="BD50" s="45" t="str">
        <f ca="1">IF(
  $A50=BD$1,
  IF( ROW(BD50)=2, "+", IF(COUNTIF($B50:BC50,"X")=0, "+", "-") ),
  IF(
    $A50&lt;BD$1,
    "O",
    IF( OFFSET(BD$1, COLUMN(BD50)-1, 0)="-", "O", IF(MOD($A50, BD$1)=0, "X", "O") )
  )
)</f>
        <v>O</v>
      </c>
      <c r="BE50" s="45" t="str">
        <f ca="1">IF(
  $A50=BE$1,
  IF( ROW(BE50)=2, "+", IF(COUNTIF($B50:BD50,"X")=0, "+", "-") ),
  IF(
    $A50&lt;BE$1,
    "O",
    IF( OFFSET(BE$1, COLUMN(BE50)-1, 0)="-", "O", IF(MOD($A50, BE$1)=0, "X", "O") )
  )
)</f>
        <v>O</v>
      </c>
      <c r="BF50" s="45" t="str">
        <f ca="1">IF(
  $A50=BF$1,
  IF( ROW(BF50)=2, "+", IF(COUNTIF($B50:BE50,"X")=0, "+", "-") ),
  IF(
    $A50&lt;BF$1,
    "O",
    IF( OFFSET(BF$1, COLUMN(BF50)-1, 0)="-", "O", IF(MOD($A50, BF$1)=0, "X", "O") )
  )
)</f>
        <v>O</v>
      </c>
      <c r="BG50" s="45" t="str">
        <f ca="1">IF(
  $A50=BG$1,
  IF( ROW(BG50)=2, "+", IF(COUNTIF($B50:BF50,"X")=0, "+", "-") ),
  IF(
    $A50&lt;BG$1,
    "O",
    IF( OFFSET(BG$1, COLUMN(BG50)-1, 0)="-", "O", IF(MOD($A50, BG$1)=0, "X", "O") )
  )
)</f>
        <v>O</v>
      </c>
      <c r="BH50" s="45" t="str">
        <f ca="1">IF(
  $A50=BH$1,
  IF( ROW(BH50)=2, "+", IF(COUNTIF($B50:BG50,"X")=0, "+", "-") ),
  IF(
    $A50&lt;BH$1,
    "O",
    IF( OFFSET(BH$1, COLUMN(BH50)-1, 0)="-", "O", IF(MOD($A50, BH$1)=0, "X", "O") )
  )
)</f>
        <v>O</v>
      </c>
    </row>
    <row r="51" spans="1:60" s="46" customFormat="1" x14ac:dyDescent="0.25">
      <c r="A51">
        <v>51</v>
      </c>
      <c r="B51" s="44" t="str">
        <f ca="1">IF(
  $A51=B$1,
  IF( ROW(B51)=2, "+", IF(COUNTIF(A51:$B51,"X")=0, "+", "-") ),
  IF(
    $A51&lt;B$1,
    "O",
    IF( OFFSET(B$1, COLUMN(B51)-1, 0)="-", "O", IF(MOD($A51, B$1)=0, "X", "O") )
  )
)</f>
        <v>O</v>
      </c>
      <c r="C51" s="44" t="str">
        <f ca="1">IF(
  $A51=C$1,
  IF( ROW(C51)=2, "+", IF(COUNTIF(B51:$B51,"X")=0, "+", "-") ),
  IF(
    $A51&lt;C$1,
    "O",
    IF( OFFSET(C$1, COLUMN(C51)-1, 0)="-", "O", IF(MOD($A51, C$1)=0, "X", "O") )
  )
)</f>
        <v>X</v>
      </c>
      <c r="D51" s="45" t="str">
        <f ca="1">IF(
  $A51=D$1,
  IF( ROW(D51)=2, "+", IF(COUNTIF($B51:C51,"X")=0, "+", "-") ),
  IF(
    $A51&lt;D$1,
    "O",
    IF( OFFSET(D$1, COLUMN(D51)-1, 0)="-", "O", IF(MOD($A51, D$1)=0, "X", "O") )
  )
)</f>
        <v>O</v>
      </c>
      <c r="E51" s="44" t="str">
        <f ca="1">IF(
  $A51=E$1,
  IF( ROW(E51)=2, "+", IF(COUNTIF($B51:D51,"X")=0, "+", "-") ),
  IF(
    $A51&lt;E$1,
    "O",
    IF( OFFSET(E$1, COLUMN(E51)-1, 0)="-", "O", IF(MOD($A51, E$1)=0, "X", "O") )
  )
)</f>
        <v>O</v>
      </c>
      <c r="F51" s="45" t="str">
        <f ca="1">IF(
  $A51=F$1,
  IF( ROW(F51)=2, "+", IF(COUNTIF($B51:E51,"X")=0, "+", "-") ),
  IF(
    $A51&lt;F$1,
    "O",
    IF( OFFSET(F$1, COLUMN(F51)-1, 0)="-", "O", IF(MOD($A51, F$1)=0, "X", "O") )
  )
)</f>
        <v>O</v>
      </c>
      <c r="G51" s="44" t="str">
        <f ca="1">IF(
  $A51=G$1,
  IF( ROW(G51)=2, "+", IF(COUNTIF($B51:F51,"X")=0, "+", "-") ),
  IF(
    $A51&lt;G$1,
    "O",
    IF( OFFSET(G$1, COLUMN(G51)-1, 0)="-", "O", IF(MOD($A51, G$1)=0, "X", "O") )
  )
)</f>
        <v>O</v>
      </c>
      <c r="H51" s="45" t="str">
        <f ca="1">IF(
  $A51=H$1,
  IF( ROW(H51)=2, "+", IF(COUNTIF($B51:G51,"X")=0, "+", "-") ),
  IF(
    $A51&lt;H$1,
    "O",
    IF( OFFSET(H$1, COLUMN(H51)-1, 0)="-", "O", IF(MOD($A51, H$1)=0, "X", "O") )
  )
)</f>
        <v>O</v>
      </c>
      <c r="I51" s="45" t="str">
        <f ca="1">IF(
  $A51=I$1,
  IF( ROW(I51)=2, "+", IF(COUNTIF($B51:H51,"X")=0, "+", "-") ),
  IF(
    $A51&lt;I$1,
    "O",
    IF( OFFSET(I$1, COLUMN(I51)-1, 0)="-", "O", IF(MOD($A51, I$1)=0, "X", "O") )
  )
)</f>
        <v>O</v>
      </c>
      <c r="J51" s="45" t="str">
        <f ca="1">IF(
  $A51=J$1,
  IF( ROW(J51)=2, "+", IF(COUNTIF($B51:I51,"X")=0, "+", "-") ),
  IF(
    $A51&lt;J$1,
    "O",
    IF( OFFSET(J$1, COLUMN(J51)-1, 0)="-", "O", IF(MOD($A51, J$1)=0, "X", "O") )
  )
)</f>
        <v>O</v>
      </c>
      <c r="K51" s="44" t="str">
        <f ca="1">IF(
  $A51=K$1,
  IF( ROW(K51)=2, "+", IF(COUNTIF($B51:J51,"X")=0, "+", "-") ),
  IF(
    $A51&lt;K$1,
    "O",
    IF( OFFSET(K$1, COLUMN(K51)-1, 0)="-", "O", IF(MOD($A51, K$1)=0, "X", "O") )
  )
)</f>
        <v>O</v>
      </c>
      <c r="L51" s="45" t="str">
        <f ca="1">IF(
  $A51=L$1,
  IF( ROW(L51)=2, "+", IF(COUNTIF($B51:K51,"X")=0, "+", "-") ),
  IF(
    $A51&lt;L$1,
    "O",
    IF( OFFSET(L$1, COLUMN(L51)-1, 0)="-", "O", IF(MOD($A51, L$1)=0, "X", "O") )
  )
)</f>
        <v>O</v>
      </c>
      <c r="M51" s="44" t="str">
        <f ca="1">IF(
  $A51=M$1,
  IF( ROW(M51)=2, "+", IF(COUNTIF($B51:L51,"X")=0, "+", "-") ),
  IF(
    $A51&lt;M$1,
    "O",
    IF( OFFSET(M$1, COLUMN(M51)-1, 0)="-", "O", IF(MOD($A51, M$1)=0, "X", "O") )
  )
)</f>
        <v>O</v>
      </c>
      <c r="N51" s="45" t="str">
        <f ca="1">IF(
  $A51=N$1,
  IF( ROW(N51)=2, "+", IF(COUNTIF($B51:M51,"X")=0, "+", "-") ),
  IF(
    $A51&lt;N$1,
    "O",
    IF( OFFSET(N$1, COLUMN(N51)-1, 0)="-", "O", IF(MOD($A51, N$1)=0, "X", "O") )
  )
)</f>
        <v>O</v>
      </c>
      <c r="O51" s="45" t="str">
        <f ca="1">IF(
  $A51=O$1,
  IF( ROW(O51)=2, "+", IF(COUNTIF($B51:N51,"X")=0, "+", "-") ),
  IF(
    $A51&lt;O$1,
    "O",
    IF( OFFSET(O$1, COLUMN(O51)-1, 0)="-", "O", IF(MOD($A51, O$1)=0, "X", "O") )
  )
)</f>
        <v>O</v>
      </c>
      <c r="P51" s="45" t="str">
        <f ca="1">IF(
  $A51=P$1,
  IF( ROW(P51)=2, "+", IF(COUNTIF($B51:O51,"X")=0, "+", "-") ),
  IF(
    $A51&lt;P$1,
    "O",
    IF( OFFSET(P$1, COLUMN(P51)-1, 0)="-", "O", IF(MOD($A51, P$1)=0, "X", "O") )
  )
)</f>
        <v>O</v>
      </c>
      <c r="Q51" s="44" t="str">
        <f ca="1">IF(
  $A51=Q$1,
  IF( ROW(Q51)=2, "+", IF(COUNTIF($B51:P51,"X")=0, "+", "-") ),
  IF(
    $A51&lt;Q$1,
    "O",
    IF( OFFSET(Q$1, COLUMN(Q51)-1, 0)="-", "O", IF(MOD($A51, Q$1)=0, "X", "O") )
  )
)</f>
        <v>X</v>
      </c>
      <c r="R51" s="45" t="str">
        <f ca="1">IF(
  $A51=R$1,
  IF( ROW(R51)=2, "+", IF(COUNTIF($B51:Q51,"X")=0, "+", "-") ),
  IF(
    $A51&lt;R$1,
    "O",
    IF( OFFSET(R$1, COLUMN(R51)-1, 0)="-", "O", IF(MOD($A51, R$1)=0, "X", "O") )
  )
)</f>
        <v>O</v>
      </c>
      <c r="S51" s="44" t="str">
        <f ca="1">IF(
  $A51=S$1,
  IF( ROW(S51)=2, "+", IF(COUNTIF($B51:R51,"X")=0, "+", "-") ),
  IF(
    $A51&lt;S$1,
    "O",
    IF( OFFSET(S$1, COLUMN(S51)-1, 0)="-", "O", IF(MOD($A51, S$1)=0, "X", "O") )
  )
)</f>
        <v>O</v>
      </c>
      <c r="T51" s="45" t="str">
        <f ca="1">IF(
  $A51=T$1,
  IF( ROW(T51)=2, "+", IF(COUNTIF($B51:S51,"X")=0, "+", "-") ),
  IF(
    $A51&lt;T$1,
    "O",
    IF( OFFSET(T$1, COLUMN(T51)-1, 0)="-", "O", IF(MOD($A51, T$1)=0, "X", "O") )
  )
)</f>
        <v>O</v>
      </c>
      <c r="U51" s="45" t="str">
        <f ca="1">IF(
  $A51=U$1,
  IF( ROW(U51)=2, "+", IF(COUNTIF($B51:T51,"X")=0, "+", "-") ),
  IF(
    $A51&lt;U$1,
    "O",
    IF( OFFSET(U$1, COLUMN(U51)-1, 0)="-", "O", IF(MOD($A51, U$1)=0, "X", "O") )
  )
)</f>
        <v>O</v>
      </c>
      <c r="V51" s="45" t="str">
        <f ca="1">IF(
  $A51=V$1,
  IF( ROW(V51)=2, "+", IF(COUNTIF($B51:U51,"X")=0, "+", "-") ),
  IF(
    $A51&lt;V$1,
    "O",
    IF( OFFSET(V$1, COLUMN(V51)-1, 0)="-", "O", IF(MOD($A51, V$1)=0, "X", "O") )
  )
)</f>
        <v>O</v>
      </c>
      <c r="W51" s="44" t="str">
        <f ca="1">IF(
  $A51=W$1,
  IF( ROW(W51)=2, "+", IF(COUNTIF($B51:V51,"X")=0, "+", "-") ),
  IF(
    $A51&lt;W$1,
    "O",
    IF( OFFSET(W$1, COLUMN(W51)-1, 0)="-", "O", IF(MOD($A51, W$1)=0, "X", "O") )
  )
)</f>
        <v>O</v>
      </c>
      <c r="X51" s="45" t="str">
        <f ca="1">IF(
  $A51=X$1,
  IF( ROW(X51)=2, "+", IF(COUNTIF($B51:W51,"X")=0, "+", "-") ),
  IF(
    $A51&lt;X$1,
    "O",
    IF( OFFSET(X$1, COLUMN(X51)-1, 0)="-", "O", IF(MOD($A51, X$1)=0, "X", "O") )
  )
)</f>
        <v>O</v>
      </c>
      <c r="Y51" s="45" t="str">
        <f ca="1">IF(
  $A51=Y$1,
  IF( ROW(Y51)=2, "+", IF(COUNTIF($B51:X51,"X")=0, "+", "-") ),
  IF(
    $A51&lt;Y$1,
    "O",
    IF( OFFSET(Y$1, COLUMN(Y51)-1, 0)="-", "O", IF(MOD($A51, Y$1)=0, "X", "O") )
  )
)</f>
        <v>O</v>
      </c>
      <c r="Z51" s="45" t="str">
        <f ca="1">IF(
  $A51=Z$1,
  IF( ROW(Z51)=2, "+", IF(COUNTIF($B51:Y51,"X")=0, "+", "-") ),
  IF(
    $A51&lt;Z$1,
    "O",
    IF( OFFSET(Z$1, COLUMN(Z51)-1, 0)="-", "O", IF(MOD($A51, Z$1)=0, "X", "O") )
  )
)</f>
        <v>O</v>
      </c>
      <c r="AA51" s="45" t="str">
        <f ca="1">IF(
  $A51=AA$1,
  IF( ROW(AA51)=2, "+", IF(COUNTIF($B51:Z51,"X")=0, "+", "-") ),
  IF(
    $A51&lt;AA$1,
    "O",
    IF( OFFSET(AA$1, COLUMN(AA51)-1, 0)="-", "O", IF(MOD($A51, AA$1)=0, "X", "O") )
  )
)</f>
        <v>O</v>
      </c>
      <c r="AB51" s="45" t="str">
        <f ca="1">IF(
  $A51=AB$1,
  IF( ROW(AB51)=2, "+", IF(COUNTIF($B51:AA51,"X")=0, "+", "-") ),
  IF(
    $A51&lt;AB$1,
    "O",
    IF( OFFSET(AB$1, COLUMN(AB51)-1, 0)="-", "O", IF(MOD($A51, AB$1)=0, "X", "O") )
  )
)</f>
        <v>O</v>
      </c>
      <c r="AC51" s="44" t="str">
        <f ca="1">IF(
  $A51=AC$1,
  IF( ROW(AC51)=2, "+", IF(COUNTIF($B51:AB51,"X")=0, "+", "-") ),
  IF(
    $A51&lt;AC$1,
    "O",
    IF( OFFSET(AC$1, COLUMN(AC51)-1, 0)="-", "O", IF(MOD($A51, AC$1)=0, "X", "O") )
  )
)</f>
        <v>O</v>
      </c>
      <c r="AD51" s="45" t="str">
        <f ca="1">IF(
  $A51=AD$1,
  IF( ROW(AD51)=2, "+", IF(COUNTIF($B51:AC51,"X")=0, "+", "-") ),
  IF(
    $A51&lt;AD$1,
    "O",
    IF( OFFSET(AD$1, COLUMN(AD51)-1, 0)="-", "O", IF(MOD($A51, AD$1)=0, "X", "O") )
  )
)</f>
        <v>O</v>
      </c>
      <c r="AE51" s="44" t="str">
        <f ca="1">IF(
  $A51=AE$1,
  IF( ROW(AE51)=2, "+", IF(COUNTIF($B51:AD51,"X")=0, "+", "-") ),
  IF(
    $A51&lt;AE$1,
    "O",
    IF( OFFSET(AE$1, COLUMN(AE51)-1, 0)="-", "O", IF(MOD($A51, AE$1)=0, "X", "O") )
  )
)</f>
        <v>O</v>
      </c>
      <c r="AF51" s="45" t="str">
        <f ca="1">IF(
  $A51=AF$1,
  IF( ROW(AF51)=2, "+", IF(COUNTIF($B51:AE51,"X")=0, "+", "-") ),
  IF(
    $A51&lt;AF$1,
    "O",
    IF( OFFSET(AF$1, COLUMN(AF51)-1, 0)="-", "O", IF(MOD($A51, AF$1)=0, "X", "O") )
  )
)</f>
        <v>O</v>
      </c>
      <c r="AG51" s="45" t="str">
        <f ca="1">IF(
  $A51=AG$1,
  IF( ROW(AG51)=2, "+", IF(COUNTIF($B51:AF51,"X")=0, "+", "-") ),
  IF(
    $A51&lt;AG$1,
    "O",
    IF( OFFSET(AG$1, COLUMN(AG51)-1, 0)="-", "O", IF(MOD($A51, AG$1)=0, "X", "O") )
  )
)</f>
        <v>O</v>
      </c>
      <c r="AH51" s="45" t="str">
        <f ca="1">IF(
  $A51=AH$1,
  IF( ROW(AH51)=2, "+", IF(COUNTIF($B51:AG51,"X")=0, "+", "-") ),
  IF(
    $A51&lt;AH$1,
    "O",
    IF( OFFSET(AH$1, COLUMN(AH51)-1, 0)="-", "O", IF(MOD($A51, AH$1)=0, "X", "O") )
  )
)</f>
        <v>O</v>
      </c>
      <c r="AI51" s="45" t="str">
        <f ca="1">IF(
  $A51=AI$1,
  IF( ROW(AI51)=2, "+", IF(COUNTIF($B51:AH51,"X")=0, "+", "-") ),
  IF(
    $A51&lt;AI$1,
    "O",
    IF( OFFSET(AI$1, COLUMN(AI51)-1, 0)="-", "O", IF(MOD($A51, AI$1)=0, "X", "O") )
  )
)</f>
        <v>O</v>
      </c>
      <c r="AJ51" s="45" t="str">
        <f ca="1">IF(
  $A51=AJ$1,
  IF( ROW(AJ51)=2, "+", IF(COUNTIF($B51:AI51,"X")=0, "+", "-") ),
  IF(
    $A51&lt;AJ$1,
    "O",
    IF( OFFSET(AJ$1, COLUMN(AJ51)-1, 0)="-", "O", IF(MOD($A51, AJ$1)=0, "X", "O") )
  )
)</f>
        <v>O</v>
      </c>
      <c r="AK51" s="44" t="str">
        <f ca="1">IF(
  $A51=AK$1,
  IF( ROW(AK51)=2, "+", IF(COUNTIF($B51:AJ51,"X")=0, "+", "-") ),
  IF(
    $A51&lt;AK$1,
    "O",
    IF( OFFSET(AK$1, COLUMN(AK51)-1, 0)="-", "O", IF(MOD($A51, AK$1)=0, "X", "O") )
  )
)</f>
        <v>O</v>
      </c>
      <c r="AL51" s="45" t="str">
        <f ca="1">IF(
  $A51=AL$1,
  IF( ROW(AL51)=2, "+", IF(COUNTIF($B51:AK51,"X")=0, "+", "-") ),
  IF(
    $A51&lt;AL$1,
    "O",
    IF( OFFSET(AL$1, COLUMN(AL51)-1, 0)="-", "O", IF(MOD($A51, AL$1)=0, "X", "O") )
  )
)</f>
        <v>O</v>
      </c>
      <c r="AM51" s="45" t="str">
        <f ca="1">IF(
  $A51=AM$1,
  IF( ROW(AM51)=2, "+", IF(COUNTIF($B51:AL51,"X")=0, "+", "-") ),
  IF(
    $A51&lt;AM$1,
    "O",
    IF( OFFSET(AM$1, COLUMN(AM51)-1, 0)="-", "O", IF(MOD($A51, AM$1)=0, "X", "O") )
  )
)</f>
        <v>O</v>
      </c>
      <c r="AN51" s="45" t="str">
        <f ca="1">IF(
  $A51=AN$1,
  IF( ROW(AN51)=2, "+", IF(COUNTIF($B51:AM51,"X")=0, "+", "-") ),
  IF(
    $A51&lt;AN$1,
    "O",
    IF( OFFSET(AN$1, COLUMN(AN51)-1, 0)="-", "O", IF(MOD($A51, AN$1)=0, "X", "O") )
  )
)</f>
        <v>O</v>
      </c>
      <c r="AO51" s="44" t="str">
        <f ca="1">IF(
  $A51=AO$1,
  IF( ROW(AO51)=2, "+", IF(COUNTIF($B51:AN51,"X")=0, "+", "-") ),
  IF(
    $A51&lt;AO$1,
    "O",
    IF( OFFSET(AO$1, COLUMN(AO51)-1, 0)="-", "O", IF(MOD($A51, AO$1)=0, "X", "O") )
  )
)</f>
        <v>O</v>
      </c>
      <c r="AP51" s="45" t="str">
        <f ca="1">IF(
  $A51=AP$1,
  IF( ROW(AP51)=2, "+", IF(COUNTIF($B51:AO51,"X")=0, "+", "-") ),
  IF(
    $A51&lt;AP$1,
    "O",
    IF( OFFSET(AP$1, COLUMN(AP51)-1, 0)="-", "O", IF(MOD($A51, AP$1)=0, "X", "O") )
  )
)</f>
        <v>O</v>
      </c>
      <c r="AQ51" s="44" t="str">
        <f ca="1">IF(
  $A51=AQ$1,
  IF( ROW(AQ51)=2, "+", IF(COUNTIF($B51:AP51,"X")=0, "+", "-") ),
  IF(
    $A51&lt;AQ$1,
    "O",
    IF( OFFSET(AQ$1, COLUMN(AQ51)-1, 0)="-", "O", IF(MOD($A51, AQ$1)=0, "X", "O") )
  )
)</f>
        <v>O</v>
      </c>
      <c r="AR51" s="45" t="str">
        <f ca="1">IF(
  $A51=AR$1,
  IF( ROW(AR51)=2, "+", IF(COUNTIF($B51:AQ51,"X")=0, "+", "-") ),
  IF(
    $A51&lt;AR$1,
    "O",
    IF( OFFSET(AR$1, COLUMN(AR51)-1, 0)="-", "O", IF(MOD($A51, AR$1)=0, "X", "O") )
  )
)</f>
        <v>O</v>
      </c>
      <c r="AS51" s="45" t="str">
        <f ca="1">IF(
  $A51=AS$1,
  IF( ROW(AS51)=2, "+", IF(COUNTIF($B51:AR51,"X")=0, "+", "-") ),
  IF(
    $A51&lt;AS$1,
    "O",
    IF( OFFSET(AS$1, COLUMN(AS51)-1, 0)="-", "O", IF(MOD($A51, AS$1)=0, "X", "O") )
  )
)</f>
        <v>O</v>
      </c>
      <c r="AT51" s="45" t="str">
        <f ca="1">IF(
  $A51=AT$1,
  IF( ROW(AT51)=2, "+", IF(COUNTIF($B51:AS51,"X")=0, "+", "-") ),
  IF(
    $A51&lt;AT$1,
    "O",
    IF( OFFSET(AT$1, COLUMN(AT51)-1, 0)="-", "O", IF(MOD($A51, AT$1)=0, "X", "O") )
  )
)</f>
        <v>O</v>
      </c>
      <c r="AU51" s="44" t="str">
        <f ca="1">IF(
  $A51=AU$1,
  IF( ROW(AU51)=2, "+", IF(COUNTIF($B51:AT51,"X")=0, "+", "-") ),
  IF(
    $A51&lt;AU$1,
    "O",
    IF( OFFSET(AU$1, COLUMN(AU51)-1, 0)="-", "O", IF(MOD($A51, AU$1)=0, "X", "O") )
  )
)</f>
        <v>O</v>
      </c>
      <c r="AV51" s="45" t="str">
        <f ca="1">IF(
  $A51=AV$1,
  IF( ROW(AV51)=2, "+", IF(COUNTIF($B51:AU51,"X")=0, "+", "-") ),
  IF(
    $A51&lt;AV$1,
    "O",
    IF( OFFSET(AV$1, COLUMN(AV51)-1, 0)="-", "O", IF(MOD($A51, AV$1)=0, "X", "O") )
  )
)</f>
        <v>O</v>
      </c>
      <c r="AW51" s="45" t="str">
        <f ca="1">IF(
  $A51=AW$1,
  IF( ROW(AW51)=2, "+", IF(COUNTIF($B51:AV51,"X")=0, "+", "-") ),
  IF(
    $A51&lt;AW$1,
    "O",
    IF( OFFSET(AW$1, COLUMN(AW51)-1, 0)="-", "O", IF(MOD($A51, AW$1)=0, "X", "O") )
  )
)</f>
        <v>O</v>
      </c>
      <c r="AX51" s="45" t="str">
        <f ca="1">IF(
  $A51=AX$1,
  IF( ROW(AX51)=2, "+", IF(COUNTIF($B51:AW51,"X")=0, "+", "-") ),
  IF(
    $A51&lt;AX$1,
    "O",
    IF( OFFSET(AX$1, COLUMN(AX51)-1, 0)="-", "O", IF(MOD($A51, AX$1)=0, "X", "O") )
  )
)</f>
        <v>O</v>
      </c>
      <c r="AY51" s="45" t="str">
        <f ca="1">IF(
  $A51=AY$1,
  IF( ROW(AY51)=2, "+", IF(COUNTIF($B51:AX51,"X")=0, "+", "-") ),
  IF(
    $A51&lt;AY$1,
    "O",
    IF( OFFSET(AY$1, COLUMN(AY51)-1, 0)="-", "O", IF(MOD($A51, AY$1)=0, "X", "O") )
  )
)</f>
        <v>-</v>
      </c>
      <c r="AZ51" s="45" t="str">
        <f ca="1">IF(
  $A51=AZ$1,
  IF( ROW(AZ51)=2, "+", IF(COUNTIF($B51:AY51,"X")=0, "+", "-") ),
  IF(
    $A51&lt;AZ$1,
    "O",
    IF( OFFSET(AZ$1, COLUMN(AZ51)-1, 0)="-", "O", IF(MOD($A51, AZ$1)=0, "X", "O") )
  )
)</f>
        <v>O</v>
      </c>
      <c r="BA51" s="45" t="str">
        <f ca="1">IF(
  $A51=BA$1,
  IF( ROW(BA51)=2, "+", IF(COUNTIF($B51:AZ51,"X")=0, "+", "-") ),
  IF(
    $A51&lt;BA$1,
    "O",
    IF( OFFSET(BA$1, COLUMN(BA51)-1, 0)="-", "O", IF(MOD($A51, BA$1)=0, "X", "O") )
  )
)</f>
        <v>O</v>
      </c>
      <c r="BB51" s="45" t="str">
        <f ca="1">IF(
  $A51=BB$1,
  IF( ROW(BB51)=2, "+", IF(COUNTIF($B51:BA51,"X")=0, "+", "-") ),
  IF(
    $A51&lt;BB$1,
    "O",
    IF( OFFSET(BB$1, COLUMN(BB51)-1, 0)="-", "O", IF(MOD($A51, BB$1)=0, "X", "O") )
  )
)</f>
        <v>O</v>
      </c>
      <c r="BC51" s="45" t="str">
        <f ca="1">IF(
  $A51=BC$1,
  IF( ROW(BC51)=2, "+", IF(COUNTIF($B51:BB51,"X")=0, "+", "-") ),
  IF(
    $A51&lt;BC$1,
    "O",
    IF( OFFSET(BC$1, COLUMN(BC51)-1, 0)="-", "O", IF(MOD($A51, BC$1)=0, "X", "O") )
  )
)</f>
        <v>O</v>
      </c>
      <c r="BD51" s="45" t="str">
        <f ca="1">IF(
  $A51=BD$1,
  IF( ROW(BD51)=2, "+", IF(COUNTIF($B51:BC51,"X")=0, "+", "-") ),
  IF(
    $A51&lt;BD$1,
    "O",
    IF( OFFSET(BD$1, COLUMN(BD51)-1, 0)="-", "O", IF(MOD($A51, BD$1)=0, "X", "O") )
  )
)</f>
        <v>O</v>
      </c>
      <c r="BE51" s="45" t="str">
        <f ca="1">IF(
  $A51=BE$1,
  IF( ROW(BE51)=2, "+", IF(COUNTIF($B51:BD51,"X")=0, "+", "-") ),
  IF(
    $A51&lt;BE$1,
    "O",
    IF( OFFSET(BE$1, COLUMN(BE51)-1, 0)="-", "O", IF(MOD($A51, BE$1)=0, "X", "O") )
  )
)</f>
        <v>O</v>
      </c>
      <c r="BF51" s="45" t="str">
        <f ca="1">IF(
  $A51=BF$1,
  IF( ROW(BF51)=2, "+", IF(COUNTIF($B51:BE51,"X")=0, "+", "-") ),
  IF(
    $A51&lt;BF$1,
    "O",
    IF( OFFSET(BF$1, COLUMN(BF51)-1, 0)="-", "O", IF(MOD($A51, BF$1)=0, "X", "O") )
  )
)</f>
        <v>O</v>
      </c>
      <c r="BG51" s="45" t="str">
        <f ca="1">IF(
  $A51=BG$1,
  IF( ROW(BG51)=2, "+", IF(COUNTIF($B51:BF51,"X")=0, "+", "-") ),
  IF(
    $A51&lt;BG$1,
    "O",
    IF( OFFSET(BG$1, COLUMN(BG51)-1, 0)="-", "O", IF(MOD($A51, BG$1)=0, "X", "O") )
  )
)</f>
        <v>O</v>
      </c>
      <c r="BH51" s="45" t="str">
        <f ca="1">IF(
  $A51=BH$1,
  IF( ROW(BH51)=2, "+", IF(COUNTIF($B51:BG51,"X")=0, "+", "-") ),
  IF(
    $A51&lt;BH$1,
    "O",
    IF( OFFSET(BH$1, COLUMN(BH51)-1, 0)="-", "O", IF(MOD($A51, BH$1)=0, "X", "O") )
  )
)</f>
        <v>O</v>
      </c>
    </row>
    <row r="52" spans="1:60" s="46" customFormat="1" x14ac:dyDescent="0.25">
      <c r="A52">
        <v>52</v>
      </c>
      <c r="B52" s="44" t="str">
        <f ca="1">IF(
  $A52=B$1,
  IF( ROW(B52)=2, "+", IF(COUNTIF(A52:$B52,"X")=0, "+", "-") ),
  IF(
    $A52&lt;B$1,
    "O",
    IF( OFFSET(B$1, COLUMN(B52)-1, 0)="-", "O", IF(MOD($A52, B$1)=0, "X", "O") )
  )
)</f>
        <v>X</v>
      </c>
      <c r="C52" s="44" t="str">
        <f ca="1">IF(
  $A52=C$1,
  IF( ROW(C52)=2, "+", IF(COUNTIF(B52:$B52,"X")=0, "+", "-") ),
  IF(
    $A52&lt;C$1,
    "O",
    IF( OFFSET(C$1, COLUMN(C52)-1, 0)="-", "O", IF(MOD($A52, C$1)=0, "X", "O") )
  )
)</f>
        <v>O</v>
      </c>
      <c r="D52" s="45" t="str">
        <f ca="1">IF(
  $A52=D$1,
  IF( ROW(D52)=2, "+", IF(COUNTIF($B52:C52,"X")=0, "+", "-") ),
  IF(
    $A52&lt;D$1,
    "O",
    IF( OFFSET(D$1, COLUMN(D52)-1, 0)="-", "O", IF(MOD($A52, D$1)=0, "X", "O") )
  )
)</f>
        <v>O</v>
      </c>
      <c r="E52" s="44" t="str">
        <f ca="1">IF(
  $A52=E$1,
  IF( ROW(E52)=2, "+", IF(COUNTIF($B52:D52,"X")=0, "+", "-") ),
  IF(
    $A52&lt;E$1,
    "O",
    IF( OFFSET(E$1, COLUMN(E52)-1, 0)="-", "O", IF(MOD($A52, E$1)=0, "X", "O") )
  )
)</f>
        <v>O</v>
      </c>
      <c r="F52" s="45" t="str">
        <f ca="1">IF(
  $A52=F$1,
  IF( ROW(F52)=2, "+", IF(COUNTIF($B52:E52,"X")=0, "+", "-") ),
  IF(
    $A52&lt;F$1,
    "O",
    IF( OFFSET(F$1, COLUMN(F52)-1, 0)="-", "O", IF(MOD($A52, F$1)=0, "X", "O") )
  )
)</f>
        <v>O</v>
      </c>
      <c r="G52" s="44" t="str">
        <f ca="1">IF(
  $A52=G$1,
  IF( ROW(G52)=2, "+", IF(COUNTIF($B52:F52,"X")=0, "+", "-") ),
  IF(
    $A52&lt;G$1,
    "O",
    IF( OFFSET(G$1, COLUMN(G52)-1, 0)="-", "O", IF(MOD($A52, G$1)=0, "X", "O") )
  )
)</f>
        <v>O</v>
      </c>
      <c r="H52" s="45" t="str">
        <f ca="1">IF(
  $A52=H$1,
  IF( ROW(H52)=2, "+", IF(COUNTIF($B52:G52,"X")=0, "+", "-") ),
  IF(
    $A52&lt;H$1,
    "O",
    IF( OFFSET(H$1, COLUMN(H52)-1, 0)="-", "O", IF(MOD($A52, H$1)=0, "X", "O") )
  )
)</f>
        <v>O</v>
      </c>
      <c r="I52" s="45" t="str">
        <f ca="1">IF(
  $A52=I$1,
  IF( ROW(I52)=2, "+", IF(COUNTIF($B52:H52,"X")=0, "+", "-") ),
  IF(
    $A52&lt;I$1,
    "O",
    IF( OFFSET(I$1, COLUMN(I52)-1, 0)="-", "O", IF(MOD($A52, I$1)=0, "X", "O") )
  )
)</f>
        <v>O</v>
      </c>
      <c r="J52" s="45" t="str">
        <f ca="1">IF(
  $A52=J$1,
  IF( ROW(J52)=2, "+", IF(COUNTIF($B52:I52,"X")=0, "+", "-") ),
  IF(
    $A52&lt;J$1,
    "O",
    IF( OFFSET(J$1, COLUMN(J52)-1, 0)="-", "O", IF(MOD($A52, J$1)=0, "X", "O") )
  )
)</f>
        <v>O</v>
      </c>
      <c r="K52" s="44" t="str">
        <f ca="1">IF(
  $A52=K$1,
  IF( ROW(K52)=2, "+", IF(COUNTIF($B52:J52,"X")=0, "+", "-") ),
  IF(
    $A52&lt;K$1,
    "O",
    IF( OFFSET(K$1, COLUMN(K52)-1, 0)="-", "O", IF(MOD($A52, K$1)=0, "X", "O") )
  )
)</f>
        <v>O</v>
      </c>
      <c r="L52" s="45" t="str">
        <f ca="1">IF(
  $A52=L$1,
  IF( ROW(L52)=2, "+", IF(COUNTIF($B52:K52,"X")=0, "+", "-") ),
  IF(
    $A52&lt;L$1,
    "O",
    IF( OFFSET(L$1, COLUMN(L52)-1, 0)="-", "O", IF(MOD($A52, L$1)=0, "X", "O") )
  )
)</f>
        <v>O</v>
      </c>
      <c r="M52" s="44" t="str">
        <f ca="1">IF(
  $A52=M$1,
  IF( ROW(M52)=2, "+", IF(COUNTIF($B52:L52,"X")=0, "+", "-") ),
  IF(
    $A52&lt;M$1,
    "O",
    IF( OFFSET(M$1, COLUMN(M52)-1, 0)="-", "O", IF(MOD($A52, M$1)=0, "X", "O") )
  )
)</f>
        <v>X</v>
      </c>
      <c r="N52" s="45" t="str">
        <f ca="1">IF(
  $A52=N$1,
  IF( ROW(N52)=2, "+", IF(COUNTIF($B52:M52,"X")=0, "+", "-") ),
  IF(
    $A52&lt;N$1,
    "O",
    IF( OFFSET(N$1, COLUMN(N52)-1, 0)="-", "O", IF(MOD($A52, N$1)=0, "X", "O") )
  )
)</f>
        <v>O</v>
      </c>
      <c r="O52" s="45" t="str">
        <f ca="1">IF(
  $A52=O$1,
  IF( ROW(O52)=2, "+", IF(COUNTIF($B52:N52,"X")=0, "+", "-") ),
  IF(
    $A52&lt;O$1,
    "O",
    IF( OFFSET(O$1, COLUMN(O52)-1, 0)="-", "O", IF(MOD($A52, O$1)=0, "X", "O") )
  )
)</f>
        <v>O</v>
      </c>
      <c r="P52" s="45" t="str">
        <f ca="1">IF(
  $A52=P$1,
  IF( ROW(P52)=2, "+", IF(COUNTIF($B52:O52,"X")=0, "+", "-") ),
  IF(
    $A52&lt;P$1,
    "O",
    IF( OFFSET(P$1, COLUMN(P52)-1, 0)="-", "O", IF(MOD($A52, P$1)=0, "X", "O") )
  )
)</f>
        <v>O</v>
      </c>
      <c r="Q52" s="44" t="str">
        <f ca="1">IF(
  $A52=Q$1,
  IF( ROW(Q52)=2, "+", IF(COUNTIF($B52:P52,"X")=0, "+", "-") ),
  IF(
    $A52&lt;Q$1,
    "O",
    IF( OFFSET(Q$1, COLUMN(Q52)-1, 0)="-", "O", IF(MOD($A52, Q$1)=0, "X", "O") )
  )
)</f>
        <v>O</v>
      </c>
      <c r="R52" s="45" t="str">
        <f ca="1">IF(
  $A52=R$1,
  IF( ROW(R52)=2, "+", IF(COUNTIF($B52:Q52,"X")=0, "+", "-") ),
  IF(
    $A52&lt;R$1,
    "O",
    IF( OFFSET(R$1, COLUMN(R52)-1, 0)="-", "O", IF(MOD($A52, R$1)=0, "X", "O") )
  )
)</f>
        <v>O</v>
      </c>
      <c r="S52" s="44" t="str">
        <f ca="1">IF(
  $A52=S$1,
  IF( ROW(S52)=2, "+", IF(COUNTIF($B52:R52,"X")=0, "+", "-") ),
  IF(
    $A52&lt;S$1,
    "O",
    IF( OFFSET(S$1, COLUMN(S52)-1, 0)="-", "O", IF(MOD($A52, S$1)=0, "X", "O") )
  )
)</f>
        <v>O</v>
      </c>
      <c r="T52" s="45" t="str">
        <f ca="1">IF(
  $A52=T$1,
  IF( ROW(T52)=2, "+", IF(COUNTIF($B52:S52,"X")=0, "+", "-") ),
  IF(
    $A52&lt;T$1,
    "O",
    IF( OFFSET(T$1, COLUMN(T52)-1, 0)="-", "O", IF(MOD($A52, T$1)=0, "X", "O") )
  )
)</f>
        <v>O</v>
      </c>
      <c r="U52" s="45" t="str">
        <f ca="1">IF(
  $A52=U$1,
  IF( ROW(U52)=2, "+", IF(COUNTIF($B52:T52,"X")=0, "+", "-") ),
  IF(
    $A52&lt;U$1,
    "O",
    IF( OFFSET(U$1, COLUMN(U52)-1, 0)="-", "O", IF(MOD($A52, U$1)=0, "X", "O") )
  )
)</f>
        <v>O</v>
      </c>
      <c r="V52" s="45" t="str">
        <f ca="1">IF(
  $A52=V$1,
  IF( ROW(V52)=2, "+", IF(COUNTIF($B52:U52,"X")=0, "+", "-") ),
  IF(
    $A52&lt;V$1,
    "O",
    IF( OFFSET(V$1, COLUMN(V52)-1, 0)="-", "O", IF(MOD($A52, V$1)=0, "X", "O") )
  )
)</f>
        <v>O</v>
      </c>
      <c r="W52" s="44" t="str">
        <f ca="1">IF(
  $A52=W$1,
  IF( ROW(W52)=2, "+", IF(COUNTIF($B52:V52,"X")=0, "+", "-") ),
  IF(
    $A52&lt;W$1,
    "O",
    IF( OFFSET(W$1, COLUMN(W52)-1, 0)="-", "O", IF(MOD($A52, W$1)=0, "X", "O") )
  )
)</f>
        <v>O</v>
      </c>
      <c r="X52" s="45" t="str">
        <f ca="1">IF(
  $A52=X$1,
  IF( ROW(X52)=2, "+", IF(COUNTIF($B52:W52,"X")=0, "+", "-") ),
  IF(
    $A52&lt;X$1,
    "O",
    IF( OFFSET(X$1, COLUMN(X52)-1, 0)="-", "O", IF(MOD($A52, X$1)=0, "X", "O") )
  )
)</f>
        <v>O</v>
      </c>
      <c r="Y52" s="45" t="str">
        <f ca="1">IF(
  $A52=Y$1,
  IF( ROW(Y52)=2, "+", IF(COUNTIF($B52:X52,"X")=0, "+", "-") ),
  IF(
    $A52&lt;Y$1,
    "O",
    IF( OFFSET(Y$1, COLUMN(Y52)-1, 0)="-", "O", IF(MOD($A52, Y$1)=0, "X", "O") )
  )
)</f>
        <v>O</v>
      </c>
      <c r="Z52" s="45" t="str">
        <f ca="1">IF(
  $A52=Z$1,
  IF( ROW(Z52)=2, "+", IF(COUNTIF($B52:Y52,"X")=0, "+", "-") ),
  IF(
    $A52&lt;Z$1,
    "O",
    IF( OFFSET(Z$1, COLUMN(Z52)-1, 0)="-", "O", IF(MOD($A52, Z$1)=0, "X", "O") )
  )
)</f>
        <v>O</v>
      </c>
      <c r="AA52" s="45" t="str">
        <f ca="1">IF(
  $A52=AA$1,
  IF( ROW(AA52)=2, "+", IF(COUNTIF($B52:Z52,"X")=0, "+", "-") ),
  IF(
    $A52&lt;AA$1,
    "O",
    IF( OFFSET(AA$1, COLUMN(AA52)-1, 0)="-", "O", IF(MOD($A52, AA$1)=0, "X", "O") )
  )
)</f>
        <v>O</v>
      </c>
      <c r="AB52" s="45" t="str">
        <f ca="1">IF(
  $A52=AB$1,
  IF( ROW(AB52)=2, "+", IF(COUNTIF($B52:AA52,"X")=0, "+", "-") ),
  IF(
    $A52&lt;AB$1,
    "O",
    IF( OFFSET(AB$1, COLUMN(AB52)-1, 0)="-", "O", IF(MOD($A52, AB$1)=0, "X", "O") )
  )
)</f>
        <v>O</v>
      </c>
      <c r="AC52" s="44" t="str">
        <f ca="1">IF(
  $A52=AC$1,
  IF( ROW(AC52)=2, "+", IF(COUNTIF($B52:AB52,"X")=0, "+", "-") ),
  IF(
    $A52&lt;AC$1,
    "O",
    IF( OFFSET(AC$1, COLUMN(AC52)-1, 0)="-", "O", IF(MOD($A52, AC$1)=0, "X", "O") )
  )
)</f>
        <v>O</v>
      </c>
      <c r="AD52" s="45" t="str">
        <f ca="1">IF(
  $A52=AD$1,
  IF( ROW(AD52)=2, "+", IF(COUNTIF($B52:AC52,"X")=0, "+", "-") ),
  IF(
    $A52&lt;AD$1,
    "O",
    IF( OFFSET(AD$1, COLUMN(AD52)-1, 0)="-", "O", IF(MOD($A52, AD$1)=0, "X", "O") )
  )
)</f>
        <v>O</v>
      </c>
      <c r="AE52" s="44" t="str">
        <f ca="1">IF(
  $A52=AE$1,
  IF( ROW(AE52)=2, "+", IF(COUNTIF($B52:AD52,"X")=0, "+", "-") ),
  IF(
    $A52&lt;AE$1,
    "O",
    IF( OFFSET(AE$1, COLUMN(AE52)-1, 0)="-", "O", IF(MOD($A52, AE$1)=0, "X", "O") )
  )
)</f>
        <v>O</v>
      </c>
      <c r="AF52" s="45" t="str">
        <f ca="1">IF(
  $A52=AF$1,
  IF( ROW(AF52)=2, "+", IF(COUNTIF($B52:AE52,"X")=0, "+", "-") ),
  IF(
    $A52&lt;AF$1,
    "O",
    IF( OFFSET(AF$1, COLUMN(AF52)-1, 0)="-", "O", IF(MOD($A52, AF$1)=0, "X", "O") )
  )
)</f>
        <v>O</v>
      </c>
      <c r="AG52" s="45" t="str">
        <f ca="1">IF(
  $A52=AG$1,
  IF( ROW(AG52)=2, "+", IF(COUNTIF($B52:AF52,"X")=0, "+", "-") ),
  IF(
    $A52&lt;AG$1,
    "O",
    IF( OFFSET(AG$1, COLUMN(AG52)-1, 0)="-", "O", IF(MOD($A52, AG$1)=0, "X", "O") )
  )
)</f>
        <v>O</v>
      </c>
      <c r="AH52" s="45" t="str">
        <f ca="1">IF(
  $A52=AH$1,
  IF( ROW(AH52)=2, "+", IF(COUNTIF($B52:AG52,"X")=0, "+", "-") ),
  IF(
    $A52&lt;AH$1,
    "O",
    IF( OFFSET(AH$1, COLUMN(AH52)-1, 0)="-", "O", IF(MOD($A52, AH$1)=0, "X", "O") )
  )
)</f>
        <v>O</v>
      </c>
      <c r="AI52" s="45" t="str">
        <f ca="1">IF(
  $A52=AI$1,
  IF( ROW(AI52)=2, "+", IF(COUNTIF($B52:AH52,"X")=0, "+", "-") ),
  IF(
    $A52&lt;AI$1,
    "O",
    IF( OFFSET(AI$1, COLUMN(AI52)-1, 0)="-", "O", IF(MOD($A52, AI$1)=0, "X", "O") )
  )
)</f>
        <v>O</v>
      </c>
      <c r="AJ52" s="45" t="str">
        <f ca="1">IF(
  $A52=AJ$1,
  IF( ROW(AJ52)=2, "+", IF(COUNTIF($B52:AI52,"X")=0, "+", "-") ),
  IF(
    $A52&lt;AJ$1,
    "O",
    IF( OFFSET(AJ$1, COLUMN(AJ52)-1, 0)="-", "O", IF(MOD($A52, AJ$1)=0, "X", "O") )
  )
)</f>
        <v>O</v>
      </c>
      <c r="AK52" s="44" t="str">
        <f ca="1">IF(
  $A52=AK$1,
  IF( ROW(AK52)=2, "+", IF(COUNTIF($B52:AJ52,"X")=0, "+", "-") ),
  IF(
    $A52&lt;AK$1,
    "O",
    IF( OFFSET(AK$1, COLUMN(AK52)-1, 0)="-", "O", IF(MOD($A52, AK$1)=0, "X", "O") )
  )
)</f>
        <v>O</v>
      </c>
      <c r="AL52" s="45" t="str">
        <f ca="1">IF(
  $A52=AL$1,
  IF( ROW(AL52)=2, "+", IF(COUNTIF($B52:AK52,"X")=0, "+", "-") ),
  IF(
    $A52&lt;AL$1,
    "O",
    IF( OFFSET(AL$1, COLUMN(AL52)-1, 0)="-", "O", IF(MOD($A52, AL$1)=0, "X", "O") )
  )
)</f>
        <v>O</v>
      </c>
      <c r="AM52" s="45" t="str">
        <f ca="1">IF(
  $A52=AM$1,
  IF( ROW(AM52)=2, "+", IF(COUNTIF($B52:AL52,"X")=0, "+", "-") ),
  IF(
    $A52&lt;AM$1,
    "O",
    IF( OFFSET(AM$1, COLUMN(AM52)-1, 0)="-", "O", IF(MOD($A52, AM$1)=0, "X", "O") )
  )
)</f>
        <v>O</v>
      </c>
      <c r="AN52" s="45" t="str">
        <f ca="1">IF(
  $A52=AN$1,
  IF( ROW(AN52)=2, "+", IF(COUNTIF($B52:AM52,"X")=0, "+", "-") ),
  IF(
    $A52&lt;AN$1,
    "O",
    IF( OFFSET(AN$1, COLUMN(AN52)-1, 0)="-", "O", IF(MOD($A52, AN$1)=0, "X", "O") )
  )
)</f>
        <v>O</v>
      </c>
      <c r="AO52" s="44" t="str">
        <f ca="1">IF(
  $A52=AO$1,
  IF( ROW(AO52)=2, "+", IF(COUNTIF($B52:AN52,"X")=0, "+", "-") ),
  IF(
    $A52&lt;AO$1,
    "O",
    IF( OFFSET(AO$1, COLUMN(AO52)-1, 0)="-", "O", IF(MOD($A52, AO$1)=0, "X", "O") )
  )
)</f>
        <v>O</v>
      </c>
      <c r="AP52" s="45" t="str">
        <f ca="1">IF(
  $A52=AP$1,
  IF( ROW(AP52)=2, "+", IF(COUNTIF($B52:AO52,"X")=0, "+", "-") ),
  IF(
    $A52&lt;AP$1,
    "O",
    IF( OFFSET(AP$1, COLUMN(AP52)-1, 0)="-", "O", IF(MOD($A52, AP$1)=0, "X", "O") )
  )
)</f>
        <v>O</v>
      </c>
      <c r="AQ52" s="44" t="str">
        <f ca="1">IF(
  $A52=AQ$1,
  IF( ROW(AQ52)=2, "+", IF(COUNTIF($B52:AP52,"X")=0, "+", "-") ),
  IF(
    $A52&lt;AQ$1,
    "O",
    IF( OFFSET(AQ$1, COLUMN(AQ52)-1, 0)="-", "O", IF(MOD($A52, AQ$1)=0, "X", "O") )
  )
)</f>
        <v>O</v>
      </c>
      <c r="AR52" s="45" t="str">
        <f ca="1">IF(
  $A52=AR$1,
  IF( ROW(AR52)=2, "+", IF(COUNTIF($B52:AQ52,"X")=0, "+", "-") ),
  IF(
    $A52&lt;AR$1,
    "O",
    IF( OFFSET(AR$1, COLUMN(AR52)-1, 0)="-", "O", IF(MOD($A52, AR$1)=0, "X", "O") )
  )
)</f>
        <v>O</v>
      </c>
      <c r="AS52" s="45" t="str">
        <f ca="1">IF(
  $A52=AS$1,
  IF( ROW(AS52)=2, "+", IF(COUNTIF($B52:AR52,"X")=0, "+", "-") ),
  IF(
    $A52&lt;AS$1,
    "O",
    IF( OFFSET(AS$1, COLUMN(AS52)-1, 0)="-", "O", IF(MOD($A52, AS$1)=0, "X", "O") )
  )
)</f>
        <v>O</v>
      </c>
      <c r="AT52" s="45" t="str">
        <f ca="1">IF(
  $A52=AT$1,
  IF( ROW(AT52)=2, "+", IF(COUNTIF($B52:AS52,"X")=0, "+", "-") ),
  IF(
    $A52&lt;AT$1,
    "O",
    IF( OFFSET(AT$1, COLUMN(AT52)-1, 0)="-", "O", IF(MOD($A52, AT$1)=0, "X", "O") )
  )
)</f>
        <v>O</v>
      </c>
      <c r="AU52" s="44" t="str">
        <f ca="1">IF(
  $A52=AU$1,
  IF( ROW(AU52)=2, "+", IF(COUNTIF($B52:AT52,"X")=0, "+", "-") ),
  IF(
    $A52&lt;AU$1,
    "O",
    IF( OFFSET(AU$1, COLUMN(AU52)-1, 0)="-", "O", IF(MOD($A52, AU$1)=0, "X", "O") )
  )
)</f>
        <v>O</v>
      </c>
      <c r="AV52" s="45" t="str">
        <f ca="1">IF(
  $A52=AV$1,
  IF( ROW(AV52)=2, "+", IF(COUNTIF($B52:AU52,"X")=0, "+", "-") ),
  IF(
    $A52&lt;AV$1,
    "O",
    IF( OFFSET(AV$1, COLUMN(AV52)-1, 0)="-", "O", IF(MOD($A52, AV$1)=0, "X", "O") )
  )
)</f>
        <v>O</v>
      </c>
      <c r="AW52" s="45" t="str">
        <f ca="1">IF(
  $A52=AW$1,
  IF( ROW(AW52)=2, "+", IF(COUNTIF($B52:AV52,"X")=0, "+", "-") ),
  IF(
    $A52&lt;AW$1,
    "O",
    IF( OFFSET(AW$1, COLUMN(AW52)-1, 0)="-", "O", IF(MOD($A52, AW$1)=0, "X", "O") )
  )
)</f>
        <v>O</v>
      </c>
      <c r="AX52" s="45" t="str">
        <f ca="1">IF(
  $A52=AX$1,
  IF( ROW(AX52)=2, "+", IF(COUNTIF($B52:AW52,"X")=0, "+", "-") ),
  IF(
    $A52&lt;AX$1,
    "O",
    IF( OFFSET(AX$1, COLUMN(AX52)-1, 0)="-", "O", IF(MOD($A52, AX$1)=0, "X", "O") )
  )
)</f>
        <v>O</v>
      </c>
      <c r="AY52" s="45" t="str">
        <f ca="1">IF(
  $A52=AY$1,
  IF( ROW(AY52)=2, "+", IF(COUNTIF($B52:AX52,"X")=0, "+", "-") ),
  IF(
    $A52&lt;AY$1,
    "O",
    IF( OFFSET(AY$1, COLUMN(AY52)-1, 0)="-", "O", IF(MOD($A52, AY$1)=0, "X", "O") )
  )
)</f>
        <v>O</v>
      </c>
      <c r="AZ52" s="45" t="str">
        <f ca="1">IF(
  $A52=AZ$1,
  IF( ROW(AZ52)=2, "+", IF(COUNTIF($B52:AY52,"X")=0, "+", "-") ),
  IF(
    $A52&lt;AZ$1,
    "O",
    IF( OFFSET(AZ$1, COLUMN(AZ52)-1, 0)="-", "O", IF(MOD($A52, AZ$1)=0, "X", "O") )
  )
)</f>
        <v>-</v>
      </c>
      <c r="BA52" s="45" t="str">
        <f ca="1">IF(
  $A52=BA$1,
  IF( ROW(BA52)=2, "+", IF(COUNTIF($B52:AZ52,"X")=0, "+", "-") ),
  IF(
    $A52&lt;BA$1,
    "O",
    IF( OFFSET(BA$1, COLUMN(BA52)-1, 0)="-", "O", IF(MOD($A52, BA$1)=0, "X", "O") )
  )
)</f>
        <v>O</v>
      </c>
      <c r="BB52" s="45" t="str">
        <f ca="1">IF(
  $A52=BB$1,
  IF( ROW(BB52)=2, "+", IF(COUNTIF($B52:BA52,"X")=0, "+", "-") ),
  IF(
    $A52&lt;BB$1,
    "O",
    IF( OFFSET(BB$1, COLUMN(BB52)-1, 0)="-", "O", IF(MOD($A52, BB$1)=0, "X", "O") )
  )
)</f>
        <v>O</v>
      </c>
      <c r="BC52" s="45" t="str">
        <f ca="1">IF(
  $A52=BC$1,
  IF( ROW(BC52)=2, "+", IF(COUNTIF($B52:BB52,"X")=0, "+", "-") ),
  IF(
    $A52&lt;BC$1,
    "O",
    IF( OFFSET(BC$1, COLUMN(BC52)-1, 0)="-", "O", IF(MOD($A52, BC$1)=0, "X", "O") )
  )
)</f>
        <v>O</v>
      </c>
      <c r="BD52" s="45" t="str">
        <f ca="1">IF(
  $A52=BD$1,
  IF( ROW(BD52)=2, "+", IF(COUNTIF($B52:BC52,"X")=0, "+", "-") ),
  IF(
    $A52&lt;BD$1,
    "O",
    IF( OFFSET(BD$1, COLUMN(BD52)-1, 0)="-", "O", IF(MOD($A52, BD$1)=0, "X", "O") )
  )
)</f>
        <v>O</v>
      </c>
      <c r="BE52" s="45" t="str">
        <f ca="1">IF(
  $A52=BE$1,
  IF( ROW(BE52)=2, "+", IF(COUNTIF($B52:BD52,"X")=0, "+", "-") ),
  IF(
    $A52&lt;BE$1,
    "O",
    IF( OFFSET(BE$1, COLUMN(BE52)-1, 0)="-", "O", IF(MOD($A52, BE$1)=0, "X", "O") )
  )
)</f>
        <v>O</v>
      </c>
      <c r="BF52" s="45" t="str">
        <f ca="1">IF(
  $A52=BF$1,
  IF( ROW(BF52)=2, "+", IF(COUNTIF($B52:BE52,"X")=0, "+", "-") ),
  IF(
    $A52&lt;BF$1,
    "O",
    IF( OFFSET(BF$1, COLUMN(BF52)-1, 0)="-", "O", IF(MOD($A52, BF$1)=0, "X", "O") )
  )
)</f>
        <v>O</v>
      </c>
      <c r="BG52" s="45" t="str">
        <f ca="1">IF(
  $A52=BG$1,
  IF( ROW(BG52)=2, "+", IF(COUNTIF($B52:BF52,"X")=0, "+", "-") ),
  IF(
    $A52&lt;BG$1,
    "O",
    IF( OFFSET(BG$1, COLUMN(BG52)-1, 0)="-", "O", IF(MOD($A52, BG$1)=0, "X", "O") )
  )
)</f>
        <v>O</v>
      </c>
      <c r="BH52" s="45" t="str">
        <f ca="1">IF(
  $A52=BH$1,
  IF( ROW(BH52)=2, "+", IF(COUNTIF($B52:BG52,"X")=0, "+", "-") ),
  IF(
    $A52&lt;BH$1,
    "O",
    IF( OFFSET(BH$1, COLUMN(BH52)-1, 0)="-", "O", IF(MOD($A52, BH$1)=0, "X", "O") )
  )
)</f>
        <v>O</v>
      </c>
    </row>
    <row r="53" spans="1:60" s="46" customFormat="1" x14ac:dyDescent="0.25">
      <c r="A53">
        <v>53</v>
      </c>
      <c r="B53" s="44" t="str">
        <f ca="1">IF(
  $A53=B$1,
  IF( ROW(B53)=2, "+", IF(COUNTIF(A53:$B53,"X")=0, "+", "-") ),
  IF(
    $A53&lt;B$1,
    "O",
    IF( OFFSET(B$1, COLUMN(B53)-1, 0)="-", "O", IF(MOD($A53, B$1)=0, "X", "O") )
  )
)</f>
        <v>O</v>
      </c>
      <c r="C53" s="44" t="str">
        <f ca="1">IF(
  $A53=C$1,
  IF( ROW(C53)=2, "+", IF(COUNTIF(B53:$B53,"X")=0, "+", "-") ),
  IF(
    $A53&lt;C$1,
    "O",
    IF( OFFSET(C$1, COLUMN(C53)-1, 0)="-", "O", IF(MOD($A53, C$1)=0, "X", "O") )
  )
)</f>
        <v>O</v>
      </c>
      <c r="D53" s="45" t="str">
        <f ca="1">IF(
  $A53=D$1,
  IF( ROW(D53)=2, "+", IF(COUNTIF($B53:C53,"X")=0, "+", "-") ),
  IF(
    $A53&lt;D$1,
    "O",
    IF( OFFSET(D$1, COLUMN(D53)-1, 0)="-", "O", IF(MOD($A53, D$1)=0, "X", "O") )
  )
)</f>
        <v>O</v>
      </c>
      <c r="E53" s="44" t="str">
        <f ca="1">IF(
  $A53=E$1,
  IF( ROW(E53)=2, "+", IF(COUNTIF($B53:D53,"X")=0, "+", "-") ),
  IF(
    $A53&lt;E$1,
    "O",
    IF( OFFSET(E$1, COLUMN(E53)-1, 0)="-", "O", IF(MOD($A53, E$1)=0, "X", "O") )
  )
)</f>
        <v>O</v>
      </c>
      <c r="F53" s="45" t="str">
        <f ca="1">IF(
  $A53=F$1,
  IF( ROW(F53)=2, "+", IF(COUNTIF($B53:E53,"X")=0, "+", "-") ),
  IF(
    $A53&lt;F$1,
    "O",
    IF( OFFSET(F$1, COLUMN(F53)-1, 0)="-", "O", IF(MOD($A53, F$1)=0, "X", "O") )
  )
)</f>
        <v>O</v>
      </c>
      <c r="G53" s="44" t="str">
        <f ca="1">IF(
  $A53=G$1,
  IF( ROW(G53)=2, "+", IF(COUNTIF($B53:F53,"X")=0, "+", "-") ),
  IF(
    $A53&lt;G$1,
    "O",
    IF( OFFSET(G$1, COLUMN(G53)-1, 0)="-", "O", IF(MOD($A53, G$1)=0, "X", "O") )
  )
)</f>
        <v>O</v>
      </c>
      <c r="H53" s="45" t="str">
        <f ca="1">IF(
  $A53=H$1,
  IF( ROW(H53)=2, "+", IF(COUNTIF($B53:G53,"X")=0, "+", "-") ),
  IF(
    $A53&lt;H$1,
    "O",
    IF( OFFSET(H$1, COLUMN(H53)-1, 0)="-", "O", IF(MOD($A53, H$1)=0, "X", "O") )
  )
)</f>
        <v>O</v>
      </c>
      <c r="I53" s="45" t="str">
        <f ca="1">IF(
  $A53=I$1,
  IF( ROW(I53)=2, "+", IF(COUNTIF($B53:H53,"X")=0, "+", "-") ),
  IF(
    $A53&lt;I$1,
    "O",
    IF( OFFSET(I$1, COLUMN(I53)-1, 0)="-", "O", IF(MOD($A53, I$1)=0, "X", "O") )
  )
)</f>
        <v>O</v>
      </c>
      <c r="J53" s="45" t="str">
        <f ca="1">IF(
  $A53=J$1,
  IF( ROW(J53)=2, "+", IF(COUNTIF($B53:I53,"X")=0, "+", "-") ),
  IF(
    $A53&lt;J$1,
    "O",
    IF( OFFSET(J$1, COLUMN(J53)-1, 0)="-", "O", IF(MOD($A53, J$1)=0, "X", "O") )
  )
)</f>
        <v>O</v>
      </c>
      <c r="K53" s="44" t="str">
        <f ca="1">IF(
  $A53=K$1,
  IF( ROW(K53)=2, "+", IF(COUNTIF($B53:J53,"X")=0, "+", "-") ),
  IF(
    $A53&lt;K$1,
    "O",
    IF( OFFSET(K$1, COLUMN(K53)-1, 0)="-", "O", IF(MOD($A53, K$1)=0, "X", "O") )
  )
)</f>
        <v>O</v>
      </c>
      <c r="L53" s="45" t="str">
        <f ca="1">IF(
  $A53=L$1,
  IF( ROW(L53)=2, "+", IF(COUNTIF($B53:K53,"X")=0, "+", "-") ),
  IF(
    $A53&lt;L$1,
    "O",
    IF( OFFSET(L$1, COLUMN(L53)-1, 0)="-", "O", IF(MOD($A53, L$1)=0, "X", "O") )
  )
)</f>
        <v>O</v>
      </c>
      <c r="M53" s="44" t="str">
        <f ca="1">IF(
  $A53=M$1,
  IF( ROW(M53)=2, "+", IF(COUNTIF($B53:L53,"X")=0, "+", "-") ),
  IF(
    $A53&lt;M$1,
    "O",
    IF( OFFSET(M$1, COLUMN(M53)-1, 0)="-", "O", IF(MOD($A53, M$1)=0, "X", "O") )
  )
)</f>
        <v>O</v>
      </c>
      <c r="N53" s="45" t="str">
        <f ca="1">IF(
  $A53=N$1,
  IF( ROW(N53)=2, "+", IF(COUNTIF($B53:M53,"X")=0, "+", "-") ),
  IF(
    $A53&lt;N$1,
    "O",
    IF( OFFSET(N$1, COLUMN(N53)-1, 0)="-", "O", IF(MOD($A53, N$1)=0, "X", "O") )
  )
)</f>
        <v>O</v>
      </c>
      <c r="O53" s="45" t="str">
        <f ca="1">IF(
  $A53=O$1,
  IF( ROW(O53)=2, "+", IF(COUNTIF($B53:N53,"X")=0, "+", "-") ),
  IF(
    $A53&lt;O$1,
    "O",
    IF( OFFSET(O$1, COLUMN(O53)-1, 0)="-", "O", IF(MOD($A53, O$1)=0, "X", "O") )
  )
)</f>
        <v>O</v>
      </c>
      <c r="P53" s="45" t="str">
        <f ca="1">IF(
  $A53=P$1,
  IF( ROW(P53)=2, "+", IF(COUNTIF($B53:O53,"X")=0, "+", "-") ),
  IF(
    $A53&lt;P$1,
    "O",
    IF( OFFSET(P$1, COLUMN(P53)-1, 0)="-", "O", IF(MOD($A53, P$1)=0, "X", "O") )
  )
)</f>
        <v>O</v>
      </c>
      <c r="Q53" s="44" t="str">
        <f ca="1">IF(
  $A53=Q$1,
  IF( ROW(Q53)=2, "+", IF(COUNTIF($B53:P53,"X")=0, "+", "-") ),
  IF(
    $A53&lt;Q$1,
    "O",
    IF( OFFSET(Q$1, COLUMN(Q53)-1, 0)="-", "O", IF(MOD($A53, Q$1)=0, "X", "O") )
  )
)</f>
        <v>O</v>
      </c>
      <c r="R53" s="45" t="str">
        <f ca="1">IF(
  $A53=R$1,
  IF( ROW(R53)=2, "+", IF(COUNTIF($B53:Q53,"X")=0, "+", "-") ),
  IF(
    $A53&lt;R$1,
    "O",
    IF( OFFSET(R$1, COLUMN(R53)-1, 0)="-", "O", IF(MOD($A53, R$1)=0, "X", "O") )
  )
)</f>
        <v>O</v>
      </c>
      <c r="S53" s="44" t="str">
        <f ca="1">IF(
  $A53=S$1,
  IF( ROW(S53)=2, "+", IF(COUNTIF($B53:R53,"X")=0, "+", "-") ),
  IF(
    $A53&lt;S$1,
    "O",
    IF( OFFSET(S$1, COLUMN(S53)-1, 0)="-", "O", IF(MOD($A53, S$1)=0, "X", "O") )
  )
)</f>
        <v>O</v>
      </c>
      <c r="T53" s="45" t="str">
        <f ca="1">IF(
  $A53=T$1,
  IF( ROW(T53)=2, "+", IF(COUNTIF($B53:S53,"X")=0, "+", "-") ),
  IF(
    $A53&lt;T$1,
    "O",
    IF( OFFSET(T$1, COLUMN(T53)-1, 0)="-", "O", IF(MOD($A53, T$1)=0, "X", "O") )
  )
)</f>
        <v>O</v>
      </c>
      <c r="U53" s="45" t="str">
        <f ca="1">IF(
  $A53=U$1,
  IF( ROW(U53)=2, "+", IF(COUNTIF($B53:T53,"X")=0, "+", "-") ),
  IF(
    $A53&lt;U$1,
    "O",
    IF( OFFSET(U$1, COLUMN(U53)-1, 0)="-", "O", IF(MOD($A53, U$1)=0, "X", "O") )
  )
)</f>
        <v>O</v>
      </c>
      <c r="V53" s="45" t="str">
        <f ca="1">IF(
  $A53=V$1,
  IF( ROW(V53)=2, "+", IF(COUNTIF($B53:U53,"X")=0, "+", "-") ),
  IF(
    $A53&lt;V$1,
    "O",
    IF( OFFSET(V$1, COLUMN(V53)-1, 0)="-", "O", IF(MOD($A53, V$1)=0, "X", "O") )
  )
)</f>
        <v>O</v>
      </c>
      <c r="W53" s="44" t="str">
        <f ca="1">IF(
  $A53=W$1,
  IF( ROW(W53)=2, "+", IF(COUNTIF($B53:V53,"X")=0, "+", "-") ),
  IF(
    $A53&lt;W$1,
    "O",
    IF( OFFSET(W$1, COLUMN(W53)-1, 0)="-", "O", IF(MOD($A53, W$1)=0, "X", "O") )
  )
)</f>
        <v>O</v>
      </c>
      <c r="X53" s="45" t="str">
        <f ca="1">IF(
  $A53=X$1,
  IF( ROW(X53)=2, "+", IF(COUNTIF($B53:W53,"X")=0, "+", "-") ),
  IF(
    $A53&lt;X$1,
    "O",
    IF( OFFSET(X$1, COLUMN(X53)-1, 0)="-", "O", IF(MOD($A53, X$1)=0, "X", "O") )
  )
)</f>
        <v>O</v>
      </c>
      <c r="Y53" s="45" t="str">
        <f ca="1">IF(
  $A53=Y$1,
  IF( ROW(Y53)=2, "+", IF(COUNTIF($B53:X53,"X")=0, "+", "-") ),
  IF(
    $A53&lt;Y$1,
    "O",
    IF( OFFSET(Y$1, COLUMN(Y53)-1, 0)="-", "O", IF(MOD($A53, Y$1)=0, "X", "O") )
  )
)</f>
        <v>O</v>
      </c>
      <c r="Z53" s="45" t="str">
        <f ca="1">IF(
  $A53=Z$1,
  IF( ROW(Z53)=2, "+", IF(COUNTIF($B53:Y53,"X")=0, "+", "-") ),
  IF(
    $A53&lt;Z$1,
    "O",
    IF( OFFSET(Z$1, COLUMN(Z53)-1, 0)="-", "O", IF(MOD($A53, Z$1)=0, "X", "O") )
  )
)</f>
        <v>O</v>
      </c>
      <c r="AA53" s="45" t="str">
        <f ca="1">IF(
  $A53=AA$1,
  IF( ROW(AA53)=2, "+", IF(COUNTIF($B53:Z53,"X")=0, "+", "-") ),
  IF(
    $A53&lt;AA$1,
    "O",
    IF( OFFSET(AA$1, COLUMN(AA53)-1, 0)="-", "O", IF(MOD($A53, AA$1)=0, "X", "O") )
  )
)</f>
        <v>O</v>
      </c>
      <c r="AB53" s="45" t="str">
        <f ca="1">IF(
  $A53=AB$1,
  IF( ROW(AB53)=2, "+", IF(COUNTIF($B53:AA53,"X")=0, "+", "-") ),
  IF(
    $A53&lt;AB$1,
    "O",
    IF( OFFSET(AB$1, COLUMN(AB53)-1, 0)="-", "O", IF(MOD($A53, AB$1)=0, "X", "O") )
  )
)</f>
        <v>O</v>
      </c>
      <c r="AC53" s="44" t="str">
        <f ca="1">IF(
  $A53=AC$1,
  IF( ROW(AC53)=2, "+", IF(COUNTIF($B53:AB53,"X")=0, "+", "-") ),
  IF(
    $A53&lt;AC$1,
    "O",
    IF( OFFSET(AC$1, COLUMN(AC53)-1, 0)="-", "O", IF(MOD($A53, AC$1)=0, "X", "O") )
  )
)</f>
        <v>O</v>
      </c>
      <c r="AD53" s="45" t="str">
        <f ca="1">IF(
  $A53=AD$1,
  IF( ROW(AD53)=2, "+", IF(COUNTIF($B53:AC53,"X")=0, "+", "-") ),
  IF(
    $A53&lt;AD$1,
    "O",
    IF( OFFSET(AD$1, COLUMN(AD53)-1, 0)="-", "O", IF(MOD($A53, AD$1)=0, "X", "O") )
  )
)</f>
        <v>O</v>
      </c>
      <c r="AE53" s="44" t="str">
        <f ca="1">IF(
  $A53=AE$1,
  IF( ROW(AE53)=2, "+", IF(COUNTIF($B53:AD53,"X")=0, "+", "-") ),
  IF(
    $A53&lt;AE$1,
    "O",
    IF( OFFSET(AE$1, COLUMN(AE53)-1, 0)="-", "O", IF(MOD($A53, AE$1)=0, "X", "O") )
  )
)</f>
        <v>O</v>
      </c>
      <c r="AF53" s="45" t="str">
        <f ca="1">IF(
  $A53=AF$1,
  IF( ROW(AF53)=2, "+", IF(COUNTIF($B53:AE53,"X")=0, "+", "-") ),
  IF(
    $A53&lt;AF$1,
    "O",
    IF( OFFSET(AF$1, COLUMN(AF53)-1, 0)="-", "O", IF(MOD($A53, AF$1)=0, "X", "O") )
  )
)</f>
        <v>O</v>
      </c>
      <c r="AG53" s="45" t="str">
        <f ca="1">IF(
  $A53=AG$1,
  IF( ROW(AG53)=2, "+", IF(COUNTIF($B53:AF53,"X")=0, "+", "-") ),
  IF(
    $A53&lt;AG$1,
    "O",
    IF( OFFSET(AG$1, COLUMN(AG53)-1, 0)="-", "O", IF(MOD($A53, AG$1)=0, "X", "O") )
  )
)</f>
        <v>O</v>
      </c>
      <c r="AH53" s="45" t="str">
        <f ca="1">IF(
  $A53=AH$1,
  IF( ROW(AH53)=2, "+", IF(COUNTIF($B53:AG53,"X")=0, "+", "-") ),
  IF(
    $A53&lt;AH$1,
    "O",
    IF( OFFSET(AH$1, COLUMN(AH53)-1, 0)="-", "O", IF(MOD($A53, AH$1)=0, "X", "O") )
  )
)</f>
        <v>O</v>
      </c>
      <c r="AI53" s="45" t="str">
        <f ca="1">IF(
  $A53=AI$1,
  IF( ROW(AI53)=2, "+", IF(COUNTIF($B53:AH53,"X")=0, "+", "-") ),
  IF(
    $A53&lt;AI$1,
    "O",
    IF( OFFSET(AI$1, COLUMN(AI53)-1, 0)="-", "O", IF(MOD($A53, AI$1)=0, "X", "O") )
  )
)</f>
        <v>O</v>
      </c>
      <c r="AJ53" s="45" t="str">
        <f ca="1">IF(
  $A53=AJ$1,
  IF( ROW(AJ53)=2, "+", IF(COUNTIF($B53:AI53,"X")=0, "+", "-") ),
  IF(
    $A53&lt;AJ$1,
    "O",
    IF( OFFSET(AJ$1, COLUMN(AJ53)-1, 0)="-", "O", IF(MOD($A53, AJ$1)=0, "X", "O") )
  )
)</f>
        <v>O</v>
      </c>
      <c r="AK53" s="44" t="str">
        <f ca="1">IF(
  $A53=AK$1,
  IF( ROW(AK53)=2, "+", IF(COUNTIF($B53:AJ53,"X")=0, "+", "-") ),
  IF(
    $A53&lt;AK$1,
    "O",
    IF( OFFSET(AK$1, COLUMN(AK53)-1, 0)="-", "O", IF(MOD($A53, AK$1)=0, "X", "O") )
  )
)</f>
        <v>O</v>
      </c>
      <c r="AL53" s="45" t="str">
        <f ca="1">IF(
  $A53=AL$1,
  IF( ROW(AL53)=2, "+", IF(COUNTIF($B53:AK53,"X")=0, "+", "-") ),
  IF(
    $A53&lt;AL$1,
    "O",
    IF( OFFSET(AL$1, COLUMN(AL53)-1, 0)="-", "O", IF(MOD($A53, AL$1)=0, "X", "O") )
  )
)</f>
        <v>O</v>
      </c>
      <c r="AM53" s="45" t="str">
        <f ca="1">IF(
  $A53=AM$1,
  IF( ROW(AM53)=2, "+", IF(COUNTIF($B53:AL53,"X")=0, "+", "-") ),
  IF(
    $A53&lt;AM$1,
    "O",
    IF( OFFSET(AM$1, COLUMN(AM53)-1, 0)="-", "O", IF(MOD($A53, AM$1)=0, "X", "O") )
  )
)</f>
        <v>O</v>
      </c>
      <c r="AN53" s="45" t="str">
        <f ca="1">IF(
  $A53=AN$1,
  IF( ROW(AN53)=2, "+", IF(COUNTIF($B53:AM53,"X")=0, "+", "-") ),
  IF(
    $A53&lt;AN$1,
    "O",
    IF( OFFSET(AN$1, COLUMN(AN53)-1, 0)="-", "O", IF(MOD($A53, AN$1)=0, "X", "O") )
  )
)</f>
        <v>O</v>
      </c>
      <c r="AO53" s="44" t="str">
        <f ca="1">IF(
  $A53=AO$1,
  IF( ROW(AO53)=2, "+", IF(COUNTIF($B53:AN53,"X")=0, "+", "-") ),
  IF(
    $A53&lt;AO$1,
    "O",
    IF( OFFSET(AO$1, COLUMN(AO53)-1, 0)="-", "O", IF(MOD($A53, AO$1)=0, "X", "O") )
  )
)</f>
        <v>O</v>
      </c>
      <c r="AP53" s="45" t="str">
        <f ca="1">IF(
  $A53=AP$1,
  IF( ROW(AP53)=2, "+", IF(COUNTIF($B53:AO53,"X")=0, "+", "-") ),
  IF(
    $A53&lt;AP$1,
    "O",
    IF( OFFSET(AP$1, COLUMN(AP53)-1, 0)="-", "O", IF(MOD($A53, AP$1)=0, "X", "O") )
  )
)</f>
        <v>O</v>
      </c>
      <c r="AQ53" s="44" t="str">
        <f ca="1">IF(
  $A53=AQ$1,
  IF( ROW(AQ53)=2, "+", IF(COUNTIF($B53:AP53,"X")=0, "+", "-") ),
  IF(
    $A53&lt;AQ$1,
    "O",
    IF( OFFSET(AQ$1, COLUMN(AQ53)-1, 0)="-", "O", IF(MOD($A53, AQ$1)=0, "X", "O") )
  )
)</f>
        <v>O</v>
      </c>
      <c r="AR53" s="45" t="str">
        <f ca="1">IF(
  $A53=AR$1,
  IF( ROW(AR53)=2, "+", IF(COUNTIF($B53:AQ53,"X")=0, "+", "-") ),
  IF(
    $A53&lt;AR$1,
    "O",
    IF( OFFSET(AR$1, COLUMN(AR53)-1, 0)="-", "O", IF(MOD($A53, AR$1)=0, "X", "O") )
  )
)</f>
        <v>O</v>
      </c>
      <c r="AS53" s="45" t="str">
        <f ca="1">IF(
  $A53=AS$1,
  IF( ROW(AS53)=2, "+", IF(COUNTIF($B53:AR53,"X")=0, "+", "-") ),
  IF(
    $A53&lt;AS$1,
    "O",
    IF( OFFSET(AS$1, COLUMN(AS53)-1, 0)="-", "O", IF(MOD($A53, AS$1)=0, "X", "O") )
  )
)</f>
        <v>O</v>
      </c>
      <c r="AT53" s="45" t="str">
        <f ca="1">IF(
  $A53=AT$1,
  IF( ROW(AT53)=2, "+", IF(COUNTIF($B53:AS53,"X")=0, "+", "-") ),
  IF(
    $A53&lt;AT$1,
    "O",
    IF( OFFSET(AT$1, COLUMN(AT53)-1, 0)="-", "O", IF(MOD($A53, AT$1)=0, "X", "O") )
  )
)</f>
        <v>O</v>
      </c>
      <c r="AU53" s="44" t="str">
        <f ca="1">IF(
  $A53=AU$1,
  IF( ROW(AU53)=2, "+", IF(COUNTIF($B53:AT53,"X")=0, "+", "-") ),
  IF(
    $A53&lt;AU$1,
    "O",
    IF( OFFSET(AU$1, COLUMN(AU53)-1, 0)="-", "O", IF(MOD($A53, AU$1)=0, "X", "O") )
  )
)</f>
        <v>O</v>
      </c>
      <c r="AV53" s="45" t="str">
        <f ca="1">IF(
  $A53=AV$1,
  IF( ROW(AV53)=2, "+", IF(COUNTIF($B53:AU53,"X")=0, "+", "-") ),
  IF(
    $A53&lt;AV$1,
    "O",
    IF( OFFSET(AV$1, COLUMN(AV53)-1, 0)="-", "O", IF(MOD($A53, AV$1)=0, "X", "O") )
  )
)</f>
        <v>O</v>
      </c>
      <c r="AW53" s="45" t="str">
        <f ca="1">IF(
  $A53=AW$1,
  IF( ROW(AW53)=2, "+", IF(COUNTIF($B53:AV53,"X")=0, "+", "-") ),
  IF(
    $A53&lt;AW$1,
    "O",
    IF( OFFSET(AW$1, COLUMN(AW53)-1, 0)="-", "O", IF(MOD($A53, AW$1)=0, "X", "O") )
  )
)</f>
        <v>O</v>
      </c>
      <c r="AX53" s="45" t="str">
        <f ca="1">IF(
  $A53=AX$1,
  IF( ROW(AX53)=2, "+", IF(COUNTIF($B53:AW53,"X")=0, "+", "-") ),
  IF(
    $A53&lt;AX$1,
    "O",
    IF( OFFSET(AX$1, COLUMN(AX53)-1, 0)="-", "O", IF(MOD($A53, AX$1)=0, "X", "O") )
  )
)</f>
        <v>O</v>
      </c>
      <c r="AY53" s="45" t="str">
        <f ca="1">IF(
  $A53=AY$1,
  IF( ROW(AY53)=2, "+", IF(COUNTIF($B53:AX53,"X")=0, "+", "-") ),
  IF(
    $A53&lt;AY$1,
    "O",
    IF( OFFSET(AY$1, COLUMN(AY53)-1, 0)="-", "O", IF(MOD($A53, AY$1)=0, "X", "O") )
  )
)</f>
        <v>O</v>
      </c>
      <c r="AZ53" s="45" t="str">
        <f ca="1">IF(
  $A53=AZ$1,
  IF( ROW(AZ53)=2, "+", IF(COUNTIF($B53:AY53,"X")=0, "+", "-") ),
  IF(
    $A53&lt;AZ$1,
    "O",
    IF( OFFSET(AZ$1, COLUMN(AZ53)-1, 0)="-", "O", IF(MOD($A53, AZ$1)=0, "X", "O") )
  )
)</f>
        <v>O</v>
      </c>
      <c r="BA53" s="44" t="str">
        <f ca="1">IF(
  $A53=BA$1,
  IF( ROW(BA53)=2, "+", IF(COUNTIF($B53:AZ53,"X")=0, "+", "-") ),
  IF(
    $A53&lt;BA$1,
    "O",
    IF( OFFSET(BA$1, COLUMN(BA53)-1, 0)="-", "O", IF(MOD($A53, BA$1)=0, "X", "O") )
  )
)</f>
        <v>+</v>
      </c>
      <c r="BB53" s="45" t="str">
        <f ca="1">IF(
  $A53=BB$1,
  IF( ROW(BB53)=2, "+", IF(COUNTIF($B53:BA53,"X")=0, "+", "-") ),
  IF(
    $A53&lt;BB$1,
    "O",
    IF( OFFSET(BB$1, COLUMN(BB53)-1, 0)="-", "O", IF(MOD($A53, BB$1)=0, "X", "O") )
  )
)</f>
        <v>O</v>
      </c>
      <c r="BC53" s="45" t="str">
        <f ca="1">IF(
  $A53=BC$1,
  IF( ROW(BC53)=2, "+", IF(COUNTIF($B53:BB53,"X")=0, "+", "-") ),
  IF(
    $A53&lt;BC$1,
    "O",
    IF( OFFSET(BC$1, COLUMN(BC53)-1, 0)="-", "O", IF(MOD($A53, BC$1)=0, "X", "O") )
  )
)</f>
        <v>O</v>
      </c>
      <c r="BD53" s="45" t="str">
        <f ca="1">IF(
  $A53=BD$1,
  IF( ROW(BD53)=2, "+", IF(COUNTIF($B53:BC53,"X")=0, "+", "-") ),
  IF(
    $A53&lt;BD$1,
    "O",
    IF( OFFSET(BD$1, COLUMN(BD53)-1, 0)="-", "O", IF(MOD($A53, BD$1)=0, "X", "O") )
  )
)</f>
        <v>O</v>
      </c>
      <c r="BE53" s="45" t="str">
        <f ca="1">IF(
  $A53=BE$1,
  IF( ROW(BE53)=2, "+", IF(COUNTIF($B53:BD53,"X")=0, "+", "-") ),
  IF(
    $A53&lt;BE$1,
    "O",
    IF( OFFSET(BE$1, COLUMN(BE53)-1, 0)="-", "O", IF(MOD($A53, BE$1)=0, "X", "O") )
  )
)</f>
        <v>O</v>
      </c>
      <c r="BF53" s="45" t="str">
        <f ca="1">IF(
  $A53=BF$1,
  IF( ROW(BF53)=2, "+", IF(COUNTIF($B53:BE53,"X")=0, "+", "-") ),
  IF(
    $A53&lt;BF$1,
    "O",
    IF( OFFSET(BF$1, COLUMN(BF53)-1, 0)="-", "O", IF(MOD($A53, BF$1)=0, "X", "O") )
  )
)</f>
        <v>O</v>
      </c>
      <c r="BG53" s="45" t="str">
        <f ca="1">IF(
  $A53=BG$1,
  IF( ROW(BG53)=2, "+", IF(COUNTIF($B53:BF53,"X")=0, "+", "-") ),
  IF(
    $A53&lt;BG$1,
    "O",
    IF( OFFSET(BG$1, COLUMN(BG53)-1, 0)="-", "O", IF(MOD($A53, BG$1)=0, "X", "O") )
  )
)</f>
        <v>O</v>
      </c>
      <c r="BH53" s="45" t="str">
        <f ca="1">IF(
  $A53=BH$1,
  IF( ROW(BH53)=2, "+", IF(COUNTIF($B53:BG53,"X")=0, "+", "-") ),
  IF(
    $A53&lt;BH$1,
    "O",
    IF( OFFSET(BH$1, COLUMN(BH53)-1, 0)="-", "O", IF(MOD($A53, BH$1)=0, "X", "O") )
  )
)</f>
        <v>O</v>
      </c>
    </row>
    <row r="54" spans="1:60" s="46" customFormat="1" x14ac:dyDescent="0.25">
      <c r="A54">
        <v>54</v>
      </c>
      <c r="B54" s="44" t="str">
        <f ca="1">IF(
  $A54=B$1,
  IF( ROW(B54)=2, "+", IF(COUNTIF(A54:$B54,"X")=0, "+", "-") ),
  IF(
    $A54&lt;B$1,
    "O",
    IF( OFFSET(B$1, COLUMN(B54)-1, 0)="-", "O", IF(MOD($A54, B$1)=0, "X", "O") )
  )
)</f>
        <v>X</v>
      </c>
      <c r="C54" s="44" t="str">
        <f ca="1">IF(
  $A54=C$1,
  IF( ROW(C54)=2, "+", IF(COUNTIF(B54:$B54,"X")=0, "+", "-") ),
  IF(
    $A54&lt;C$1,
    "O",
    IF( OFFSET(C$1, COLUMN(C54)-1, 0)="-", "O", IF(MOD($A54, C$1)=0, "X", "O") )
  )
)</f>
        <v>X</v>
      </c>
      <c r="D54" s="45" t="str">
        <f ca="1">IF(
  $A54=D$1,
  IF( ROW(D54)=2, "+", IF(COUNTIF($B54:C54,"X")=0, "+", "-") ),
  IF(
    $A54&lt;D$1,
    "O",
    IF( OFFSET(D$1, COLUMN(D54)-1, 0)="-", "O", IF(MOD($A54, D$1)=0, "X", "O") )
  )
)</f>
        <v>O</v>
      </c>
      <c r="E54" s="44" t="str">
        <f ca="1">IF(
  $A54=E$1,
  IF( ROW(E54)=2, "+", IF(COUNTIF($B54:D54,"X")=0, "+", "-") ),
  IF(
    $A54&lt;E$1,
    "O",
    IF( OFFSET(E$1, COLUMN(E54)-1, 0)="-", "O", IF(MOD($A54, E$1)=0, "X", "O") )
  )
)</f>
        <v>O</v>
      </c>
      <c r="F54" s="45" t="str">
        <f ca="1">IF(
  $A54=F$1,
  IF( ROW(F54)=2, "+", IF(COUNTIF($B54:E54,"X")=0, "+", "-") ),
  IF(
    $A54&lt;F$1,
    "O",
    IF( OFFSET(F$1, COLUMN(F54)-1, 0)="-", "O", IF(MOD($A54, F$1)=0, "X", "O") )
  )
)</f>
        <v>O</v>
      </c>
      <c r="G54" s="44" t="str">
        <f ca="1">IF(
  $A54=G$1,
  IF( ROW(G54)=2, "+", IF(COUNTIF($B54:F54,"X")=0, "+", "-") ),
  IF(
    $A54&lt;G$1,
    "O",
    IF( OFFSET(G$1, COLUMN(G54)-1, 0)="-", "O", IF(MOD($A54, G$1)=0, "X", "O") )
  )
)</f>
        <v>O</v>
      </c>
      <c r="H54" s="45" t="str">
        <f ca="1">IF(
  $A54=H$1,
  IF( ROW(H54)=2, "+", IF(COUNTIF($B54:G54,"X")=0, "+", "-") ),
  IF(
    $A54&lt;H$1,
    "O",
    IF( OFFSET(H$1, COLUMN(H54)-1, 0)="-", "O", IF(MOD($A54, H$1)=0, "X", "O") )
  )
)</f>
        <v>O</v>
      </c>
      <c r="I54" s="45" t="str">
        <f ca="1">IF(
  $A54=I$1,
  IF( ROW(I54)=2, "+", IF(COUNTIF($B54:H54,"X")=0, "+", "-") ),
  IF(
    $A54&lt;I$1,
    "O",
    IF( OFFSET(I$1, COLUMN(I54)-1, 0)="-", "O", IF(MOD($A54, I$1)=0, "X", "O") )
  )
)</f>
        <v>O</v>
      </c>
      <c r="J54" s="45" t="str">
        <f ca="1">IF(
  $A54=J$1,
  IF( ROW(J54)=2, "+", IF(COUNTIF($B54:I54,"X")=0, "+", "-") ),
  IF(
    $A54&lt;J$1,
    "O",
    IF( OFFSET(J$1, COLUMN(J54)-1, 0)="-", "O", IF(MOD($A54, J$1)=0, "X", "O") )
  )
)</f>
        <v>O</v>
      </c>
      <c r="K54" s="44" t="str">
        <f ca="1">IF(
  $A54=K$1,
  IF( ROW(K54)=2, "+", IF(COUNTIF($B54:J54,"X")=0, "+", "-") ),
  IF(
    $A54&lt;K$1,
    "O",
    IF( OFFSET(K$1, COLUMN(K54)-1, 0)="-", "O", IF(MOD($A54, K$1)=0, "X", "O") )
  )
)</f>
        <v>O</v>
      </c>
      <c r="L54" s="45" t="str">
        <f ca="1">IF(
  $A54=L$1,
  IF( ROW(L54)=2, "+", IF(COUNTIF($B54:K54,"X")=0, "+", "-") ),
  IF(
    $A54&lt;L$1,
    "O",
    IF( OFFSET(L$1, COLUMN(L54)-1, 0)="-", "O", IF(MOD($A54, L$1)=0, "X", "O") )
  )
)</f>
        <v>O</v>
      </c>
      <c r="M54" s="44" t="str">
        <f ca="1">IF(
  $A54=M$1,
  IF( ROW(M54)=2, "+", IF(COUNTIF($B54:L54,"X")=0, "+", "-") ),
  IF(
    $A54&lt;M$1,
    "O",
    IF( OFFSET(M$1, COLUMN(M54)-1, 0)="-", "O", IF(MOD($A54, M$1)=0, "X", "O") )
  )
)</f>
        <v>O</v>
      </c>
      <c r="N54" s="45" t="str">
        <f ca="1">IF(
  $A54=N$1,
  IF( ROW(N54)=2, "+", IF(COUNTIF($B54:M54,"X")=0, "+", "-") ),
  IF(
    $A54&lt;N$1,
    "O",
    IF( OFFSET(N$1, COLUMN(N54)-1, 0)="-", "O", IF(MOD($A54, N$1)=0, "X", "O") )
  )
)</f>
        <v>O</v>
      </c>
      <c r="O54" s="45" t="str">
        <f ca="1">IF(
  $A54=O$1,
  IF( ROW(O54)=2, "+", IF(COUNTIF($B54:N54,"X")=0, "+", "-") ),
  IF(
    $A54&lt;O$1,
    "O",
    IF( OFFSET(O$1, COLUMN(O54)-1, 0)="-", "O", IF(MOD($A54, O$1)=0, "X", "O") )
  )
)</f>
        <v>O</v>
      </c>
      <c r="P54" s="45" t="str">
        <f ca="1">IF(
  $A54=P$1,
  IF( ROW(P54)=2, "+", IF(COUNTIF($B54:O54,"X")=0, "+", "-") ),
  IF(
    $A54&lt;P$1,
    "O",
    IF( OFFSET(P$1, COLUMN(P54)-1, 0)="-", "O", IF(MOD($A54, P$1)=0, "X", "O") )
  )
)</f>
        <v>O</v>
      </c>
      <c r="Q54" s="44" t="str">
        <f ca="1">IF(
  $A54=Q$1,
  IF( ROW(Q54)=2, "+", IF(COUNTIF($B54:P54,"X")=0, "+", "-") ),
  IF(
    $A54&lt;Q$1,
    "O",
    IF( OFFSET(Q$1, COLUMN(Q54)-1, 0)="-", "O", IF(MOD($A54, Q$1)=0, "X", "O") )
  )
)</f>
        <v>O</v>
      </c>
      <c r="R54" s="45" t="str">
        <f ca="1">IF(
  $A54=R$1,
  IF( ROW(R54)=2, "+", IF(COUNTIF($B54:Q54,"X")=0, "+", "-") ),
  IF(
    $A54&lt;R$1,
    "O",
    IF( OFFSET(R$1, COLUMN(R54)-1, 0)="-", "O", IF(MOD($A54, R$1)=0, "X", "O") )
  )
)</f>
        <v>O</v>
      </c>
      <c r="S54" s="44" t="str">
        <f ca="1">IF(
  $A54=S$1,
  IF( ROW(S54)=2, "+", IF(COUNTIF($B54:R54,"X")=0, "+", "-") ),
  IF(
    $A54&lt;S$1,
    "O",
    IF( OFFSET(S$1, COLUMN(S54)-1, 0)="-", "O", IF(MOD($A54, S$1)=0, "X", "O") )
  )
)</f>
        <v>O</v>
      </c>
      <c r="T54" s="45" t="str">
        <f ca="1">IF(
  $A54=T$1,
  IF( ROW(T54)=2, "+", IF(COUNTIF($B54:S54,"X")=0, "+", "-") ),
  IF(
    $A54&lt;T$1,
    "O",
    IF( OFFSET(T$1, COLUMN(T54)-1, 0)="-", "O", IF(MOD($A54, T$1)=0, "X", "O") )
  )
)</f>
        <v>O</v>
      </c>
      <c r="U54" s="45" t="str">
        <f ca="1">IF(
  $A54=U$1,
  IF( ROW(U54)=2, "+", IF(COUNTIF($B54:T54,"X")=0, "+", "-") ),
  IF(
    $A54&lt;U$1,
    "O",
    IF( OFFSET(U$1, COLUMN(U54)-1, 0)="-", "O", IF(MOD($A54, U$1)=0, "X", "O") )
  )
)</f>
        <v>O</v>
      </c>
      <c r="V54" s="45" t="str">
        <f ca="1">IF(
  $A54=V$1,
  IF( ROW(V54)=2, "+", IF(COUNTIF($B54:U54,"X")=0, "+", "-") ),
  IF(
    $A54&lt;V$1,
    "O",
    IF( OFFSET(V$1, COLUMN(V54)-1, 0)="-", "O", IF(MOD($A54, V$1)=0, "X", "O") )
  )
)</f>
        <v>O</v>
      </c>
      <c r="W54" s="44" t="str">
        <f ca="1">IF(
  $A54=W$1,
  IF( ROW(W54)=2, "+", IF(COUNTIF($B54:V54,"X")=0, "+", "-") ),
  IF(
    $A54&lt;W$1,
    "O",
    IF( OFFSET(W$1, COLUMN(W54)-1, 0)="-", "O", IF(MOD($A54, W$1)=0, "X", "O") )
  )
)</f>
        <v>O</v>
      </c>
      <c r="X54" s="45" t="str">
        <f ca="1">IF(
  $A54=X$1,
  IF( ROW(X54)=2, "+", IF(COUNTIF($B54:W54,"X")=0, "+", "-") ),
  IF(
    $A54&lt;X$1,
    "O",
    IF( OFFSET(X$1, COLUMN(X54)-1, 0)="-", "O", IF(MOD($A54, X$1)=0, "X", "O") )
  )
)</f>
        <v>O</v>
      </c>
      <c r="Y54" s="45" t="str">
        <f ca="1">IF(
  $A54=Y$1,
  IF( ROW(Y54)=2, "+", IF(COUNTIF($B54:X54,"X")=0, "+", "-") ),
  IF(
    $A54&lt;Y$1,
    "O",
    IF( OFFSET(Y$1, COLUMN(Y54)-1, 0)="-", "O", IF(MOD($A54, Y$1)=0, "X", "O") )
  )
)</f>
        <v>O</v>
      </c>
      <c r="Z54" s="45" t="str">
        <f ca="1">IF(
  $A54=Z$1,
  IF( ROW(Z54)=2, "+", IF(COUNTIF($B54:Y54,"X")=0, "+", "-") ),
  IF(
    $A54&lt;Z$1,
    "O",
    IF( OFFSET(Z$1, COLUMN(Z54)-1, 0)="-", "O", IF(MOD($A54, Z$1)=0, "X", "O") )
  )
)</f>
        <v>O</v>
      </c>
      <c r="AA54" s="45" t="str">
        <f ca="1">IF(
  $A54=AA$1,
  IF( ROW(AA54)=2, "+", IF(COUNTIF($B54:Z54,"X")=0, "+", "-") ),
  IF(
    $A54&lt;AA$1,
    "O",
    IF( OFFSET(AA$1, COLUMN(AA54)-1, 0)="-", "O", IF(MOD($A54, AA$1)=0, "X", "O") )
  )
)</f>
        <v>O</v>
      </c>
      <c r="AB54" s="45" t="str">
        <f ca="1">IF(
  $A54=AB$1,
  IF( ROW(AB54)=2, "+", IF(COUNTIF($B54:AA54,"X")=0, "+", "-") ),
  IF(
    $A54&lt;AB$1,
    "O",
    IF( OFFSET(AB$1, COLUMN(AB54)-1, 0)="-", "O", IF(MOD($A54, AB$1)=0, "X", "O") )
  )
)</f>
        <v>O</v>
      </c>
      <c r="AC54" s="44" t="str">
        <f ca="1">IF(
  $A54=AC$1,
  IF( ROW(AC54)=2, "+", IF(COUNTIF($B54:AB54,"X")=0, "+", "-") ),
  IF(
    $A54&lt;AC$1,
    "O",
    IF( OFFSET(AC$1, COLUMN(AC54)-1, 0)="-", "O", IF(MOD($A54, AC$1)=0, "X", "O") )
  )
)</f>
        <v>O</v>
      </c>
      <c r="AD54" s="45" t="str">
        <f ca="1">IF(
  $A54=AD$1,
  IF( ROW(AD54)=2, "+", IF(COUNTIF($B54:AC54,"X")=0, "+", "-") ),
  IF(
    $A54&lt;AD$1,
    "O",
    IF( OFFSET(AD$1, COLUMN(AD54)-1, 0)="-", "O", IF(MOD($A54, AD$1)=0, "X", "O") )
  )
)</f>
        <v>O</v>
      </c>
      <c r="AE54" s="44" t="str">
        <f ca="1">IF(
  $A54=AE$1,
  IF( ROW(AE54)=2, "+", IF(COUNTIF($B54:AD54,"X")=0, "+", "-") ),
  IF(
    $A54&lt;AE$1,
    "O",
    IF( OFFSET(AE$1, COLUMN(AE54)-1, 0)="-", "O", IF(MOD($A54, AE$1)=0, "X", "O") )
  )
)</f>
        <v>O</v>
      </c>
      <c r="AF54" s="45" t="str">
        <f ca="1">IF(
  $A54=AF$1,
  IF( ROW(AF54)=2, "+", IF(COUNTIF($B54:AE54,"X")=0, "+", "-") ),
  IF(
    $A54&lt;AF$1,
    "O",
    IF( OFFSET(AF$1, COLUMN(AF54)-1, 0)="-", "O", IF(MOD($A54, AF$1)=0, "X", "O") )
  )
)</f>
        <v>O</v>
      </c>
      <c r="AG54" s="45" t="str">
        <f ca="1">IF(
  $A54=AG$1,
  IF( ROW(AG54)=2, "+", IF(COUNTIF($B54:AF54,"X")=0, "+", "-") ),
  IF(
    $A54&lt;AG$1,
    "O",
    IF( OFFSET(AG$1, COLUMN(AG54)-1, 0)="-", "O", IF(MOD($A54, AG$1)=0, "X", "O") )
  )
)</f>
        <v>O</v>
      </c>
      <c r="AH54" s="45" t="str">
        <f ca="1">IF(
  $A54=AH$1,
  IF( ROW(AH54)=2, "+", IF(COUNTIF($B54:AG54,"X")=0, "+", "-") ),
  IF(
    $A54&lt;AH$1,
    "O",
    IF( OFFSET(AH$1, COLUMN(AH54)-1, 0)="-", "O", IF(MOD($A54, AH$1)=0, "X", "O") )
  )
)</f>
        <v>O</v>
      </c>
      <c r="AI54" s="45" t="str">
        <f ca="1">IF(
  $A54=AI$1,
  IF( ROW(AI54)=2, "+", IF(COUNTIF($B54:AH54,"X")=0, "+", "-") ),
  IF(
    $A54&lt;AI$1,
    "O",
    IF( OFFSET(AI$1, COLUMN(AI54)-1, 0)="-", "O", IF(MOD($A54, AI$1)=0, "X", "O") )
  )
)</f>
        <v>O</v>
      </c>
      <c r="AJ54" s="45" t="str">
        <f ca="1">IF(
  $A54=AJ$1,
  IF( ROW(AJ54)=2, "+", IF(COUNTIF($B54:AI54,"X")=0, "+", "-") ),
  IF(
    $A54&lt;AJ$1,
    "O",
    IF( OFFSET(AJ$1, COLUMN(AJ54)-1, 0)="-", "O", IF(MOD($A54, AJ$1)=0, "X", "O") )
  )
)</f>
        <v>O</v>
      </c>
      <c r="AK54" s="44" t="str">
        <f ca="1">IF(
  $A54=AK$1,
  IF( ROW(AK54)=2, "+", IF(COUNTIF($B54:AJ54,"X")=0, "+", "-") ),
  IF(
    $A54&lt;AK$1,
    "O",
    IF( OFFSET(AK$1, COLUMN(AK54)-1, 0)="-", "O", IF(MOD($A54, AK$1)=0, "X", "O") )
  )
)</f>
        <v>O</v>
      </c>
      <c r="AL54" s="45" t="str">
        <f ca="1">IF(
  $A54=AL$1,
  IF( ROW(AL54)=2, "+", IF(COUNTIF($B54:AK54,"X")=0, "+", "-") ),
  IF(
    $A54&lt;AL$1,
    "O",
    IF( OFFSET(AL$1, COLUMN(AL54)-1, 0)="-", "O", IF(MOD($A54, AL$1)=0, "X", "O") )
  )
)</f>
        <v>O</v>
      </c>
      <c r="AM54" s="45" t="str">
        <f ca="1">IF(
  $A54=AM$1,
  IF( ROW(AM54)=2, "+", IF(COUNTIF($B54:AL54,"X")=0, "+", "-") ),
  IF(
    $A54&lt;AM$1,
    "O",
    IF( OFFSET(AM$1, COLUMN(AM54)-1, 0)="-", "O", IF(MOD($A54, AM$1)=0, "X", "O") )
  )
)</f>
        <v>O</v>
      </c>
      <c r="AN54" s="45" t="str">
        <f ca="1">IF(
  $A54=AN$1,
  IF( ROW(AN54)=2, "+", IF(COUNTIF($B54:AM54,"X")=0, "+", "-") ),
  IF(
    $A54&lt;AN$1,
    "O",
    IF( OFFSET(AN$1, COLUMN(AN54)-1, 0)="-", "O", IF(MOD($A54, AN$1)=0, "X", "O") )
  )
)</f>
        <v>O</v>
      </c>
      <c r="AO54" s="44" t="str">
        <f ca="1">IF(
  $A54=AO$1,
  IF( ROW(AO54)=2, "+", IF(COUNTIF($B54:AN54,"X")=0, "+", "-") ),
  IF(
    $A54&lt;AO$1,
    "O",
    IF( OFFSET(AO$1, COLUMN(AO54)-1, 0)="-", "O", IF(MOD($A54, AO$1)=0, "X", "O") )
  )
)</f>
        <v>O</v>
      </c>
      <c r="AP54" s="45" t="str">
        <f ca="1">IF(
  $A54=AP$1,
  IF( ROW(AP54)=2, "+", IF(COUNTIF($B54:AO54,"X")=0, "+", "-") ),
  IF(
    $A54&lt;AP$1,
    "O",
    IF( OFFSET(AP$1, COLUMN(AP54)-1, 0)="-", "O", IF(MOD($A54, AP$1)=0, "X", "O") )
  )
)</f>
        <v>O</v>
      </c>
      <c r="AQ54" s="44" t="str">
        <f ca="1">IF(
  $A54=AQ$1,
  IF( ROW(AQ54)=2, "+", IF(COUNTIF($B54:AP54,"X")=0, "+", "-") ),
  IF(
    $A54&lt;AQ$1,
    "O",
    IF( OFFSET(AQ$1, COLUMN(AQ54)-1, 0)="-", "O", IF(MOD($A54, AQ$1)=0, "X", "O") )
  )
)</f>
        <v>O</v>
      </c>
      <c r="AR54" s="45" t="str">
        <f ca="1">IF(
  $A54=AR$1,
  IF( ROW(AR54)=2, "+", IF(COUNTIF($B54:AQ54,"X")=0, "+", "-") ),
  IF(
    $A54&lt;AR$1,
    "O",
    IF( OFFSET(AR$1, COLUMN(AR54)-1, 0)="-", "O", IF(MOD($A54, AR$1)=0, "X", "O") )
  )
)</f>
        <v>O</v>
      </c>
      <c r="AS54" s="45" t="str">
        <f ca="1">IF(
  $A54=AS$1,
  IF( ROW(AS54)=2, "+", IF(COUNTIF($B54:AR54,"X")=0, "+", "-") ),
  IF(
    $A54&lt;AS$1,
    "O",
    IF( OFFSET(AS$1, COLUMN(AS54)-1, 0)="-", "O", IF(MOD($A54, AS$1)=0, "X", "O") )
  )
)</f>
        <v>O</v>
      </c>
      <c r="AT54" s="45" t="str">
        <f ca="1">IF(
  $A54=AT$1,
  IF( ROW(AT54)=2, "+", IF(COUNTIF($B54:AS54,"X")=0, "+", "-") ),
  IF(
    $A54&lt;AT$1,
    "O",
    IF( OFFSET(AT$1, COLUMN(AT54)-1, 0)="-", "O", IF(MOD($A54, AT$1)=0, "X", "O") )
  )
)</f>
        <v>O</v>
      </c>
      <c r="AU54" s="44" t="str">
        <f ca="1">IF(
  $A54=AU$1,
  IF( ROW(AU54)=2, "+", IF(COUNTIF($B54:AT54,"X")=0, "+", "-") ),
  IF(
    $A54&lt;AU$1,
    "O",
    IF( OFFSET(AU$1, COLUMN(AU54)-1, 0)="-", "O", IF(MOD($A54, AU$1)=0, "X", "O") )
  )
)</f>
        <v>O</v>
      </c>
      <c r="AV54" s="45" t="str">
        <f ca="1">IF(
  $A54=AV$1,
  IF( ROW(AV54)=2, "+", IF(COUNTIF($B54:AU54,"X")=0, "+", "-") ),
  IF(
    $A54&lt;AV$1,
    "O",
    IF( OFFSET(AV$1, COLUMN(AV54)-1, 0)="-", "O", IF(MOD($A54, AV$1)=0, "X", "O") )
  )
)</f>
        <v>O</v>
      </c>
      <c r="AW54" s="45" t="str">
        <f ca="1">IF(
  $A54=AW$1,
  IF( ROW(AW54)=2, "+", IF(COUNTIF($B54:AV54,"X")=0, "+", "-") ),
  IF(
    $A54&lt;AW$1,
    "O",
    IF( OFFSET(AW$1, COLUMN(AW54)-1, 0)="-", "O", IF(MOD($A54, AW$1)=0, "X", "O") )
  )
)</f>
        <v>O</v>
      </c>
      <c r="AX54" s="45" t="str">
        <f ca="1">IF(
  $A54=AX$1,
  IF( ROW(AX54)=2, "+", IF(COUNTIF($B54:AW54,"X")=0, "+", "-") ),
  IF(
    $A54&lt;AX$1,
    "O",
    IF( OFFSET(AX$1, COLUMN(AX54)-1, 0)="-", "O", IF(MOD($A54, AX$1)=0, "X", "O") )
  )
)</f>
        <v>O</v>
      </c>
      <c r="AY54" s="45" t="str">
        <f ca="1">IF(
  $A54=AY$1,
  IF( ROW(AY54)=2, "+", IF(COUNTIF($B54:AX54,"X")=0, "+", "-") ),
  IF(
    $A54&lt;AY$1,
    "O",
    IF( OFFSET(AY$1, COLUMN(AY54)-1, 0)="-", "O", IF(MOD($A54, AY$1)=0, "X", "O") )
  )
)</f>
        <v>O</v>
      </c>
      <c r="AZ54" s="45" t="str">
        <f ca="1">IF(
  $A54=AZ$1,
  IF( ROW(AZ54)=2, "+", IF(COUNTIF($B54:AY54,"X")=0, "+", "-") ),
  IF(
    $A54&lt;AZ$1,
    "O",
    IF( OFFSET(AZ$1, COLUMN(AZ54)-1, 0)="-", "O", IF(MOD($A54, AZ$1)=0, "X", "O") )
  )
)</f>
        <v>O</v>
      </c>
      <c r="BA54" s="44" t="str">
        <f ca="1">IF(
  $A54=BA$1,
  IF( ROW(BA54)=2, "+", IF(COUNTIF($B54:AZ54,"X")=0, "+", "-") ),
  IF(
    $A54&lt;BA$1,
    "O",
    IF( OFFSET(BA$1, COLUMN(BA54)-1, 0)="-", "O", IF(MOD($A54, BA$1)=0, "X", "O") )
  )
)</f>
        <v>O</v>
      </c>
      <c r="BB54" s="45" t="str">
        <f ca="1">IF(
  $A54=BB$1,
  IF( ROW(BB54)=2, "+", IF(COUNTIF($B54:BA54,"X")=0, "+", "-") ),
  IF(
    $A54&lt;BB$1,
    "O",
    IF( OFFSET(BB$1, COLUMN(BB54)-1, 0)="-", "O", IF(MOD($A54, BB$1)=0, "X", "O") )
  )
)</f>
        <v>-</v>
      </c>
      <c r="BC54" s="45" t="str">
        <f ca="1">IF(
  $A54=BC$1,
  IF( ROW(BC54)=2, "+", IF(COUNTIF($B54:BB54,"X")=0, "+", "-") ),
  IF(
    $A54&lt;BC$1,
    "O",
    IF( OFFSET(BC$1, COLUMN(BC54)-1, 0)="-", "O", IF(MOD($A54, BC$1)=0, "X", "O") )
  )
)</f>
        <v>O</v>
      </c>
      <c r="BD54" s="45" t="str">
        <f ca="1">IF(
  $A54=BD$1,
  IF( ROW(BD54)=2, "+", IF(COUNTIF($B54:BC54,"X")=0, "+", "-") ),
  IF(
    $A54&lt;BD$1,
    "O",
    IF( OFFSET(BD$1, COLUMN(BD54)-1, 0)="-", "O", IF(MOD($A54, BD$1)=0, "X", "O") )
  )
)</f>
        <v>O</v>
      </c>
      <c r="BE54" s="45" t="str">
        <f ca="1">IF(
  $A54=BE$1,
  IF( ROW(BE54)=2, "+", IF(COUNTIF($B54:BD54,"X")=0, "+", "-") ),
  IF(
    $A54&lt;BE$1,
    "O",
    IF( OFFSET(BE$1, COLUMN(BE54)-1, 0)="-", "O", IF(MOD($A54, BE$1)=0, "X", "O") )
  )
)</f>
        <v>O</v>
      </c>
      <c r="BF54" s="45" t="str">
        <f ca="1">IF(
  $A54=BF$1,
  IF( ROW(BF54)=2, "+", IF(COUNTIF($B54:BE54,"X")=0, "+", "-") ),
  IF(
    $A54&lt;BF$1,
    "O",
    IF( OFFSET(BF$1, COLUMN(BF54)-1, 0)="-", "O", IF(MOD($A54, BF$1)=0, "X", "O") )
  )
)</f>
        <v>O</v>
      </c>
      <c r="BG54" s="45" t="str">
        <f ca="1">IF(
  $A54=BG$1,
  IF( ROW(BG54)=2, "+", IF(COUNTIF($B54:BF54,"X")=0, "+", "-") ),
  IF(
    $A54&lt;BG$1,
    "O",
    IF( OFFSET(BG$1, COLUMN(BG54)-1, 0)="-", "O", IF(MOD($A54, BG$1)=0, "X", "O") )
  )
)</f>
        <v>O</v>
      </c>
      <c r="BH54" s="45" t="str">
        <f ca="1">IF(
  $A54=BH$1,
  IF( ROW(BH54)=2, "+", IF(COUNTIF($B54:BG54,"X")=0, "+", "-") ),
  IF(
    $A54&lt;BH$1,
    "O",
    IF( OFFSET(BH$1, COLUMN(BH54)-1, 0)="-", "O", IF(MOD($A54, BH$1)=0, "X", "O") )
  )
)</f>
        <v>O</v>
      </c>
    </row>
    <row r="55" spans="1:60" s="46" customFormat="1" x14ac:dyDescent="0.25">
      <c r="A55">
        <v>55</v>
      </c>
      <c r="B55" s="44" t="str">
        <f ca="1">IF(
  $A55=B$1,
  IF( ROW(B55)=2, "+", IF(COUNTIF(A55:$B55,"X")=0, "+", "-") ),
  IF(
    $A55&lt;B$1,
    "O",
    IF( OFFSET(B$1, COLUMN(B55)-1, 0)="-", "O", IF(MOD($A55, B$1)=0, "X", "O") )
  )
)</f>
        <v>O</v>
      </c>
      <c r="C55" s="44" t="str">
        <f ca="1">IF(
  $A55=C$1,
  IF( ROW(C55)=2, "+", IF(COUNTIF(B55:$B55,"X")=0, "+", "-") ),
  IF(
    $A55&lt;C$1,
    "O",
    IF( OFFSET(C$1, COLUMN(C55)-1, 0)="-", "O", IF(MOD($A55, C$1)=0, "X", "O") )
  )
)</f>
        <v>O</v>
      </c>
      <c r="D55" s="45" t="str">
        <f ca="1">IF(
  $A55=D$1,
  IF( ROW(D55)=2, "+", IF(COUNTIF($B55:C55,"X")=0, "+", "-") ),
  IF(
    $A55&lt;D$1,
    "O",
    IF( OFFSET(D$1, COLUMN(D55)-1, 0)="-", "O", IF(MOD($A55, D$1)=0, "X", "O") )
  )
)</f>
        <v>O</v>
      </c>
      <c r="E55" s="44" t="str">
        <f ca="1">IF(
  $A55=E$1,
  IF( ROW(E55)=2, "+", IF(COUNTIF($B55:D55,"X")=0, "+", "-") ),
  IF(
    $A55&lt;E$1,
    "O",
    IF( OFFSET(E$1, COLUMN(E55)-1, 0)="-", "O", IF(MOD($A55, E$1)=0, "X", "O") )
  )
)</f>
        <v>X</v>
      </c>
      <c r="F55" s="45" t="str">
        <f ca="1">IF(
  $A55=F$1,
  IF( ROW(F55)=2, "+", IF(COUNTIF($B55:E55,"X")=0, "+", "-") ),
  IF(
    $A55&lt;F$1,
    "O",
    IF( OFFSET(F$1, COLUMN(F55)-1, 0)="-", "O", IF(MOD($A55, F$1)=0, "X", "O") )
  )
)</f>
        <v>O</v>
      </c>
      <c r="G55" s="44" t="str">
        <f ca="1">IF(
  $A55=G$1,
  IF( ROW(G55)=2, "+", IF(COUNTIF($B55:F55,"X")=0, "+", "-") ),
  IF(
    $A55&lt;G$1,
    "O",
    IF( OFFSET(G$1, COLUMN(G55)-1, 0)="-", "O", IF(MOD($A55, G$1)=0, "X", "O") )
  )
)</f>
        <v>O</v>
      </c>
      <c r="H55" s="45" t="str">
        <f ca="1">IF(
  $A55=H$1,
  IF( ROW(H55)=2, "+", IF(COUNTIF($B55:G55,"X")=0, "+", "-") ),
  IF(
    $A55&lt;H$1,
    "O",
    IF( OFFSET(H$1, COLUMN(H55)-1, 0)="-", "O", IF(MOD($A55, H$1)=0, "X", "O") )
  )
)</f>
        <v>O</v>
      </c>
      <c r="I55" s="45" t="str">
        <f ca="1">IF(
  $A55=I$1,
  IF( ROW(I55)=2, "+", IF(COUNTIF($B55:H55,"X")=0, "+", "-") ),
  IF(
    $A55&lt;I$1,
    "O",
    IF( OFFSET(I$1, COLUMN(I55)-1, 0)="-", "O", IF(MOD($A55, I$1)=0, "X", "O") )
  )
)</f>
        <v>O</v>
      </c>
      <c r="J55" s="45" t="str">
        <f ca="1">IF(
  $A55=J$1,
  IF( ROW(J55)=2, "+", IF(COUNTIF($B55:I55,"X")=0, "+", "-") ),
  IF(
    $A55&lt;J$1,
    "O",
    IF( OFFSET(J$1, COLUMN(J55)-1, 0)="-", "O", IF(MOD($A55, J$1)=0, "X", "O") )
  )
)</f>
        <v>O</v>
      </c>
      <c r="K55" s="44" t="str">
        <f ca="1">IF(
  $A55=K$1,
  IF( ROW(K55)=2, "+", IF(COUNTIF($B55:J55,"X")=0, "+", "-") ),
  IF(
    $A55&lt;K$1,
    "O",
    IF( OFFSET(K$1, COLUMN(K55)-1, 0)="-", "O", IF(MOD($A55, K$1)=0, "X", "O") )
  )
)</f>
        <v>X</v>
      </c>
      <c r="L55" s="45" t="str">
        <f ca="1">IF(
  $A55=L$1,
  IF( ROW(L55)=2, "+", IF(COUNTIF($B55:K55,"X")=0, "+", "-") ),
  IF(
    $A55&lt;L$1,
    "O",
    IF( OFFSET(L$1, COLUMN(L55)-1, 0)="-", "O", IF(MOD($A55, L$1)=0, "X", "O") )
  )
)</f>
        <v>O</v>
      </c>
      <c r="M55" s="44" t="str">
        <f ca="1">IF(
  $A55=M$1,
  IF( ROW(M55)=2, "+", IF(COUNTIF($B55:L55,"X")=0, "+", "-") ),
  IF(
    $A55&lt;M$1,
    "O",
    IF( OFFSET(M$1, COLUMN(M55)-1, 0)="-", "O", IF(MOD($A55, M$1)=0, "X", "O") )
  )
)</f>
        <v>O</v>
      </c>
      <c r="N55" s="45" t="str">
        <f ca="1">IF(
  $A55=N$1,
  IF( ROW(N55)=2, "+", IF(COUNTIF($B55:M55,"X")=0, "+", "-") ),
  IF(
    $A55&lt;N$1,
    "O",
    IF( OFFSET(N$1, COLUMN(N55)-1, 0)="-", "O", IF(MOD($A55, N$1)=0, "X", "O") )
  )
)</f>
        <v>O</v>
      </c>
      <c r="O55" s="45" t="str">
        <f ca="1">IF(
  $A55=O$1,
  IF( ROW(O55)=2, "+", IF(COUNTIF($B55:N55,"X")=0, "+", "-") ),
  IF(
    $A55&lt;O$1,
    "O",
    IF( OFFSET(O$1, COLUMN(O55)-1, 0)="-", "O", IF(MOD($A55, O$1)=0, "X", "O") )
  )
)</f>
        <v>O</v>
      </c>
      <c r="P55" s="45" t="str">
        <f ca="1">IF(
  $A55=P$1,
  IF( ROW(P55)=2, "+", IF(COUNTIF($B55:O55,"X")=0, "+", "-") ),
  IF(
    $A55&lt;P$1,
    "O",
    IF( OFFSET(P$1, COLUMN(P55)-1, 0)="-", "O", IF(MOD($A55, P$1)=0, "X", "O") )
  )
)</f>
        <v>O</v>
      </c>
      <c r="Q55" s="44" t="str">
        <f ca="1">IF(
  $A55=Q$1,
  IF( ROW(Q55)=2, "+", IF(COUNTIF($B55:P55,"X")=0, "+", "-") ),
  IF(
    $A55&lt;Q$1,
    "O",
    IF( OFFSET(Q$1, COLUMN(Q55)-1, 0)="-", "O", IF(MOD($A55, Q$1)=0, "X", "O") )
  )
)</f>
        <v>O</v>
      </c>
      <c r="R55" s="45" t="str">
        <f ca="1">IF(
  $A55=R$1,
  IF( ROW(R55)=2, "+", IF(COUNTIF($B55:Q55,"X")=0, "+", "-") ),
  IF(
    $A55&lt;R$1,
    "O",
    IF( OFFSET(R$1, COLUMN(R55)-1, 0)="-", "O", IF(MOD($A55, R$1)=0, "X", "O") )
  )
)</f>
        <v>O</v>
      </c>
      <c r="S55" s="44" t="str">
        <f ca="1">IF(
  $A55=S$1,
  IF( ROW(S55)=2, "+", IF(COUNTIF($B55:R55,"X")=0, "+", "-") ),
  IF(
    $A55&lt;S$1,
    "O",
    IF( OFFSET(S$1, COLUMN(S55)-1, 0)="-", "O", IF(MOD($A55, S$1)=0, "X", "O") )
  )
)</f>
        <v>O</v>
      </c>
      <c r="T55" s="45" t="str">
        <f ca="1">IF(
  $A55=T$1,
  IF( ROW(T55)=2, "+", IF(COUNTIF($B55:S55,"X")=0, "+", "-") ),
  IF(
    $A55&lt;T$1,
    "O",
    IF( OFFSET(T$1, COLUMN(T55)-1, 0)="-", "O", IF(MOD($A55, T$1)=0, "X", "O") )
  )
)</f>
        <v>O</v>
      </c>
      <c r="U55" s="45" t="str">
        <f ca="1">IF(
  $A55=U$1,
  IF( ROW(U55)=2, "+", IF(COUNTIF($B55:T55,"X")=0, "+", "-") ),
  IF(
    $A55&lt;U$1,
    "O",
    IF( OFFSET(U$1, COLUMN(U55)-1, 0)="-", "O", IF(MOD($A55, U$1)=0, "X", "O") )
  )
)</f>
        <v>O</v>
      </c>
      <c r="V55" s="45" t="str">
        <f ca="1">IF(
  $A55=V$1,
  IF( ROW(V55)=2, "+", IF(COUNTIF($B55:U55,"X")=0, "+", "-") ),
  IF(
    $A55&lt;V$1,
    "O",
    IF( OFFSET(V$1, COLUMN(V55)-1, 0)="-", "O", IF(MOD($A55, V$1)=0, "X", "O") )
  )
)</f>
        <v>O</v>
      </c>
      <c r="W55" s="44" t="str">
        <f ca="1">IF(
  $A55=W$1,
  IF( ROW(W55)=2, "+", IF(COUNTIF($B55:V55,"X")=0, "+", "-") ),
  IF(
    $A55&lt;W$1,
    "O",
    IF( OFFSET(W$1, COLUMN(W55)-1, 0)="-", "O", IF(MOD($A55, W$1)=0, "X", "O") )
  )
)</f>
        <v>O</v>
      </c>
      <c r="X55" s="45" t="str">
        <f ca="1">IF(
  $A55=X$1,
  IF( ROW(X55)=2, "+", IF(COUNTIF($B55:W55,"X")=0, "+", "-") ),
  IF(
    $A55&lt;X$1,
    "O",
    IF( OFFSET(X$1, COLUMN(X55)-1, 0)="-", "O", IF(MOD($A55, X$1)=0, "X", "O") )
  )
)</f>
        <v>O</v>
      </c>
      <c r="Y55" s="45" t="str">
        <f ca="1">IF(
  $A55=Y$1,
  IF( ROW(Y55)=2, "+", IF(COUNTIF($B55:X55,"X")=0, "+", "-") ),
  IF(
    $A55&lt;Y$1,
    "O",
    IF( OFFSET(Y$1, COLUMN(Y55)-1, 0)="-", "O", IF(MOD($A55, Y$1)=0, "X", "O") )
  )
)</f>
        <v>O</v>
      </c>
      <c r="Z55" s="45" t="str">
        <f ca="1">IF(
  $A55=Z$1,
  IF( ROW(Z55)=2, "+", IF(COUNTIF($B55:Y55,"X")=0, "+", "-") ),
  IF(
    $A55&lt;Z$1,
    "O",
    IF( OFFSET(Z$1, COLUMN(Z55)-1, 0)="-", "O", IF(MOD($A55, Z$1)=0, "X", "O") )
  )
)</f>
        <v>O</v>
      </c>
      <c r="AA55" s="45" t="str">
        <f ca="1">IF(
  $A55=AA$1,
  IF( ROW(AA55)=2, "+", IF(COUNTIF($B55:Z55,"X")=0, "+", "-") ),
  IF(
    $A55&lt;AA$1,
    "O",
    IF( OFFSET(AA$1, COLUMN(AA55)-1, 0)="-", "O", IF(MOD($A55, AA$1)=0, "X", "O") )
  )
)</f>
        <v>O</v>
      </c>
      <c r="AB55" s="45" t="str">
        <f ca="1">IF(
  $A55=AB$1,
  IF( ROW(AB55)=2, "+", IF(COUNTIF($B55:AA55,"X")=0, "+", "-") ),
  IF(
    $A55&lt;AB$1,
    "O",
    IF( OFFSET(AB$1, COLUMN(AB55)-1, 0)="-", "O", IF(MOD($A55, AB$1)=0, "X", "O") )
  )
)</f>
        <v>O</v>
      </c>
      <c r="AC55" s="44" t="str">
        <f ca="1">IF(
  $A55=AC$1,
  IF( ROW(AC55)=2, "+", IF(COUNTIF($B55:AB55,"X")=0, "+", "-") ),
  IF(
    $A55&lt;AC$1,
    "O",
    IF( OFFSET(AC$1, COLUMN(AC55)-1, 0)="-", "O", IF(MOD($A55, AC$1)=0, "X", "O") )
  )
)</f>
        <v>O</v>
      </c>
      <c r="AD55" s="45" t="str">
        <f ca="1">IF(
  $A55=AD$1,
  IF( ROW(AD55)=2, "+", IF(COUNTIF($B55:AC55,"X")=0, "+", "-") ),
  IF(
    $A55&lt;AD$1,
    "O",
    IF( OFFSET(AD$1, COLUMN(AD55)-1, 0)="-", "O", IF(MOD($A55, AD$1)=0, "X", "O") )
  )
)</f>
        <v>O</v>
      </c>
      <c r="AE55" s="44" t="str">
        <f ca="1">IF(
  $A55=AE$1,
  IF( ROW(AE55)=2, "+", IF(COUNTIF($B55:AD55,"X")=0, "+", "-") ),
  IF(
    $A55&lt;AE$1,
    "O",
    IF( OFFSET(AE$1, COLUMN(AE55)-1, 0)="-", "O", IF(MOD($A55, AE$1)=0, "X", "O") )
  )
)</f>
        <v>O</v>
      </c>
      <c r="AF55" s="45" t="str">
        <f ca="1">IF(
  $A55=AF$1,
  IF( ROW(AF55)=2, "+", IF(COUNTIF($B55:AE55,"X")=0, "+", "-") ),
  IF(
    $A55&lt;AF$1,
    "O",
    IF( OFFSET(AF$1, COLUMN(AF55)-1, 0)="-", "O", IF(MOD($A55, AF$1)=0, "X", "O") )
  )
)</f>
        <v>O</v>
      </c>
      <c r="AG55" s="45" t="str">
        <f ca="1">IF(
  $A55=AG$1,
  IF( ROW(AG55)=2, "+", IF(COUNTIF($B55:AF55,"X")=0, "+", "-") ),
  IF(
    $A55&lt;AG$1,
    "O",
    IF( OFFSET(AG$1, COLUMN(AG55)-1, 0)="-", "O", IF(MOD($A55, AG$1)=0, "X", "O") )
  )
)</f>
        <v>O</v>
      </c>
      <c r="AH55" s="45" t="str">
        <f ca="1">IF(
  $A55=AH$1,
  IF( ROW(AH55)=2, "+", IF(COUNTIF($B55:AG55,"X")=0, "+", "-") ),
  IF(
    $A55&lt;AH$1,
    "O",
    IF( OFFSET(AH$1, COLUMN(AH55)-1, 0)="-", "O", IF(MOD($A55, AH$1)=0, "X", "O") )
  )
)</f>
        <v>O</v>
      </c>
      <c r="AI55" s="45" t="str">
        <f ca="1">IF(
  $A55=AI$1,
  IF( ROW(AI55)=2, "+", IF(COUNTIF($B55:AH55,"X")=0, "+", "-") ),
  IF(
    $A55&lt;AI$1,
    "O",
    IF( OFFSET(AI$1, COLUMN(AI55)-1, 0)="-", "O", IF(MOD($A55, AI$1)=0, "X", "O") )
  )
)</f>
        <v>O</v>
      </c>
      <c r="AJ55" s="45" t="str">
        <f ca="1">IF(
  $A55=AJ$1,
  IF( ROW(AJ55)=2, "+", IF(COUNTIF($B55:AI55,"X")=0, "+", "-") ),
  IF(
    $A55&lt;AJ$1,
    "O",
    IF( OFFSET(AJ$1, COLUMN(AJ55)-1, 0)="-", "O", IF(MOD($A55, AJ$1)=0, "X", "O") )
  )
)</f>
        <v>O</v>
      </c>
      <c r="AK55" s="44" t="str">
        <f ca="1">IF(
  $A55=AK$1,
  IF( ROW(AK55)=2, "+", IF(COUNTIF($B55:AJ55,"X")=0, "+", "-") ),
  IF(
    $A55&lt;AK$1,
    "O",
    IF( OFFSET(AK$1, COLUMN(AK55)-1, 0)="-", "O", IF(MOD($A55, AK$1)=0, "X", "O") )
  )
)</f>
        <v>O</v>
      </c>
      <c r="AL55" s="45" t="str">
        <f ca="1">IF(
  $A55=AL$1,
  IF( ROW(AL55)=2, "+", IF(COUNTIF($B55:AK55,"X")=0, "+", "-") ),
  IF(
    $A55&lt;AL$1,
    "O",
    IF( OFFSET(AL$1, COLUMN(AL55)-1, 0)="-", "O", IF(MOD($A55, AL$1)=0, "X", "O") )
  )
)</f>
        <v>O</v>
      </c>
      <c r="AM55" s="45" t="str">
        <f ca="1">IF(
  $A55=AM$1,
  IF( ROW(AM55)=2, "+", IF(COUNTIF($B55:AL55,"X")=0, "+", "-") ),
  IF(
    $A55&lt;AM$1,
    "O",
    IF( OFFSET(AM$1, COLUMN(AM55)-1, 0)="-", "O", IF(MOD($A55, AM$1)=0, "X", "O") )
  )
)</f>
        <v>O</v>
      </c>
      <c r="AN55" s="45" t="str">
        <f ca="1">IF(
  $A55=AN$1,
  IF( ROW(AN55)=2, "+", IF(COUNTIF($B55:AM55,"X")=0, "+", "-") ),
  IF(
    $A55&lt;AN$1,
    "O",
    IF( OFFSET(AN$1, COLUMN(AN55)-1, 0)="-", "O", IF(MOD($A55, AN$1)=0, "X", "O") )
  )
)</f>
        <v>O</v>
      </c>
      <c r="AO55" s="44" t="str">
        <f ca="1">IF(
  $A55=AO$1,
  IF( ROW(AO55)=2, "+", IF(COUNTIF($B55:AN55,"X")=0, "+", "-") ),
  IF(
    $A55&lt;AO$1,
    "O",
    IF( OFFSET(AO$1, COLUMN(AO55)-1, 0)="-", "O", IF(MOD($A55, AO$1)=0, "X", "O") )
  )
)</f>
        <v>O</v>
      </c>
      <c r="AP55" s="45" t="str">
        <f ca="1">IF(
  $A55=AP$1,
  IF( ROW(AP55)=2, "+", IF(COUNTIF($B55:AO55,"X")=0, "+", "-") ),
  IF(
    $A55&lt;AP$1,
    "O",
    IF( OFFSET(AP$1, COLUMN(AP55)-1, 0)="-", "O", IF(MOD($A55, AP$1)=0, "X", "O") )
  )
)</f>
        <v>O</v>
      </c>
      <c r="AQ55" s="44" t="str">
        <f ca="1">IF(
  $A55=AQ$1,
  IF( ROW(AQ55)=2, "+", IF(COUNTIF($B55:AP55,"X")=0, "+", "-") ),
  IF(
    $A55&lt;AQ$1,
    "O",
    IF( OFFSET(AQ$1, COLUMN(AQ55)-1, 0)="-", "O", IF(MOD($A55, AQ$1)=0, "X", "O") )
  )
)</f>
        <v>O</v>
      </c>
      <c r="AR55" s="45" t="str">
        <f ca="1">IF(
  $A55=AR$1,
  IF( ROW(AR55)=2, "+", IF(COUNTIF($B55:AQ55,"X")=0, "+", "-") ),
  IF(
    $A55&lt;AR$1,
    "O",
    IF( OFFSET(AR$1, COLUMN(AR55)-1, 0)="-", "O", IF(MOD($A55, AR$1)=0, "X", "O") )
  )
)</f>
        <v>O</v>
      </c>
      <c r="AS55" s="45" t="str">
        <f ca="1">IF(
  $A55=AS$1,
  IF( ROW(AS55)=2, "+", IF(COUNTIF($B55:AR55,"X")=0, "+", "-") ),
  IF(
    $A55&lt;AS$1,
    "O",
    IF( OFFSET(AS$1, COLUMN(AS55)-1, 0)="-", "O", IF(MOD($A55, AS$1)=0, "X", "O") )
  )
)</f>
        <v>O</v>
      </c>
      <c r="AT55" s="45" t="str">
        <f ca="1">IF(
  $A55=AT$1,
  IF( ROW(AT55)=2, "+", IF(COUNTIF($B55:AS55,"X")=0, "+", "-") ),
  IF(
    $A55&lt;AT$1,
    "O",
    IF( OFFSET(AT$1, COLUMN(AT55)-1, 0)="-", "O", IF(MOD($A55, AT$1)=0, "X", "O") )
  )
)</f>
        <v>O</v>
      </c>
      <c r="AU55" s="44" t="str">
        <f ca="1">IF(
  $A55=AU$1,
  IF( ROW(AU55)=2, "+", IF(COUNTIF($B55:AT55,"X")=0, "+", "-") ),
  IF(
    $A55&lt;AU$1,
    "O",
    IF( OFFSET(AU$1, COLUMN(AU55)-1, 0)="-", "O", IF(MOD($A55, AU$1)=0, "X", "O") )
  )
)</f>
        <v>O</v>
      </c>
      <c r="AV55" s="45" t="str">
        <f ca="1">IF(
  $A55=AV$1,
  IF( ROW(AV55)=2, "+", IF(COUNTIF($B55:AU55,"X")=0, "+", "-") ),
  IF(
    $A55&lt;AV$1,
    "O",
    IF( OFFSET(AV$1, COLUMN(AV55)-1, 0)="-", "O", IF(MOD($A55, AV$1)=0, "X", "O") )
  )
)</f>
        <v>O</v>
      </c>
      <c r="AW55" s="45" t="str">
        <f ca="1">IF(
  $A55=AW$1,
  IF( ROW(AW55)=2, "+", IF(COUNTIF($B55:AV55,"X")=0, "+", "-") ),
  IF(
    $A55&lt;AW$1,
    "O",
    IF( OFFSET(AW$1, COLUMN(AW55)-1, 0)="-", "O", IF(MOD($A55, AW$1)=0, "X", "O") )
  )
)</f>
        <v>O</v>
      </c>
      <c r="AX55" s="45" t="str">
        <f ca="1">IF(
  $A55=AX$1,
  IF( ROW(AX55)=2, "+", IF(COUNTIF($B55:AW55,"X")=0, "+", "-") ),
  IF(
    $A55&lt;AX$1,
    "O",
    IF( OFFSET(AX$1, COLUMN(AX55)-1, 0)="-", "O", IF(MOD($A55, AX$1)=0, "X", "O") )
  )
)</f>
        <v>O</v>
      </c>
      <c r="AY55" s="45" t="str">
        <f ca="1">IF(
  $A55=AY$1,
  IF( ROW(AY55)=2, "+", IF(COUNTIF($B55:AX55,"X")=0, "+", "-") ),
  IF(
    $A55&lt;AY$1,
    "O",
    IF( OFFSET(AY$1, COLUMN(AY55)-1, 0)="-", "O", IF(MOD($A55, AY$1)=0, "X", "O") )
  )
)</f>
        <v>O</v>
      </c>
      <c r="AZ55" s="45" t="str">
        <f ca="1">IF(
  $A55=AZ$1,
  IF( ROW(AZ55)=2, "+", IF(COUNTIF($B55:AY55,"X")=0, "+", "-") ),
  IF(
    $A55&lt;AZ$1,
    "O",
    IF( OFFSET(AZ$1, COLUMN(AZ55)-1, 0)="-", "O", IF(MOD($A55, AZ$1)=0, "X", "O") )
  )
)</f>
        <v>O</v>
      </c>
      <c r="BA55" s="44" t="str">
        <f ca="1">IF(
  $A55=BA$1,
  IF( ROW(BA55)=2, "+", IF(COUNTIF($B55:AZ55,"X")=0, "+", "-") ),
  IF(
    $A55&lt;BA$1,
    "O",
    IF( OFFSET(BA$1, COLUMN(BA55)-1, 0)="-", "O", IF(MOD($A55, BA$1)=0, "X", "O") )
  )
)</f>
        <v>O</v>
      </c>
      <c r="BB55" s="45" t="str">
        <f ca="1">IF(
  $A55=BB$1,
  IF( ROW(BB55)=2, "+", IF(COUNTIF($B55:BA55,"X")=0, "+", "-") ),
  IF(
    $A55&lt;BB$1,
    "O",
    IF( OFFSET(BB$1, COLUMN(BB55)-1, 0)="-", "O", IF(MOD($A55, BB$1)=0, "X", "O") )
  )
)</f>
        <v>O</v>
      </c>
      <c r="BC55" s="45" t="str">
        <f ca="1">IF(
  $A55=BC$1,
  IF( ROW(BC55)=2, "+", IF(COUNTIF($B55:BB55,"X")=0, "+", "-") ),
  IF(
    $A55&lt;BC$1,
    "O",
    IF( OFFSET(BC$1, COLUMN(BC55)-1, 0)="-", "O", IF(MOD($A55, BC$1)=0, "X", "O") )
  )
)</f>
        <v>-</v>
      </c>
      <c r="BD55" s="45" t="str">
        <f ca="1">IF(
  $A55=BD$1,
  IF( ROW(BD55)=2, "+", IF(COUNTIF($B55:BC55,"X")=0, "+", "-") ),
  IF(
    $A55&lt;BD$1,
    "O",
    IF( OFFSET(BD$1, COLUMN(BD55)-1, 0)="-", "O", IF(MOD($A55, BD$1)=0, "X", "O") )
  )
)</f>
        <v>O</v>
      </c>
      <c r="BE55" s="45" t="str">
        <f ca="1">IF(
  $A55=BE$1,
  IF( ROW(BE55)=2, "+", IF(COUNTIF($B55:BD55,"X")=0, "+", "-") ),
  IF(
    $A55&lt;BE$1,
    "O",
    IF( OFFSET(BE$1, COLUMN(BE55)-1, 0)="-", "O", IF(MOD($A55, BE$1)=0, "X", "O") )
  )
)</f>
        <v>O</v>
      </c>
      <c r="BF55" s="45" t="str">
        <f ca="1">IF(
  $A55=BF$1,
  IF( ROW(BF55)=2, "+", IF(COUNTIF($B55:BE55,"X")=0, "+", "-") ),
  IF(
    $A55&lt;BF$1,
    "O",
    IF( OFFSET(BF$1, COLUMN(BF55)-1, 0)="-", "O", IF(MOD($A55, BF$1)=0, "X", "O") )
  )
)</f>
        <v>O</v>
      </c>
      <c r="BG55" s="45" t="str">
        <f ca="1">IF(
  $A55=BG$1,
  IF( ROW(BG55)=2, "+", IF(COUNTIF($B55:BF55,"X")=0, "+", "-") ),
  IF(
    $A55&lt;BG$1,
    "O",
    IF( OFFSET(BG$1, COLUMN(BG55)-1, 0)="-", "O", IF(MOD($A55, BG$1)=0, "X", "O") )
  )
)</f>
        <v>O</v>
      </c>
      <c r="BH55" s="45" t="str">
        <f ca="1">IF(
  $A55=BH$1,
  IF( ROW(BH55)=2, "+", IF(COUNTIF($B55:BG55,"X")=0, "+", "-") ),
  IF(
    $A55&lt;BH$1,
    "O",
    IF( OFFSET(BH$1, COLUMN(BH55)-1, 0)="-", "O", IF(MOD($A55, BH$1)=0, "X", "O") )
  )
)</f>
        <v>O</v>
      </c>
    </row>
    <row r="56" spans="1:60" s="46" customFormat="1" x14ac:dyDescent="0.25">
      <c r="A56">
        <v>56</v>
      </c>
      <c r="B56" s="44" t="str">
        <f ca="1">IF(
  $A56=B$1,
  IF( ROW(B56)=2, "+", IF(COUNTIF(A56:$B56,"X")=0, "+", "-") ),
  IF(
    $A56&lt;B$1,
    "O",
    IF( OFFSET(B$1, COLUMN(B56)-1, 0)="-", "O", IF(MOD($A56, B$1)=0, "X", "O") )
  )
)</f>
        <v>X</v>
      </c>
      <c r="C56" s="44" t="str">
        <f ca="1">IF(
  $A56=C$1,
  IF( ROW(C56)=2, "+", IF(COUNTIF(B56:$B56,"X")=0, "+", "-") ),
  IF(
    $A56&lt;C$1,
    "O",
    IF( OFFSET(C$1, COLUMN(C56)-1, 0)="-", "O", IF(MOD($A56, C$1)=0, "X", "O") )
  )
)</f>
        <v>O</v>
      </c>
      <c r="D56" s="45" t="str">
        <f ca="1">IF(
  $A56=D$1,
  IF( ROW(D56)=2, "+", IF(COUNTIF($B56:C56,"X")=0, "+", "-") ),
  IF(
    $A56&lt;D$1,
    "O",
    IF( OFFSET(D$1, COLUMN(D56)-1, 0)="-", "O", IF(MOD($A56, D$1)=0, "X", "O") )
  )
)</f>
        <v>O</v>
      </c>
      <c r="E56" s="44" t="str">
        <f ca="1">IF(
  $A56=E$1,
  IF( ROW(E56)=2, "+", IF(COUNTIF($B56:D56,"X")=0, "+", "-") ),
  IF(
    $A56&lt;E$1,
    "O",
    IF( OFFSET(E$1, COLUMN(E56)-1, 0)="-", "O", IF(MOD($A56, E$1)=0, "X", "O") )
  )
)</f>
        <v>O</v>
      </c>
      <c r="F56" s="45" t="str">
        <f ca="1">IF(
  $A56=F$1,
  IF( ROW(F56)=2, "+", IF(COUNTIF($B56:E56,"X")=0, "+", "-") ),
  IF(
    $A56&lt;F$1,
    "O",
    IF( OFFSET(F$1, COLUMN(F56)-1, 0)="-", "O", IF(MOD($A56, F$1)=0, "X", "O") )
  )
)</f>
        <v>O</v>
      </c>
      <c r="G56" s="44" t="str">
        <f ca="1">IF(
  $A56=G$1,
  IF( ROW(G56)=2, "+", IF(COUNTIF($B56:F56,"X")=0, "+", "-") ),
  IF(
    $A56&lt;G$1,
    "O",
    IF( OFFSET(G$1, COLUMN(G56)-1, 0)="-", "O", IF(MOD($A56, G$1)=0, "X", "O") )
  )
)</f>
        <v>X</v>
      </c>
      <c r="H56" s="45" t="str">
        <f ca="1">IF(
  $A56=H$1,
  IF( ROW(H56)=2, "+", IF(COUNTIF($B56:G56,"X")=0, "+", "-") ),
  IF(
    $A56&lt;H$1,
    "O",
    IF( OFFSET(H$1, COLUMN(H56)-1, 0)="-", "O", IF(MOD($A56, H$1)=0, "X", "O") )
  )
)</f>
        <v>O</v>
      </c>
      <c r="I56" s="45" t="str">
        <f ca="1">IF(
  $A56=I$1,
  IF( ROW(I56)=2, "+", IF(COUNTIF($B56:H56,"X")=0, "+", "-") ),
  IF(
    $A56&lt;I$1,
    "O",
    IF( OFFSET(I$1, COLUMN(I56)-1, 0)="-", "O", IF(MOD($A56, I$1)=0, "X", "O") )
  )
)</f>
        <v>O</v>
      </c>
      <c r="J56" s="45" t="str">
        <f ca="1">IF(
  $A56=J$1,
  IF( ROW(J56)=2, "+", IF(COUNTIF($B56:I56,"X")=0, "+", "-") ),
  IF(
    $A56&lt;J$1,
    "O",
    IF( OFFSET(J$1, COLUMN(J56)-1, 0)="-", "O", IF(MOD($A56, J$1)=0, "X", "O") )
  )
)</f>
        <v>O</v>
      </c>
      <c r="K56" s="44" t="str">
        <f ca="1">IF(
  $A56=K$1,
  IF( ROW(K56)=2, "+", IF(COUNTIF($B56:J56,"X")=0, "+", "-") ),
  IF(
    $A56&lt;K$1,
    "O",
    IF( OFFSET(K$1, COLUMN(K56)-1, 0)="-", "O", IF(MOD($A56, K$1)=0, "X", "O") )
  )
)</f>
        <v>O</v>
      </c>
      <c r="L56" s="45" t="str">
        <f ca="1">IF(
  $A56=L$1,
  IF( ROW(L56)=2, "+", IF(COUNTIF($B56:K56,"X")=0, "+", "-") ),
  IF(
    $A56&lt;L$1,
    "O",
    IF( OFFSET(L$1, COLUMN(L56)-1, 0)="-", "O", IF(MOD($A56, L$1)=0, "X", "O") )
  )
)</f>
        <v>O</v>
      </c>
      <c r="M56" s="44" t="str">
        <f ca="1">IF(
  $A56=M$1,
  IF( ROW(M56)=2, "+", IF(COUNTIF($B56:L56,"X")=0, "+", "-") ),
  IF(
    $A56&lt;M$1,
    "O",
    IF( OFFSET(M$1, COLUMN(M56)-1, 0)="-", "O", IF(MOD($A56, M$1)=0, "X", "O") )
  )
)</f>
        <v>O</v>
      </c>
      <c r="N56" s="45" t="str">
        <f ca="1">IF(
  $A56=N$1,
  IF( ROW(N56)=2, "+", IF(COUNTIF($B56:M56,"X")=0, "+", "-") ),
  IF(
    $A56&lt;N$1,
    "O",
    IF( OFFSET(N$1, COLUMN(N56)-1, 0)="-", "O", IF(MOD($A56, N$1)=0, "X", "O") )
  )
)</f>
        <v>O</v>
      </c>
      <c r="O56" s="45" t="str">
        <f ca="1">IF(
  $A56=O$1,
  IF( ROW(O56)=2, "+", IF(COUNTIF($B56:N56,"X")=0, "+", "-") ),
  IF(
    $A56&lt;O$1,
    "O",
    IF( OFFSET(O$1, COLUMN(O56)-1, 0)="-", "O", IF(MOD($A56, O$1)=0, "X", "O") )
  )
)</f>
        <v>O</v>
      </c>
      <c r="P56" s="45" t="str">
        <f ca="1">IF(
  $A56=P$1,
  IF( ROW(P56)=2, "+", IF(COUNTIF($B56:O56,"X")=0, "+", "-") ),
  IF(
    $A56&lt;P$1,
    "O",
    IF( OFFSET(P$1, COLUMN(P56)-1, 0)="-", "O", IF(MOD($A56, P$1)=0, "X", "O") )
  )
)</f>
        <v>O</v>
      </c>
      <c r="Q56" s="44" t="str">
        <f ca="1">IF(
  $A56=Q$1,
  IF( ROW(Q56)=2, "+", IF(COUNTIF($B56:P56,"X")=0, "+", "-") ),
  IF(
    $A56&lt;Q$1,
    "O",
    IF( OFFSET(Q$1, COLUMN(Q56)-1, 0)="-", "O", IF(MOD($A56, Q$1)=0, "X", "O") )
  )
)</f>
        <v>O</v>
      </c>
      <c r="R56" s="45" t="str">
        <f ca="1">IF(
  $A56=R$1,
  IF( ROW(R56)=2, "+", IF(COUNTIF($B56:Q56,"X")=0, "+", "-") ),
  IF(
    $A56&lt;R$1,
    "O",
    IF( OFFSET(R$1, COLUMN(R56)-1, 0)="-", "O", IF(MOD($A56, R$1)=0, "X", "O") )
  )
)</f>
        <v>O</v>
      </c>
      <c r="S56" s="44" t="str">
        <f ca="1">IF(
  $A56=S$1,
  IF( ROW(S56)=2, "+", IF(COUNTIF($B56:R56,"X")=0, "+", "-") ),
  IF(
    $A56&lt;S$1,
    "O",
    IF( OFFSET(S$1, COLUMN(S56)-1, 0)="-", "O", IF(MOD($A56, S$1)=0, "X", "O") )
  )
)</f>
        <v>O</v>
      </c>
      <c r="T56" s="45" t="str">
        <f ca="1">IF(
  $A56=T$1,
  IF( ROW(T56)=2, "+", IF(COUNTIF($B56:S56,"X")=0, "+", "-") ),
  IF(
    $A56&lt;T$1,
    "O",
    IF( OFFSET(T$1, COLUMN(T56)-1, 0)="-", "O", IF(MOD($A56, T$1)=0, "X", "O") )
  )
)</f>
        <v>O</v>
      </c>
      <c r="U56" s="45" t="str">
        <f ca="1">IF(
  $A56=U$1,
  IF( ROW(U56)=2, "+", IF(COUNTIF($B56:T56,"X")=0, "+", "-") ),
  IF(
    $A56&lt;U$1,
    "O",
    IF( OFFSET(U$1, COLUMN(U56)-1, 0)="-", "O", IF(MOD($A56, U$1)=0, "X", "O") )
  )
)</f>
        <v>O</v>
      </c>
      <c r="V56" s="45" t="str">
        <f ca="1">IF(
  $A56=V$1,
  IF( ROW(V56)=2, "+", IF(COUNTIF($B56:U56,"X")=0, "+", "-") ),
  IF(
    $A56&lt;V$1,
    "O",
    IF( OFFSET(V$1, COLUMN(V56)-1, 0)="-", "O", IF(MOD($A56, V$1)=0, "X", "O") )
  )
)</f>
        <v>O</v>
      </c>
      <c r="W56" s="44" t="str">
        <f ca="1">IF(
  $A56=W$1,
  IF( ROW(W56)=2, "+", IF(COUNTIF($B56:V56,"X")=0, "+", "-") ),
  IF(
    $A56&lt;W$1,
    "O",
    IF( OFFSET(W$1, COLUMN(W56)-1, 0)="-", "O", IF(MOD($A56, W$1)=0, "X", "O") )
  )
)</f>
        <v>O</v>
      </c>
      <c r="X56" s="45" t="str">
        <f ca="1">IF(
  $A56=X$1,
  IF( ROW(X56)=2, "+", IF(COUNTIF($B56:W56,"X")=0, "+", "-") ),
  IF(
    $A56&lt;X$1,
    "O",
    IF( OFFSET(X$1, COLUMN(X56)-1, 0)="-", "O", IF(MOD($A56, X$1)=0, "X", "O") )
  )
)</f>
        <v>O</v>
      </c>
      <c r="Y56" s="45" t="str">
        <f ca="1">IF(
  $A56=Y$1,
  IF( ROW(Y56)=2, "+", IF(COUNTIF($B56:X56,"X")=0, "+", "-") ),
  IF(
    $A56&lt;Y$1,
    "O",
    IF( OFFSET(Y$1, COLUMN(Y56)-1, 0)="-", "O", IF(MOD($A56, Y$1)=0, "X", "O") )
  )
)</f>
        <v>O</v>
      </c>
      <c r="Z56" s="45" t="str">
        <f ca="1">IF(
  $A56=Z$1,
  IF( ROW(Z56)=2, "+", IF(COUNTIF($B56:Y56,"X")=0, "+", "-") ),
  IF(
    $A56&lt;Z$1,
    "O",
    IF( OFFSET(Z$1, COLUMN(Z56)-1, 0)="-", "O", IF(MOD($A56, Z$1)=0, "X", "O") )
  )
)</f>
        <v>O</v>
      </c>
      <c r="AA56" s="45" t="str">
        <f ca="1">IF(
  $A56=AA$1,
  IF( ROW(AA56)=2, "+", IF(COUNTIF($B56:Z56,"X")=0, "+", "-") ),
  IF(
    $A56&lt;AA$1,
    "O",
    IF( OFFSET(AA$1, COLUMN(AA56)-1, 0)="-", "O", IF(MOD($A56, AA$1)=0, "X", "O") )
  )
)</f>
        <v>O</v>
      </c>
      <c r="AB56" s="45" t="str">
        <f ca="1">IF(
  $A56=AB$1,
  IF( ROW(AB56)=2, "+", IF(COUNTIF($B56:AA56,"X")=0, "+", "-") ),
  IF(
    $A56&lt;AB$1,
    "O",
    IF( OFFSET(AB$1, COLUMN(AB56)-1, 0)="-", "O", IF(MOD($A56, AB$1)=0, "X", "O") )
  )
)</f>
        <v>O</v>
      </c>
      <c r="AC56" s="44" t="str">
        <f ca="1">IF(
  $A56=AC$1,
  IF( ROW(AC56)=2, "+", IF(COUNTIF($B56:AB56,"X")=0, "+", "-") ),
  IF(
    $A56&lt;AC$1,
    "O",
    IF( OFFSET(AC$1, COLUMN(AC56)-1, 0)="-", "O", IF(MOD($A56, AC$1)=0, "X", "O") )
  )
)</f>
        <v>O</v>
      </c>
      <c r="AD56" s="45" t="str">
        <f ca="1">IF(
  $A56=AD$1,
  IF( ROW(AD56)=2, "+", IF(COUNTIF($B56:AC56,"X")=0, "+", "-") ),
  IF(
    $A56&lt;AD$1,
    "O",
    IF( OFFSET(AD$1, COLUMN(AD56)-1, 0)="-", "O", IF(MOD($A56, AD$1)=0, "X", "O") )
  )
)</f>
        <v>O</v>
      </c>
      <c r="AE56" s="44" t="str">
        <f ca="1">IF(
  $A56=AE$1,
  IF( ROW(AE56)=2, "+", IF(COUNTIF($B56:AD56,"X")=0, "+", "-") ),
  IF(
    $A56&lt;AE$1,
    "O",
    IF( OFFSET(AE$1, COLUMN(AE56)-1, 0)="-", "O", IF(MOD($A56, AE$1)=0, "X", "O") )
  )
)</f>
        <v>O</v>
      </c>
      <c r="AF56" s="45" t="str">
        <f ca="1">IF(
  $A56=AF$1,
  IF( ROW(AF56)=2, "+", IF(COUNTIF($B56:AE56,"X")=0, "+", "-") ),
  IF(
    $A56&lt;AF$1,
    "O",
    IF( OFFSET(AF$1, COLUMN(AF56)-1, 0)="-", "O", IF(MOD($A56, AF$1)=0, "X", "O") )
  )
)</f>
        <v>O</v>
      </c>
      <c r="AG56" s="45" t="str">
        <f ca="1">IF(
  $A56=AG$1,
  IF( ROW(AG56)=2, "+", IF(COUNTIF($B56:AF56,"X")=0, "+", "-") ),
  IF(
    $A56&lt;AG$1,
    "O",
    IF( OFFSET(AG$1, COLUMN(AG56)-1, 0)="-", "O", IF(MOD($A56, AG$1)=0, "X", "O") )
  )
)</f>
        <v>O</v>
      </c>
      <c r="AH56" s="45" t="str">
        <f ca="1">IF(
  $A56=AH$1,
  IF( ROW(AH56)=2, "+", IF(COUNTIF($B56:AG56,"X")=0, "+", "-") ),
  IF(
    $A56&lt;AH$1,
    "O",
    IF( OFFSET(AH$1, COLUMN(AH56)-1, 0)="-", "O", IF(MOD($A56, AH$1)=0, "X", "O") )
  )
)</f>
        <v>O</v>
      </c>
      <c r="AI56" s="45" t="str">
        <f ca="1">IF(
  $A56=AI$1,
  IF( ROW(AI56)=2, "+", IF(COUNTIF($B56:AH56,"X")=0, "+", "-") ),
  IF(
    $A56&lt;AI$1,
    "O",
    IF( OFFSET(AI$1, COLUMN(AI56)-1, 0)="-", "O", IF(MOD($A56, AI$1)=0, "X", "O") )
  )
)</f>
        <v>O</v>
      </c>
      <c r="AJ56" s="45" t="str">
        <f ca="1">IF(
  $A56=AJ$1,
  IF( ROW(AJ56)=2, "+", IF(COUNTIF($B56:AI56,"X")=0, "+", "-") ),
  IF(
    $A56&lt;AJ$1,
    "O",
    IF( OFFSET(AJ$1, COLUMN(AJ56)-1, 0)="-", "O", IF(MOD($A56, AJ$1)=0, "X", "O") )
  )
)</f>
        <v>O</v>
      </c>
      <c r="AK56" s="44" t="str">
        <f ca="1">IF(
  $A56=AK$1,
  IF( ROW(AK56)=2, "+", IF(COUNTIF($B56:AJ56,"X")=0, "+", "-") ),
  IF(
    $A56&lt;AK$1,
    "O",
    IF( OFFSET(AK$1, COLUMN(AK56)-1, 0)="-", "O", IF(MOD($A56, AK$1)=0, "X", "O") )
  )
)</f>
        <v>O</v>
      </c>
      <c r="AL56" s="45" t="str">
        <f ca="1">IF(
  $A56=AL$1,
  IF( ROW(AL56)=2, "+", IF(COUNTIF($B56:AK56,"X")=0, "+", "-") ),
  IF(
    $A56&lt;AL$1,
    "O",
    IF( OFFSET(AL$1, COLUMN(AL56)-1, 0)="-", "O", IF(MOD($A56, AL$1)=0, "X", "O") )
  )
)</f>
        <v>O</v>
      </c>
      <c r="AM56" s="45" t="str">
        <f ca="1">IF(
  $A56=AM$1,
  IF( ROW(AM56)=2, "+", IF(COUNTIF($B56:AL56,"X")=0, "+", "-") ),
  IF(
    $A56&lt;AM$1,
    "O",
    IF( OFFSET(AM$1, COLUMN(AM56)-1, 0)="-", "O", IF(MOD($A56, AM$1)=0, "X", "O") )
  )
)</f>
        <v>O</v>
      </c>
      <c r="AN56" s="45" t="str">
        <f ca="1">IF(
  $A56=AN$1,
  IF( ROW(AN56)=2, "+", IF(COUNTIF($B56:AM56,"X")=0, "+", "-") ),
  IF(
    $A56&lt;AN$1,
    "O",
    IF( OFFSET(AN$1, COLUMN(AN56)-1, 0)="-", "O", IF(MOD($A56, AN$1)=0, "X", "O") )
  )
)</f>
        <v>O</v>
      </c>
      <c r="AO56" s="44" t="str">
        <f ca="1">IF(
  $A56=AO$1,
  IF( ROW(AO56)=2, "+", IF(COUNTIF($B56:AN56,"X")=0, "+", "-") ),
  IF(
    $A56&lt;AO$1,
    "O",
    IF( OFFSET(AO$1, COLUMN(AO56)-1, 0)="-", "O", IF(MOD($A56, AO$1)=0, "X", "O") )
  )
)</f>
        <v>O</v>
      </c>
      <c r="AP56" s="45" t="str">
        <f ca="1">IF(
  $A56=AP$1,
  IF( ROW(AP56)=2, "+", IF(COUNTIF($B56:AO56,"X")=0, "+", "-") ),
  IF(
    $A56&lt;AP$1,
    "O",
    IF( OFFSET(AP$1, COLUMN(AP56)-1, 0)="-", "O", IF(MOD($A56, AP$1)=0, "X", "O") )
  )
)</f>
        <v>O</v>
      </c>
      <c r="AQ56" s="44" t="str">
        <f ca="1">IF(
  $A56=AQ$1,
  IF( ROW(AQ56)=2, "+", IF(COUNTIF($B56:AP56,"X")=0, "+", "-") ),
  IF(
    $A56&lt;AQ$1,
    "O",
    IF( OFFSET(AQ$1, COLUMN(AQ56)-1, 0)="-", "O", IF(MOD($A56, AQ$1)=0, "X", "O") )
  )
)</f>
        <v>O</v>
      </c>
      <c r="AR56" s="45" t="str">
        <f ca="1">IF(
  $A56=AR$1,
  IF( ROW(AR56)=2, "+", IF(COUNTIF($B56:AQ56,"X")=0, "+", "-") ),
  IF(
    $A56&lt;AR$1,
    "O",
    IF( OFFSET(AR$1, COLUMN(AR56)-1, 0)="-", "O", IF(MOD($A56, AR$1)=0, "X", "O") )
  )
)</f>
        <v>O</v>
      </c>
      <c r="AS56" s="45" t="str">
        <f ca="1">IF(
  $A56=AS$1,
  IF( ROW(AS56)=2, "+", IF(COUNTIF($B56:AR56,"X")=0, "+", "-") ),
  IF(
    $A56&lt;AS$1,
    "O",
    IF( OFFSET(AS$1, COLUMN(AS56)-1, 0)="-", "O", IF(MOD($A56, AS$1)=0, "X", "O") )
  )
)</f>
        <v>O</v>
      </c>
      <c r="AT56" s="45" t="str">
        <f ca="1">IF(
  $A56=AT$1,
  IF( ROW(AT56)=2, "+", IF(COUNTIF($B56:AS56,"X")=0, "+", "-") ),
  IF(
    $A56&lt;AT$1,
    "O",
    IF( OFFSET(AT$1, COLUMN(AT56)-1, 0)="-", "O", IF(MOD($A56, AT$1)=0, "X", "O") )
  )
)</f>
        <v>O</v>
      </c>
      <c r="AU56" s="44" t="str">
        <f ca="1">IF(
  $A56=AU$1,
  IF( ROW(AU56)=2, "+", IF(COUNTIF($B56:AT56,"X")=0, "+", "-") ),
  IF(
    $A56&lt;AU$1,
    "O",
    IF( OFFSET(AU$1, COLUMN(AU56)-1, 0)="-", "O", IF(MOD($A56, AU$1)=0, "X", "O") )
  )
)</f>
        <v>O</v>
      </c>
      <c r="AV56" s="45" t="str">
        <f ca="1">IF(
  $A56=AV$1,
  IF( ROW(AV56)=2, "+", IF(COUNTIF($B56:AU56,"X")=0, "+", "-") ),
  IF(
    $A56&lt;AV$1,
    "O",
    IF( OFFSET(AV$1, COLUMN(AV56)-1, 0)="-", "O", IF(MOD($A56, AV$1)=0, "X", "O") )
  )
)</f>
        <v>O</v>
      </c>
      <c r="AW56" s="45" t="str">
        <f ca="1">IF(
  $A56=AW$1,
  IF( ROW(AW56)=2, "+", IF(COUNTIF($B56:AV56,"X")=0, "+", "-") ),
  IF(
    $A56&lt;AW$1,
    "O",
    IF( OFFSET(AW$1, COLUMN(AW56)-1, 0)="-", "O", IF(MOD($A56, AW$1)=0, "X", "O") )
  )
)</f>
        <v>O</v>
      </c>
      <c r="AX56" s="45" t="str">
        <f ca="1">IF(
  $A56=AX$1,
  IF( ROW(AX56)=2, "+", IF(COUNTIF($B56:AW56,"X")=0, "+", "-") ),
  IF(
    $A56&lt;AX$1,
    "O",
    IF( OFFSET(AX$1, COLUMN(AX56)-1, 0)="-", "O", IF(MOD($A56, AX$1)=0, "X", "O") )
  )
)</f>
        <v>O</v>
      </c>
      <c r="AY56" s="45" t="str">
        <f ca="1">IF(
  $A56=AY$1,
  IF( ROW(AY56)=2, "+", IF(COUNTIF($B56:AX56,"X")=0, "+", "-") ),
  IF(
    $A56&lt;AY$1,
    "O",
    IF( OFFSET(AY$1, COLUMN(AY56)-1, 0)="-", "O", IF(MOD($A56, AY$1)=0, "X", "O") )
  )
)</f>
        <v>O</v>
      </c>
      <c r="AZ56" s="45" t="str">
        <f ca="1">IF(
  $A56=AZ$1,
  IF( ROW(AZ56)=2, "+", IF(COUNTIF($B56:AY56,"X")=0, "+", "-") ),
  IF(
    $A56&lt;AZ$1,
    "O",
    IF( OFFSET(AZ$1, COLUMN(AZ56)-1, 0)="-", "O", IF(MOD($A56, AZ$1)=0, "X", "O") )
  )
)</f>
        <v>O</v>
      </c>
      <c r="BA56" s="44" t="str">
        <f ca="1">IF(
  $A56=BA$1,
  IF( ROW(BA56)=2, "+", IF(COUNTIF($B56:AZ56,"X")=0, "+", "-") ),
  IF(
    $A56&lt;BA$1,
    "O",
    IF( OFFSET(BA$1, COLUMN(BA56)-1, 0)="-", "O", IF(MOD($A56, BA$1)=0, "X", "O") )
  )
)</f>
        <v>O</v>
      </c>
      <c r="BB56" s="45" t="str">
        <f ca="1">IF(
  $A56=BB$1,
  IF( ROW(BB56)=2, "+", IF(COUNTIF($B56:BA56,"X")=0, "+", "-") ),
  IF(
    $A56&lt;BB$1,
    "O",
    IF( OFFSET(BB$1, COLUMN(BB56)-1, 0)="-", "O", IF(MOD($A56, BB$1)=0, "X", "O") )
  )
)</f>
        <v>O</v>
      </c>
      <c r="BC56" s="45" t="str">
        <f ca="1">IF(
  $A56=BC$1,
  IF( ROW(BC56)=2, "+", IF(COUNTIF($B56:BB56,"X")=0, "+", "-") ),
  IF(
    $A56&lt;BC$1,
    "O",
    IF( OFFSET(BC$1, COLUMN(BC56)-1, 0)="-", "O", IF(MOD($A56, BC$1)=0, "X", "O") )
  )
)</f>
        <v>O</v>
      </c>
      <c r="BD56" s="45" t="str">
        <f ca="1">IF(
  $A56=BD$1,
  IF( ROW(BD56)=2, "+", IF(COUNTIF($B56:BC56,"X")=0, "+", "-") ),
  IF(
    $A56&lt;BD$1,
    "O",
    IF( OFFSET(BD$1, COLUMN(BD56)-1, 0)="-", "O", IF(MOD($A56, BD$1)=0, "X", "O") )
  )
)</f>
        <v>-</v>
      </c>
      <c r="BE56" s="45" t="str">
        <f ca="1">IF(
  $A56=BE$1,
  IF( ROW(BE56)=2, "+", IF(COUNTIF($B56:BD56,"X")=0, "+", "-") ),
  IF(
    $A56&lt;BE$1,
    "O",
    IF( OFFSET(BE$1, COLUMN(BE56)-1, 0)="-", "O", IF(MOD($A56, BE$1)=0, "X", "O") )
  )
)</f>
        <v>O</v>
      </c>
      <c r="BF56" s="45" t="str">
        <f ca="1">IF(
  $A56=BF$1,
  IF( ROW(BF56)=2, "+", IF(COUNTIF($B56:BE56,"X")=0, "+", "-") ),
  IF(
    $A56&lt;BF$1,
    "O",
    IF( OFFSET(BF$1, COLUMN(BF56)-1, 0)="-", "O", IF(MOD($A56, BF$1)=0, "X", "O") )
  )
)</f>
        <v>O</v>
      </c>
      <c r="BG56" s="45" t="str">
        <f ca="1">IF(
  $A56=BG$1,
  IF( ROW(BG56)=2, "+", IF(COUNTIF($B56:BF56,"X")=0, "+", "-") ),
  IF(
    $A56&lt;BG$1,
    "O",
    IF( OFFSET(BG$1, COLUMN(BG56)-1, 0)="-", "O", IF(MOD($A56, BG$1)=0, "X", "O") )
  )
)</f>
        <v>O</v>
      </c>
      <c r="BH56" s="45" t="str">
        <f ca="1">IF(
  $A56=BH$1,
  IF( ROW(BH56)=2, "+", IF(COUNTIF($B56:BG56,"X")=0, "+", "-") ),
  IF(
    $A56&lt;BH$1,
    "O",
    IF( OFFSET(BH$1, COLUMN(BH56)-1, 0)="-", "O", IF(MOD($A56, BH$1)=0, "X", "O") )
  )
)</f>
        <v>O</v>
      </c>
    </row>
    <row r="57" spans="1:60" s="46" customFormat="1" x14ac:dyDescent="0.25">
      <c r="A57">
        <v>57</v>
      </c>
      <c r="B57" s="44" t="str">
        <f ca="1">IF(
  $A57=B$1,
  IF( ROW(B57)=2, "+", IF(COUNTIF(A57:$B57,"X")=0, "+", "-") ),
  IF(
    $A57&lt;B$1,
    "O",
    IF( OFFSET(B$1, COLUMN(B57)-1, 0)="-", "O", IF(MOD($A57, B$1)=0, "X", "O") )
  )
)</f>
        <v>O</v>
      </c>
      <c r="C57" s="44" t="str">
        <f ca="1">IF(
  $A57=C$1,
  IF( ROW(C57)=2, "+", IF(COUNTIF(B57:$B57,"X")=0, "+", "-") ),
  IF(
    $A57&lt;C$1,
    "O",
    IF( OFFSET(C$1, COLUMN(C57)-1, 0)="-", "O", IF(MOD($A57, C$1)=0, "X", "O") )
  )
)</f>
        <v>X</v>
      </c>
      <c r="D57" s="45" t="str">
        <f ca="1">IF(
  $A57=D$1,
  IF( ROW(D57)=2, "+", IF(COUNTIF($B57:C57,"X")=0, "+", "-") ),
  IF(
    $A57&lt;D$1,
    "O",
    IF( OFFSET(D$1, COLUMN(D57)-1, 0)="-", "O", IF(MOD($A57, D$1)=0, "X", "O") )
  )
)</f>
        <v>O</v>
      </c>
      <c r="E57" s="44" t="str">
        <f ca="1">IF(
  $A57=E$1,
  IF( ROW(E57)=2, "+", IF(COUNTIF($B57:D57,"X")=0, "+", "-") ),
  IF(
    $A57&lt;E$1,
    "O",
    IF( OFFSET(E$1, COLUMN(E57)-1, 0)="-", "O", IF(MOD($A57, E$1)=0, "X", "O") )
  )
)</f>
        <v>O</v>
      </c>
      <c r="F57" s="45" t="str">
        <f ca="1">IF(
  $A57=F$1,
  IF( ROW(F57)=2, "+", IF(COUNTIF($B57:E57,"X")=0, "+", "-") ),
  IF(
    $A57&lt;F$1,
    "O",
    IF( OFFSET(F$1, COLUMN(F57)-1, 0)="-", "O", IF(MOD($A57, F$1)=0, "X", "O") )
  )
)</f>
        <v>O</v>
      </c>
      <c r="G57" s="44" t="str">
        <f ca="1">IF(
  $A57=G$1,
  IF( ROW(G57)=2, "+", IF(COUNTIF($B57:F57,"X")=0, "+", "-") ),
  IF(
    $A57&lt;G$1,
    "O",
    IF( OFFSET(G$1, COLUMN(G57)-1, 0)="-", "O", IF(MOD($A57, G$1)=0, "X", "O") )
  )
)</f>
        <v>O</v>
      </c>
      <c r="H57" s="45" t="str">
        <f ca="1">IF(
  $A57=H$1,
  IF( ROW(H57)=2, "+", IF(COUNTIF($B57:G57,"X")=0, "+", "-") ),
  IF(
    $A57&lt;H$1,
    "O",
    IF( OFFSET(H$1, COLUMN(H57)-1, 0)="-", "O", IF(MOD($A57, H$1)=0, "X", "O") )
  )
)</f>
        <v>O</v>
      </c>
      <c r="I57" s="45" t="str">
        <f ca="1">IF(
  $A57=I$1,
  IF( ROW(I57)=2, "+", IF(COUNTIF($B57:H57,"X")=0, "+", "-") ),
  IF(
    $A57&lt;I$1,
    "O",
    IF( OFFSET(I$1, COLUMN(I57)-1, 0)="-", "O", IF(MOD($A57, I$1)=0, "X", "O") )
  )
)</f>
        <v>O</v>
      </c>
      <c r="J57" s="45" t="str">
        <f ca="1">IF(
  $A57=J$1,
  IF( ROW(J57)=2, "+", IF(COUNTIF($B57:I57,"X")=0, "+", "-") ),
  IF(
    $A57&lt;J$1,
    "O",
    IF( OFFSET(J$1, COLUMN(J57)-1, 0)="-", "O", IF(MOD($A57, J$1)=0, "X", "O") )
  )
)</f>
        <v>O</v>
      </c>
      <c r="K57" s="44" t="str">
        <f ca="1">IF(
  $A57=K$1,
  IF( ROW(K57)=2, "+", IF(COUNTIF($B57:J57,"X")=0, "+", "-") ),
  IF(
    $A57&lt;K$1,
    "O",
    IF( OFFSET(K$1, COLUMN(K57)-1, 0)="-", "O", IF(MOD($A57, K$1)=0, "X", "O") )
  )
)</f>
        <v>O</v>
      </c>
      <c r="L57" s="45" t="str">
        <f ca="1">IF(
  $A57=L$1,
  IF( ROW(L57)=2, "+", IF(COUNTIF($B57:K57,"X")=0, "+", "-") ),
  IF(
    $A57&lt;L$1,
    "O",
    IF( OFFSET(L$1, COLUMN(L57)-1, 0)="-", "O", IF(MOD($A57, L$1)=0, "X", "O") )
  )
)</f>
        <v>O</v>
      </c>
      <c r="M57" s="44" t="str">
        <f ca="1">IF(
  $A57=M$1,
  IF( ROW(M57)=2, "+", IF(COUNTIF($B57:L57,"X")=0, "+", "-") ),
  IF(
    $A57&lt;M$1,
    "O",
    IF( OFFSET(M$1, COLUMN(M57)-1, 0)="-", "O", IF(MOD($A57, M$1)=0, "X", "O") )
  )
)</f>
        <v>O</v>
      </c>
      <c r="N57" s="45" t="str">
        <f ca="1">IF(
  $A57=N$1,
  IF( ROW(N57)=2, "+", IF(COUNTIF($B57:M57,"X")=0, "+", "-") ),
  IF(
    $A57&lt;N$1,
    "O",
    IF( OFFSET(N$1, COLUMN(N57)-1, 0)="-", "O", IF(MOD($A57, N$1)=0, "X", "O") )
  )
)</f>
        <v>O</v>
      </c>
      <c r="O57" s="45" t="str">
        <f ca="1">IF(
  $A57=O$1,
  IF( ROW(O57)=2, "+", IF(COUNTIF($B57:N57,"X")=0, "+", "-") ),
  IF(
    $A57&lt;O$1,
    "O",
    IF( OFFSET(O$1, COLUMN(O57)-1, 0)="-", "O", IF(MOD($A57, O$1)=0, "X", "O") )
  )
)</f>
        <v>O</v>
      </c>
      <c r="P57" s="45" t="str">
        <f ca="1">IF(
  $A57=P$1,
  IF( ROW(P57)=2, "+", IF(COUNTIF($B57:O57,"X")=0, "+", "-") ),
  IF(
    $A57&lt;P$1,
    "O",
    IF( OFFSET(P$1, COLUMN(P57)-1, 0)="-", "O", IF(MOD($A57, P$1)=0, "X", "O") )
  )
)</f>
        <v>O</v>
      </c>
      <c r="Q57" s="44" t="str">
        <f ca="1">IF(
  $A57=Q$1,
  IF( ROW(Q57)=2, "+", IF(COUNTIF($B57:P57,"X")=0, "+", "-") ),
  IF(
    $A57&lt;Q$1,
    "O",
    IF( OFFSET(Q$1, COLUMN(Q57)-1, 0)="-", "O", IF(MOD($A57, Q$1)=0, "X", "O") )
  )
)</f>
        <v>O</v>
      </c>
      <c r="R57" s="45" t="str">
        <f ca="1">IF(
  $A57=R$1,
  IF( ROW(R57)=2, "+", IF(COUNTIF($B57:Q57,"X")=0, "+", "-") ),
  IF(
    $A57&lt;R$1,
    "O",
    IF( OFFSET(R$1, COLUMN(R57)-1, 0)="-", "O", IF(MOD($A57, R$1)=0, "X", "O") )
  )
)</f>
        <v>O</v>
      </c>
      <c r="S57" s="44" t="str">
        <f ca="1">IF(
  $A57=S$1,
  IF( ROW(S57)=2, "+", IF(COUNTIF($B57:R57,"X")=0, "+", "-") ),
  IF(
    $A57&lt;S$1,
    "O",
    IF( OFFSET(S$1, COLUMN(S57)-1, 0)="-", "O", IF(MOD($A57, S$1)=0, "X", "O") )
  )
)</f>
        <v>X</v>
      </c>
      <c r="T57" s="45" t="str">
        <f ca="1">IF(
  $A57=T$1,
  IF( ROW(T57)=2, "+", IF(COUNTIF($B57:S57,"X")=0, "+", "-") ),
  IF(
    $A57&lt;T$1,
    "O",
    IF( OFFSET(T$1, COLUMN(T57)-1, 0)="-", "O", IF(MOD($A57, T$1)=0, "X", "O") )
  )
)</f>
        <v>O</v>
      </c>
      <c r="U57" s="45" t="str">
        <f ca="1">IF(
  $A57=U$1,
  IF( ROW(U57)=2, "+", IF(COUNTIF($B57:T57,"X")=0, "+", "-") ),
  IF(
    $A57&lt;U$1,
    "O",
    IF( OFFSET(U$1, COLUMN(U57)-1, 0)="-", "O", IF(MOD($A57, U$1)=0, "X", "O") )
  )
)</f>
        <v>O</v>
      </c>
      <c r="V57" s="45" t="str">
        <f ca="1">IF(
  $A57=V$1,
  IF( ROW(V57)=2, "+", IF(COUNTIF($B57:U57,"X")=0, "+", "-") ),
  IF(
    $A57&lt;V$1,
    "O",
    IF( OFFSET(V$1, COLUMN(V57)-1, 0)="-", "O", IF(MOD($A57, V$1)=0, "X", "O") )
  )
)</f>
        <v>O</v>
      </c>
      <c r="W57" s="44" t="str">
        <f ca="1">IF(
  $A57=W$1,
  IF( ROW(W57)=2, "+", IF(COUNTIF($B57:V57,"X")=0, "+", "-") ),
  IF(
    $A57&lt;W$1,
    "O",
    IF( OFFSET(W$1, COLUMN(W57)-1, 0)="-", "O", IF(MOD($A57, W$1)=0, "X", "O") )
  )
)</f>
        <v>O</v>
      </c>
      <c r="X57" s="45" t="str">
        <f ca="1">IF(
  $A57=X$1,
  IF( ROW(X57)=2, "+", IF(COUNTIF($B57:W57,"X")=0, "+", "-") ),
  IF(
    $A57&lt;X$1,
    "O",
    IF( OFFSET(X$1, COLUMN(X57)-1, 0)="-", "O", IF(MOD($A57, X$1)=0, "X", "O") )
  )
)</f>
        <v>O</v>
      </c>
      <c r="Y57" s="45" t="str">
        <f ca="1">IF(
  $A57=Y$1,
  IF( ROW(Y57)=2, "+", IF(COUNTIF($B57:X57,"X")=0, "+", "-") ),
  IF(
    $A57&lt;Y$1,
    "O",
    IF( OFFSET(Y$1, COLUMN(Y57)-1, 0)="-", "O", IF(MOD($A57, Y$1)=0, "X", "O") )
  )
)</f>
        <v>O</v>
      </c>
      <c r="Z57" s="45" t="str">
        <f ca="1">IF(
  $A57=Z$1,
  IF( ROW(Z57)=2, "+", IF(COUNTIF($B57:Y57,"X")=0, "+", "-") ),
  IF(
    $A57&lt;Z$1,
    "O",
    IF( OFFSET(Z$1, COLUMN(Z57)-1, 0)="-", "O", IF(MOD($A57, Z$1)=0, "X", "O") )
  )
)</f>
        <v>O</v>
      </c>
      <c r="AA57" s="45" t="str">
        <f ca="1">IF(
  $A57=AA$1,
  IF( ROW(AA57)=2, "+", IF(COUNTIF($B57:Z57,"X")=0, "+", "-") ),
  IF(
    $A57&lt;AA$1,
    "O",
    IF( OFFSET(AA$1, COLUMN(AA57)-1, 0)="-", "O", IF(MOD($A57, AA$1)=0, "X", "O") )
  )
)</f>
        <v>O</v>
      </c>
      <c r="AB57" s="45" t="str">
        <f ca="1">IF(
  $A57=AB$1,
  IF( ROW(AB57)=2, "+", IF(COUNTIF($B57:AA57,"X")=0, "+", "-") ),
  IF(
    $A57&lt;AB$1,
    "O",
    IF( OFFSET(AB$1, COLUMN(AB57)-1, 0)="-", "O", IF(MOD($A57, AB$1)=0, "X", "O") )
  )
)</f>
        <v>O</v>
      </c>
      <c r="AC57" s="44" t="str">
        <f ca="1">IF(
  $A57=AC$1,
  IF( ROW(AC57)=2, "+", IF(COUNTIF($B57:AB57,"X")=0, "+", "-") ),
  IF(
    $A57&lt;AC$1,
    "O",
    IF( OFFSET(AC$1, COLUMN(AC57)-1, 0)="-", "O", IF(MOD($A57, AC$1)=0, "X", "O") )
  )
)</f>
        <v>O</v>
      </c>
      <c r="AD57" s="45" t="str">
        <f ca="1">IF(
  $A57=AD$1,
  IF( ROW(AD57)=2, "+", IF(COUNTIF($B57:AC57,"X")=0, "+", "-") ),
  IF(
    $A57&lt;AD$1,
    "O",
    IF( OFFSET(AD$1, COLUMN(AD57)-1, 0)="-", "O", IF(MOD($A57, AD$1)=0, "X", "O") )
  )
)</f>
        <v>O</v>
      </c>
      <c r="AE57" s="44" t="str">
        <f ca="1">IF(
  $A57=AE$1,
  IF( ROW(AE57)=2, "+", IF(COUNTIF($B57:AD57,"X")=0, "+", "-") ),
  IF(
    $A57&lt;AE$1,
    "O",
    IF( OFFSET(AE$1, COLUMN(AE57)-1, 0)="-", "O", IF(MOD($A57, AE$1)=0, "X", "O") )
  )
)</f>
        <v>O</v>
      </c>
      <c r="AF57" s="45" t="str">
        <f ca="1">IF(
  $A57=AF$1,
  IF( ROW(AF57)=2, "+", IF(COUNTIF($B57:AE57,"X")=0, "+", "-") ),
  IF(
    $A57&lt;AF$1,
    "O",
    IF( OFFSET(AF$1, COLUMN(AF57)-1, 0)="-", "O", IF(MOD($A57, AF$1)=0, "X", "O") )
  )
)</f>
        <v>O</v>
      </c>
      <c r="AG57" s="45" t="str">
        <f ca="1">IF(
  $A57=AG$1,
  IF( ROW(AG57)=2, "+", IF(COUNTIF($B57:AF57,"X")=0, "+", "-") ),
  IF(
    $A57&lt;AG$1,
    "O",
    IF( OFFSET(AG$1, COLUMN(AG57)-1, 0)="-", "O", IF(MOD($A57, AG$1)=0, "X", "O") )
  )
)</f>
        <v>O</v>
      </c>
      <c r="AH57" s="45" t="str">
        <f ca="1">IF(
  $A57=AH$1,
  IF( ROW(AH57)=2, "+", IF(COUNTIF($B57:AG57,"X")=0, "+", "-") ),
  IF(
    $A57&lt;AH$1,
    "O",
    IF( OFFSET(AH$1, COLUMN(AH57)-1, 0)="-", "O", IF(MOD($A57, AH$1)=0, "X", "O") )
  )
)</f>
        <v>O</v>
      </c>
      <c r="AI57" s="45" t="str">
        <f ca="1">IF(
  $A57=AI$1,
  IF( ROW(AI57)=2, "+", IF(COUNTIF($B57:AH57,"X")=0, "+", "-") ),
  IF(
    $A57&lt;AI$1,
    "O",
    IF( OFFSET(AI$1, COLUMN(AI57)-1, 0)="-", "O", IF(MOD($A57, AI$1)=0, "X", "O") )
  )
)</f>
        <v>O</v>
      </c>
      <c r="AJ57" s="45" t="str">
        <f ca="1">IF(
  $A57=AJ$1,
  IF( ROW(AJ57)=2, "+", IF(COUNTIF($B57:AI57,"X")=0, "+", "-") ),
  IF(
    $A57&lt;AJ$1,
    "O",
    IF( OFFSET(AJ$1, COLUMN(AJ57)-1, 0)="-", "O", IF(MOD($A57, AJ$1)=0, "X", "O") )
  )
)</f>
        <v>O</v>
      </c>
      <c r="AK57" s="44" t="str">
        <f ca="1">IF(
  $A57=AK$1,
  IF( ROW(AK57)=2, "+", IF(COUNTIF($B57:AJ57,"X")=0, "+", "-") ),
  IF(
    $A57&lt;AK$1,
    "O",
    IF( OFFSET(AK$1, COLUMN(AK57)-1, 0)="-", "O", IF(MOD($A57, AK$1)=0, "X", "O") )
  )
)</f>
        <v>O</v>
      </c>
      <c r="AL57" s="45" t="str">
        <f ca="1">IF(
  $A57=AL$1,
  IF( ROW(AL57)=2, "+", IF(COUNTIF($B57:AK57,"X")=0, "+", "-") ),
  IF(
    $A57&lt;AL$1,
    "O",
    IF( OFFSET(AL$1, COLUMN(AL57)-1, 0)="-", "O", IF(MOD($A57, AL$1)=0, "X", "O") )
  )
)</f>
        <v>O</v>
      </c>
      <c r="AM57" s="45" t="str">
        <f ca="1">IF(
  $A57=AM$1,
  IF( ROW(AM57)=2, "+", IF(COUNTIF($B57:AL57,"X")=0, "+", "-") ),
  IF(
    $A57&lt;AM$1,
    "O",
    IF( OFFSET(AM$1, COLUMN(AM57)-1, 0)="-", "O", IF(MOD($A57, AM$1)=0, "X", "O") )
  )
)</f>
        <v>O</v>
      </c>
      <c r="AN57" s="45" t="str">
        <f ca="1">IF(
  $A57=AN$1,
  IF( ROW(AN57)=2, "+", IF(COUNTIF($B57:AM57,"X")=0, "+", "-") ),
  IF(
    $A57&lt;AN$1,
    "O",
    IF( OFFSET(AN$1, COLUMN(AN57)-1, 0)="-", "O", IF(MOD($A57, AN$1)=0, "X", "O") )
  )
)</f>
        <v>O</v>
      </c>
      <c r="AO57" s="44" t="str">
        <f ca="1">IF(
  $A57=AO$1,
  IF( ROW(AO57)=2, "+", IF(COUNTIF($B57:AN57,"X")=0, "+", "-") ),
  IF(
    $A57&lt;AO$1,
    "O",
    IF( OFFSET(AO$1, COLUMN(AO57)-1, 0)="-", "O", IF(MOD($A57, AO$1)=0, "X", "O") )
  )
)</f>
        <v>O</v>
      </c>
      <c r="AP57" s="45" t="str">
        <f ca="1">IF(
  $A57=AP$1,
  IF( ROW(AP57)=2, "+", IF(COUNTIF($B57:AO57,"X")=0, "+", "-") ),
  IF(
    $A57&lt;AP$1,
    "O",
    IF( OFFSET(AP$1, COLUMN(AP57)-1, 0)="-", "O", IF(MOD($A57, AP$1)=0, "X", "O") )
  )
)</f>
        <v>O</v>
      </c>
      <c r="AQ57" s="44" t="str">
        <f ca="1">IF(
  $A57=AQ$1,
  IF( ROW(AQ57)=2, "+", IF(COUNTIF($B57:AP57,"X")=0, "+", "-") ),
  IF(
    $A57&lt;AQ$1,
    "O",
    IF( OFFSET(AQ$1, COLUMN(AQ57)-1, 0)="-", "O", IF(MOD($A57, AQ$1)=0, "X", "O") )
  )
)</f>
        <v>O</v>
      </c>
      <c r="AR57" s="45" t="str">
        <f ca="1">IF(
  $A57=AR$1,
  IF( ROW(AR57)=2, "+", IF(COUNTIF($B57:AQ57,"X")=0, "+", "-") ),
  IF(
    $A57&lt;AR$1,
    "O",
    IF( OFFSET(AR$1, COLUMN(AR57)-1, 0)="-", "O", IF(MOD($A57, AR$1)=0, "X", "O") )
  )
)</f>
        <v>O</v>
      </c>
      <c r="AS57" s="45" t="str">
        <f ca="1">IF(
  $A57=AS$1,
  IF( ROW(AS57)=2, "+", IF(COUNTIF($B57:AR57,"X")=0, "+", "-") ),
  IF(
    $A57&lt;AS$1,
    "O",
    IF( OFFSET(AS$1, COLUMN(AS57)-1, 0)="-", "O", IF(MOD($A57, AS$1)=0, "X", "O") )
  )
)</f>
        <v>O</v>
      </c>
      <c r="AT57" s="45" t="str">
        <f ca="1">IF(
  $A57=AT$1,
  IF( ROW(AT57)=2, "+", IF(COUNTIF($B57:AS57,"X")=0, "+", "-") ),
  IF(
    $A57&lt;AT$1,
    "O",
    IF( OFFSET(AT$1, COLUMN(AT57)-1, 0)="-", "O", IF(MOD($A57, AT$1)=0, "X", "O") )
  )
)</f>
        <v>O</v>
      </c>
      <c r="AU57" s="44" t="str">
        <f ca="1">IF(
  $A57=AU$1,
  IF( ROW(AU57)=2, "+", IF(COUNTIF($B57:AT57,"X")=0, "+", "-") ),
  IF(
    $A57&lt;AU$1,
    "O",
    IF( OFFSET(AU$1, COLUMN(AU57)-1, 0)="-", "O", IF(MOD($A57, AU$1)=0, "X", "O") )
  )
)</f>
        <v>O</v>
      </c>
      <c r="AV57" s="45" t="str">
        <f ca="1">IF(
  $A57=AV$1,
  IF( ROW(AV57)=2, "+", IF(COUNTIF($B57:AU57,"X")=0, "+", "-") ),
  IF(
    $A57&lt;AV$1,
    "O",
    IF( OFFSET(AV$1, COLUMN(AV57)-1, 0)="-", "O", IF(MOD($A57, AV$1)=0, "X", "O") )
  )
)</f>
        <v>O</v>
      </c>
      <c r="AW57" s="45" t="str">
        <f ca="1">IF(
  $A57=AW$1,
  IF( ROW(AW57)=2, "+", IF(COUNTIF($B57:AV57,"X")=0, "+", "-") ),
  IF(
    $A57&lt;AW$1,
    "O",
    IF( OFFSET(AW$1, COLUMN(AW57)-1, 0)="-", "O", IF(MOD($A57, AW$1)=0, "X", "O") )
  )
)</f>
        <v>O</v>
      </c>
      <c r="AX57" s="45" t="str">
        <f ca="1">IF(
  $A57=AX$1,
  IF( ROW(AX57)=2, "+", IF(COUNTIF($B57:AW57,"X")=0, "+", "-") ),
  IF(
    $A57&lt;AX$1,
    "O",
    IF( OFFSET(AX$1, COLUMN(AX57)-1, 0)="-", "O", IF(MOD($A57, AX$1)=0, "X", "O") )
  )
)</f>
        <v>O</v>
      </c>
      <c r="AY57" s="45" t="str">
        <f ca="1">IF(
  $A57=AY$1,
  IF( ROW(AY57)=2, "+", IF(COUNTIF($B57:AX57,"X")=0, "+", "-") ),
  IF(
    $A57&lt;AY$1,
    "O",
    IF( OFFSET(AY$1, COLUMN(AY57)-1, 0)="-", "O", IF(MOD($A57, AY$1)=0, "X", "O") )
  )
)</f>
        <v>O</v>
      </c>
      <c r="AZ57" s="45" t="str">
        <f ca="1">IF(
  $A57=AZ$1,
  IF( ROW(AZ57)=2, "+", IF(COUNTIF($B57:AY57,"X")=0, "+", "-") ),
  IF(
    $A57&lt;AZ$1,
    "O",
    IF( OFFSET(AZ$1, COLUMN(AZ57)-1, 0)="-", "O", IF(MOD($A57, AZ$1)=0, "X", "O") )
  )
)</f>
        <v>O</v>
      </c>
      <c r="BA57" s="44" t="str">
        <f ca="1">IF(
  $A57=BA$1,
  IF( ROW(BA57)=2, "+", IF(COUNTIF($B57:AZ57,"X")=0, "+", "-") ),
  IF(
    $A57&lt;BA$1,
    "O",
    IF( OFFSET(BA$1, COLUMN(BA57)-1, 0)="-", "O", IF(MOD($A57, BA$1)=0, "X", "O") )
  )
)</f>
        <v>O</v>
      </c>
      <c r="BB57" s="45" t="str">
        <f ca="1">IF(
  $A57=BB$1,
  IF( ROW(BB57)=2, "+", IF(COUNTIF($B57:BA57,"X")=0, "+", "-") ),
  IF(
    $A57&lt;BB$1,
    "O",
    IF( OFFSET(BB$1, COLUMN(BB57)-1, 0)="-", "O", IF(MOD($A57, BB$1)=0, "X", "O") )
  )
)</f>
        <v>O</v>
      </c>
      <c r="BC57" s="45" t="str">
        <f ca="1">IF(
  $A57=BC$1,
  IF( ROW(BC57)=2, "+", IF(COUNTIF($B57:BB57,"X")=0, "+", "-") ),
  IF(
    $A57&lt;BC$1,
    "O",
    IF( OFFSET(BC$1, COLUMN(BC57)-1, 0)="-", "O", IF(MOD($A57, BC$1)=0, "X", "O") )
  )
)</f>
        <v>O</v>
      </c>
      <c r="BD57" s="45" t="str">
        <f ca="1">IF(
  $A57=BD$1,
  IF( ROW(BD57)=2, "+", IF(COUNTIF($B57:BC57,"X")=0, "+", "-") ),
  IF(
    $A57&lt;BD$1,
    "O",
    IF( OFFSET(BD$1, COLUMN(BD57)-1, 0)="-", "O", IF(MOD($A57, BD$1)=0, "X", "O") )
  )
)</f>
        <v>O</v>
      </c>
      <c r="BE57" s="45" t="str">
        <f ca="1">IF(
  $A57=BE$1,
  IF( ROW(BE57)=2, "+", IF(COUNTIF($B57:BD57,"X")=0, "+", "-") ),
  IF(
    $A57&lt;BE$1,
    "O",
    IF( OFFSET(BE$1, COLUMN(BE57)-1, 0)="-", "O", IF(MOD($A57, BE$1)=0, "X", "O") )
  )
)</f>
        <v>-</v>
      </c>
      <c r="BF57" s="45" t="str">
        <f ca="1">IF(
  $A57=BF$1,
  IF( ROW(BF57)=2, "+", IF(COUNTIF($B57:BE57,"X")=0, "+", "-") ),
  IF(
    $A57&lt;BF$1,
    "O",
    IF( OFFSET(BF$1, COLUMN(BF57)-1, 0)="-", "O", IF(MOD($A57, BF$1)=0, "X", "O") )
  )
)</f>
        <v>O</v>
      </c>
      <c r="BG57" s="45" t="str">
        <f ca="1">IF(
  $A57=BG$1,
  IF( ROW(BG57)=2, "+", IF(COUNTIF($B57:BF57,"X")=0, "+", "-") ),
  IF(
    $A57&lt;BG$1,
    "O",
    IF( OFFSET(BG$1, COLUMN(BG57)-1, 0)="-", "O", IF(MOD($A57, BG$1)=0, "X", "O") )
  )
)</f>
        <v>O</v>
      </c>
      <c r="BH57" s="45" t="str">
        <f ca="1">IF(
  $A57=BH$1,
  IF( ROW(BH57)=2, "+", IF(COUNTIF($B57:BG57,"X")=0, "+", "-") ),
  IF(
    $A57&lt;BH$1,
    "O",
    IF( OFFSET(BH$1, COLUMN(BH57)-1, 0)="-", "O", IF(MOD($A57, BH$1)=0, "X", "O") )
  )
)</f>
        <v>O</v>
      </c>
    </row>
    <row r="58" spans="1:60" s="46" customFormat="1" x14ac:dyDescent="0.25">
      <c r="A58">
        <v>58</v>
      </c>
      <c r="B58" s="44" t="str">
        <f ca="1">IF(
  $A58=B$1,
  IF( ROW(B58)=2, "+", IF(COUNTIF(A58:$B58,"X")=0, "+", "-") ),
  IF(
    $A58&lt;B$1,
    "O",
    IF( OFFSET(B$1, COLUMN(B58)-1, 0)="-", "O", IF(MOD($A58, B$1)=0, "X", "O") )
  )
)</f>
        <v>X</v>
      </c>
      <c r="C58" s="44" t="str">
        <f ca="1">IF(
  $A58=C$1,
  IF( ROW(C58)=2, "+", IF(COUNTIF(B58:$B58,"X")=0, "+", "-") ),
  IF(
    $A58&lt;C$1,
    "O",
    IF( OFFSET(C$1, COLUMN(C58)-1, 0)="-", "O", IF(MOD($A58, C$1)=0, "X", "O") )
  )
)</f>
        <v>O</v>
      </c>
      <c r="D58" s="45" t="str">
        <f ca="1">IF(
  $A58=D$1,
  IF( ROW(D58)=2, "+", IF(COUNTIF($B58:C58,"X")=0, "+", "-") ),
  IF(
    $A58&lt;D$1,
    "O",
    IF( OFFSET(D$1, COLUMN(D58)-1, 0)="-", "O", IF(MOD($A58, D$1)=0, "X", "O") )
  )
)</f>
        <v>O</v>
      </c>
      <c r="E58" s="44" t="str">
        <f ca="1">IF(
  $A58=E$1,
  IF( ROW(E58)=2, "+", IF(COUNTIF($B58:D58,"X")=0, "+", "-") ),
  IF(
    $A58&lt;E$1,
    "O",
    IF( OFFSET(E$1, COLUMN(E58)-1, 0)="-", "O", IF(MOD($A58, E$1)=0, "X", "O") )
  )
)</f>
        <v>O</v>
      </c>
      <c r="F58" s="45" t="str">
        <f ca="1">IF(
  $A58=F$1,
  IF( ROW(F58)=2, "+", IF(COUNTIF($B58:E58,"X")=0, "+", "-") ),
  IF(
    $A58&lt;F$1,
    "O",
    IF( OFFSET(F$1, COLUMN(F58)-1, 0)="-", "O", IF(MOD($A58, F$1)=0, "X", "O") )
  )
)</f>
        <v>O</v>
      </c>
      <c r="G58" s="44" t="str">
        <f ca="1">IF(
  $A58=G$1,
  IF( ROW(G58)=2, "+", IF(COUNTIF($B58:F58,"X")=0, "+", "-") ),
  IF(
    $A58&lt;G$1,
    "O",
    IF( OFFSET(G$1, COLUMN(G58)-1, 0)="-", "O", IF(MOD($A58, G$1)=0, "X", "O") )
  )
)</f>
        <v>O</v>
      </c>
      <c r="H58" s="45" t="str">
        <f ca="1">IF(
  $A58=H$1,
  IF( ROW(H58)=2, "+", IF(COUNTIF($B58:G58,"X")=0, "+", "-") ),
  IF(
    $A58&lt;H$1,
    "O",
    IF( OFFSET(H$1, COLUMN(H58)-1, 0)="-", "O", IF(MOD($A58, H$1)=0, "X", "O") )
  )
)</f>
        <v>O</v>
      </c>
      <c r="I58" s="45" t="str">
        <f ca="1">IF(
  $A58=I$1,
  IF( ROW(I58)=2, "+", IF(COUNTIF($B58:H58,"X")=0, "+", "-") ),
  IF(
    $A58&lt;I$1,
    "O",
    IF( OFFSET(I$1, COLUMN(I58)-1, 0)="-", "O", IF(MOD($A58, I$1)=0, "X", "O") )
  )
)</f>
        <v>O</v>
      </c>
      <c r="J58" s="45" t="str">
        <f ca="1">IF(
  $A58=J$1,
  IF( ROW(J58)=2, "+", IF(COUNTIF($B58:I58,"X")=0, "+", "-") ),
  IF(
    $A58&lt;J$1,
    "O",
    IF( OFFSET(J$1, COLUMN(J58)-1, 0)="-", "O", IF(MOD($A58, J$1)=0, "X", "O") )
  )
)</f>
        <v>O</v>
      </c>
      <c r="K58" s="44" t="str">
        <f ca="1">IF(
  $A58=K$1,
  IF( ROW(K58)=2, "+", IF(COUNTIF($B58:J58,"X")=0, "+", "-") ),
  IF(
    $A58&lt;K$1,
    "O",
    IF( OFFSET(K$1, COLUMN(K58)-1, 0)="-", "O", IF(MOD($A58, K$1)=0, "X", "O") )
  )
)</f>
        <v>O</v>
      </c>
      <c r="L58" s="45" t="str">
        <f ca="1">IF(
  $A58=L$1,
  IF( ROW(L58)=2, "+", IF(COUNTIF($B58:K58,"X")=0, "+", "-") ),
  IF(
    $A58&lt;L$1,
    "O",
    IF( OFFSET(L$1, COLUMN(L58)-1, 0)="-", "O", IF(MOD($A58, L$1)=0, "X", "O") )
  )
)</f>
        <v>O</v>
      </c>
      <c r="M58" s="44" t="str">
        <f ca="1">IF(
  $A58=M$1,
  IF( ROW(M58)=2, "+", IF(COUNTIF($B58:L58,"X")=0, "+", "-") ),
  IF(
    $A58&lt;M$1,
    "O",
    IF( OFFSET(M$1, COLUMN(M58)-1, 0)="-", "O", IF(MOD($A58, M$1)=0, "X", "O") )
  )
)</f>
        <v>O</v>
      </c>
      <c r="N58" s="45" t="str">
        <f ca="1">IF(
  $A58=N$1,
  IF( ROW(N58)=2, "+", IF(COUNTIF($B58:M58,"X")=0, "+", "-") ),
  IF(
    $A58&lt;N$1,
    "O",
    IF( OFFSET(N$1, COLUMN(N58)-1, 0)="-", "O", IF(MOD($A58, N$1)=0, "X", "O") )
  )
)</f>
        <v>O</v>
      </c>
      <c r="O58" s="45" t="str">
        <f ca="1">IF(
  $A58=O$1,
  IF( ROW(O58)=2, "+", IF(COUNTIF($B58:N58,"X")=0, "+", "-") ),
  IF(
    $A58&lt;O$1,
    "O",
    IF( OFFSET(O$1, COLUMN(O58)-1, 0)="-", "O", IF(MOD($A58, O$1)=0, "X", "O") )
  )
)</f>
        <v>O</v>
      </c>
      <c r="P58" s="45" t="str">
        <f ca="1">IF(
  $A58=P$1,
  IF( ROW(P58)=2, "+", IF(COUNTIF($B58:O58,"X")=0, "+", "-") ),
  IF(
    $A58&lt;P$1,
    "O",
    IF( OFFSET(P$1, COLUMN(P58)-1, 0)="-", "O", IF(MOD($A58, P$1)=0, "X", "O") )
  )
)</f>
        <v>O</v>
      </c>
      <c r="Q58" s="44" t="str">
        <f ca="1">IF(
  $A58=Q$1,
  IF( ROW(Q58)=2, "+", IF(COUNTIF($B58:P58,"X")=0, "+", "-") ),
  IF(
    $A58&lt;Q$1,
    "O",
    IF( OFFSET(Q$1, COLUMN(Q58)-1, 0)="-", "O", IF(MOD($A58, Q$1)=0, "X", "O") )
  )
)</f>
        <v>O</v>
      </c>
      <c r="R58" s="45" t="str">
        <f ca="1">IF(
  $A58=R$1,
  IF( ROW(R58)=2, "+", IF(COUNTIF($B58:Q58,"X")=0, "+", "-") ),
  IF(
    $A58&lt;R$1,
    "O",
    IF( OFFSET(R$1, COLUMN(R58)-1, 0)="-", "O", IF(MOD($A58, R$1)=0, "X", "O") )
  )
)</f>
        <v>O</v>
      </c>
      <c r="S58" s="44" t="str">
        <f ca="1">IF(
  $A58=S$1,
  IF( ROW(S58)=2, "+", IF(COUNTIF($B58:R58,"X")=0, "+", "-") ),
  IF(
    $A58&lt;S$1,
    "O",
    IF( OFFSET(S$1, COLUMN(S58)-1, 0)="-", "O", IF(MOD($A58, S$1)=0, "X", "O") )
  )
)</f>
        <v>O</v>
      </c>
      <c r="T58" s="45" t="str">
        <f ca="1">IF(
  $A58=T$1,
  IF( ROW(T58)=2, "+", IF(COUNTIF($B58:S58,"X")=0, "+", "-") ),
  IF(
    $A58&lt;T$1,
    "O",
    IF( OFFSET(T$1, COLUMN(T58)-1, 0)="-", "O", IF(MOD($A58, T$1)=0, "X", "O") )
  )
)</f>
        <v>O</v>
      </c>
      <c r="U58" s="45" t="str">
        <f ca="1">IF(
  $A58=U$1,
  IF( ROW(U58)=2, "+", IF(COUNTIF($B58:T58,"X")=0, "+", "-") ),
  IF(
    $A58&lt;U$1,
    "O",
    IF( OFFSET(U$1, COLUMN(U58)-1, 0)="-", "O", IF(MOD($A58, U$1)=0, "X", "O") )
  )
)</f>
        <v>O</v>
      </c>
      <c r="V58" s="45" t="str">
        <f ca="1">IF(
  $A58=V$1,
  IF( ROW(V58)=2, "+", IF(COUNTIF($B58:U58,"X")=0, "+", "-") ),
  IF(
    $A58&lt;V$1,
    "O",
    IF( OFFSET(V$1, COLUMN(V58)-1, 0)="-", "O", IF(MOD($A58, V$1)=0, "X", "O") )
  )
)</f>
        <v>O</v>
      </c>
      <c r="W58" s="44" t="str">
        <f ca="1">IF(
  $A58=W$1,
  IF( ROW(W58)=2, "+", IF(COUNTIF($B58:V58,"X")=0, "+", "-") ),
  IF(
    $A58&lt;W$1,
    "O",
    IF( OFFSET(W$1, COLUMN(W58)-1, 0)="-", "O", IF(MOD($A58, W$1)=0, "X", "O") )
  )
)</f>
        <v>O</v>
      </c>
      <c r="X58" s="45" t="str">
        <f ca="1">IF(
  $A58=X$1,
  IF( ROW(X58)=2, "+", IF(COUNTIF($B58:W58,"X")=0, "+", "-") ),
  IF(
    $A58&lt;X$1,
    "O",
    IF( OFFSET(X$1, COLUMN(X58)-1, 0)="-", "O", IF(MOD($A58, X$1)=0, "X", "O") )
  )
)</f>
        <v>O</v>
      </c>
      <c r="Y58" s="45" t="str">
        <f ca="1">IF(
  $A58=Y$1,
  IF( ROW(Y58)=2, "+", IF(COUNTIF($B58:X58,"X")=0, "+", "-") ),
  IF(
    $A58&lt;Y$1,
    "O",
    IF( OFFSET(Y$1, COLUMN(Y58)-1, 0)="-", "O", IF(MOD($A58, Y$1)=0, "X", "O") )
  )
)</f>
        <v>O</v>
      </c>
      <c r="Z58" s="45" t="str">
        <f ca="1">IF(
  $A58=Z$1,
  IF( ROW(Z58)=2, "+", IF(COUNTIF($B58:Y58,"X")=0, "+", "-") ),
  IF(
    $A58&lt;Z$1,
    "O",
    IF( OFFSET(Z$1, COLUMN(Z58)-1, 0)="-", "O", IF(MOD($A58, Z$1)=0, "X", "O") )
  )
)</f>
        <v>O</v>
      </c>
      <c r="AA58" s="45" t="str">
        <f ca="1">IF(
  $A58=AA$1,
  IF( ROW(AA58)=2, "+", IF(COUNTIF($B58:Z58,"X")=0, "+", "-") ),
  IF(
    $A58&lt;AA$1,
    "O",
    IF( OFFSET(AA$1, COLUMN(AA58)-1, 0)="-", "O", IF(MOD($A58, AA$1)=0, "X", "O") )
  )
)</f>
        <v>O</v>
      </c>
      <c r="AB58" s="45" t="str">
        <f ca="1">IF(
  $A58=AB$1,
  IF( ROW(AB58)=2, "+", IF(COUNTIF($B58:AA58,"X")=0, "+", "-") ),
  IF(
    $A58&lt;AB$1,
    "O",
    IF( OFFSET(AB$1, COLUMN(AB58)-1, 0)="-", "O", IF(MOD($A58, AB$1)=0, "X", "O") )
  )
)</f>
        <v>O</v>
      </c>
      <c r="AC58" s="44" t="str">
        <f ca="1">IF(
  $A58=AC$1,
  IF( ROW(AC58)=2, "+", IF(COUNTIF($B58:AB58,"X")=0, "+", "-") ),
  IF(
    $A58&lt;AC$1,
    "O",
    IF( OFFSET(AC$1, COLUMN(AC58)-1, 0)="-", "O", IF(MOD($A58, AC$1)=0, "X", "O") )
  )
)</f>
        <v>X</v>
      </c>
      <c r="AD58" s="45" t="str">
        <f ca="1">IF(
  $A58=AD$1,
  IF( ROW(AD58)=2, "+", IF(COUNTIF($B58:AC58,"X")=0, "+", "-") ),
  IF(
    $A58&lt;AD$1,
    "O",
    IF( OFFSET(AD$1, COLUMN(AD58)-1, 0)="-", "O", IF(MOD($A58, AD$1)=0, "X", "O") )
  )
)</f>
        <v>O</v>
      </c>
      <c r="AE58" s="44" t="str">
        <f ca="1">IF(
  $A58=AE$1,
  IF( ROW(AE58)=2, "+", IF(COUNTIF($B58:AD58,"X")=0, "+", "-") ),
  IF(
    $A58&lt;AE$1,
    "O",
    IF( OFFSET(AE$1, COLUMN(AE58)-1, 0)="-", "O", IF(MOD($A58, AE$1)=0, "X", "O") )
  )
)</f>
        <v>O</v>
      </c>
      <c r="AF58" s="45" t="str">
        <f ca="1">IF(
  $A58=AF$1,
  IF( ROW(AF58)=2, "+", IF(COUNTIF($B58:AE58,"X")=0, "+", "-") ),
  IF(
    $A58&lt;AF$1,
    "O",
    IF( OFFSET(AF$1, COLUMN(AF58)-1, 0)="-", "O", IF(MOD($A58, AF$1)=0, "X", "O") )
  )
)</f>
        <v>O</v>
      </c>
      <c r="AG58" s="45" t="str">
        <f ca="1">IF(
  $A58=AG$1,
  IF( ROW(AG58)=2, "+", IF(COUNTIF($B58:AF58,"X")=0, "+", "-") ),
  IF(
    $A58&lt;AG$1,
    "O",
    IF( OFFSET(AG$1, COLUMN(AG58)-1, 0)="-", "O", IF(MOD($A58, AG$1)=0, "X", "O") )
  )
)</f>
        <v>O</v>
      </c>
      <c r="AH58" s="45" t="str">
        <f ca="1">IF(
  $A58=AH$1,
  IF( ROW(AH58)=2, "+", IF(COUNTIF($B58:AG58,"X")=0, "+", "-") ),
  IF(
    $A58&lt;AH$1,
    "O",
    IF( OFFSET(AH$1, COLUMN(AH58)-1, 0)="-", "O", IF(MOD($A58, AH$1)=0, "X", "O") )
  )
)</f>
        <v>O</v>
      </c>
      <c r="AI58" s="45" t="str">
        <f ca="1">IF(
  $A58=AI$1,
  IF( ROW(AI58)=2, "+", IF(COUNTIF($B58:AH58,"X")=0, "+", "-") ),
  IF(
    $A58&lt;AI$1,
    "O",
    IF( OFFSET(AI$1, COLUMN(AI58)-1, 0)="-", "O", IF(MOD($A58, AI$1)=0, "X", "O") )
  )
)</f>
        <v>O</v>
      </c>
      <c r="AJ58" s="45" t="str">
        <f ca="1">IF(
  $A58=AJ$1,
  IF( ROW(AJ58)=2, "+", IF(COUNTIF($B58:AI58,"X")=0, "+", "-") ),
  IF(
    $A58&lt;AJ$1,
    "O",
    IF( OFFSET(AJ$1, COLUMN(AJ58)-1, 0)="-", "O", IF(MOD($A58, AJ$1)=0, "X", "O") )
  )
)</f>
        <v>O</v>
      </c>
      <c r="AK58" s="44" t="str">
        <f ca="1">IF(
  $A58=AK$1,
  IF( ROW(AK58)=2, "+", IF(COUNTIF($B58:AJ58,"X")=0, "+", "-") ),
  IF(
    $A58&lt;AK$1,
    "O",
    IF( OFFSET(AK$1, COLUMN(AK58)-1, 0)="-", "O", IF(MOD($A58, AK$1)=0, "X", "O") )
  )
)</f>
        <v>O</v>
      </c>
      <c r="AL58" s="45" t="str">
        <f ca="1">IF(
  $A58=AL$1,
  IF( ROW(AL58)=2, "+", IF(COUNTIF($B58:AK58,"X")=0, "+", "-") ),
  IF(
    $A58&lt;AL$1,
    "O",
    IF( OFFSET(AL$1, COLUMN(AL58)-1, 0)="-", "O", IF(MOD($A58, AL$1)=0, "X", "O") )
  )
)</f>
        <v>O</v>
      </c>
      <c r="AM58" s="45" t="str">
        <f ca="1">IF(
  $A58=AM$1,
  IF( ROW(AM58)=2, "+", IF(COUNTIF($B58:AL58,"X")=0, "+", "-") ),
  IF(
    $A58&lt;AM$1,
    "O",
    IF( OFFSET(AM$1, COLUMN(AM58)-1, 0)="-", "O", IF(MOD($A58, AM$1)=0, "X", "O") )
  )
)</f>
        <v>O</v>
      </c>
      <c r="AN58" s="45" t="str">
        <f ca="1">IF(
  $A58=AN$1,
  IF( ROW(AN58)=2, "+", IF(COUNTIF($B58:AM58,"X")=0, "+", "-") ),
  IF(
    $A58&lt;AN$1,
    "O",
    IF( OFFSET(AN$1, COLUMN(AN58)-1, 0)="-", "O", IF(MOD($A58, AN$1)=0, "X", "O") )
  )
)</f>
        <v>O</v>
      </c>
      <c r="AO58" s="44" t="str">
        <f ca="1">IF(
  $A58=AO$1,
  IF( ROW(AO58)=2, "+", IF(COUNTIF($B58:AN58,"X")=0, "+", "-") ),
  IF(
    $A58&lt;AO$1,
    "O",
    IF( OFFSET(AO$1, COLUMN(AO58)-1, 0)="-", "O", IF(MOD($A58, AO$1)=0, "X", "O") )
  )
)</f>
        <v>O</v>
      </c>
      <c r="AP58" s="45" t="str">
        <f ca="1">IF(
  $A58=AP$1,
  IF( ROW(AP58)=2, "+", IF(COUNTIF($B58:AO58,"X")=0, "+", "-") ),
  IF(
    $A58&lt;AP$1,
    "O",
    IF( OFFSET(AP$1, COLUMN(AP58)-1, 0)="-", "O", IF(MOD($A58, AP$1)=0, "X", "O") )
  )
)</f>
        <v>O</v>
      </c>
      <c r="AQ58" s="44" t="str">
        <f ca="1">IF(
  $A58=AQ$1,
  IF( ROW(AQ58)=2, "+", IF(COUNTIF($B58:AP58,"X")=0, "+", "-") ),
  IF(
    $A58&lt;AQ$1,
    "O",
    IF( OFFSET(AQ$1, COLUMN(AQ58)-1, 0)="-", "O", IF(MOD($A58, AQ$1)=0, "X", "O") )
  )
)</f>
        <v>O</v>
      </c>
      <c r="AR58" s="45" t="str">
        <f ca="1">IF(
  $A58=AR$1,
  IF( ROW(AR58)=2, "+", IF(COUNTIF($B58:AQ58,"X")=0, "+", "-") ),
  IF(
    $A58&lt;AR$1,
    "O",
    IF( OFFSET(AR$1, COLUMN(AR58)-1, 0)="-", "O", IF(MOD($A58, AR$1)=0, "X", "O") )
  )
)</f>
        <v>O</v>
      </c>
      <c r="AS58" s="45" t="str">
        <f ca="1">IF(
  $A58=AS$1,
  IF( ROW(AS58)=2, "+", IF(COUNTIF($B58:AR58,"X")=0, "+", "-") ),
  IF(
    $A58&lt;AS$1,
    "O",
    IF( OFFSET(AS$1, COLUMN(AS58)-1, 0)="-", "O", IF(MOD($A58, AS$1)=0, "X", "O") )
  )
)</f>
        <v>O</v>
      </c>
      <c r="AT58" s="45" t="str">
        <f ca="1">IF(
  $A58=AT$1,
  IF( ROW(AT58)=2, "+", IF(COUNTIF($B58:AS58,"X")=0, "+", "-") ),
  IF(
    $A58&lt;AT$1,
    "O",
    IF( OFFSET(AT$1, COLUMN(AT58)-1, 0)="-", "O", IF(MOD($A58, AT$1)=0, "X", "O") )
  )
)</f>
        <v>O</v>
      </c>
      <c r="AU58" s="44" t="str">
        <f ca="1">IF(
  $A58=AU$1,
  IF( ROW(AU58)=2, "+", IF(COUNTIF($B58:AT58,"X")=0, "+", "-") ),
  IF(
    $A58&lt;AU$1,
    "O",
    IF( OFFSET(AU$1, COLUMN(AU58)-1, 0)="-", "O", IF(MOD($A58, AU$1)=0, "X", "O") )
  )
)</f>
        <v>O</v>
      </c>
      <c r="AV58" s="45" t="str">
        <f ca="1">IF(
  $A58=AV$1,
  IF( ROW(AV58)=2, "+", IF(COUNTIF($B58:AU58,"X")=0, "+", "-") ),
  IF(
    $A58&lt;AV$1,
    "O",
    IF( OFFSET(AV$1, COLUMN(AV58)-1, 0)="-", "O", IF(MOD($A58, AV$1)=0, "X", "O") )
  )
)</f>
        <v>O</v>
      </c>
      <c r="AW58" s="45" t="str">
        <f ca="1">IF(
  $A58=AW$1,
  IF( ROW(AW58)=2, "+", IF(COUNTIF($B58:AV58,"X")=0, "+", "-") ),
  IF(
    $A58&lt;AW$1,
    "O",
    IF( OFFSET(AW$1, COLUMN(AW58)-1, 0)="-", "O", IF(MOD($A58, AW$1)=0, "X", "O") )
  )
)</f>
        <v>O</v>
      </c>
      <c r="AX58" s="45" t="str">
        <f ca="1">IF(
  $A58=AX$1,
  IF( ROW(AX58)=2, "+", IF(COUNTIF($B58:AW58,"X")=0, "+", "-") ),
  IF(
    $A58&lt;AX$1,
    "O",
    IF( OFFSET(AX$1, COLUMN(AX58)-1, 0)="-", "O", IF(MOD($A58, AX$1)=0, "X", "O") )
  )
)</f>
        <v>O</v>
      </c>
      <c r="AY58" s="45" t="str">
        <f ca="1">IF(
  $A58=AY$1,
  IF( ROW(AY58)=2, "+", IF(COUNTIF($B58:AX58,"X")=0, "+", "-") ),
  IF(
    $A58&lt;AY$1,
    "O",
    IF( OFFSET(AY$1, COLUMN(AY58)-1, 0)="-", "O", IF(MOD($A58, AY$1)=0, "X", "O") )
  )
)</f>
        <v>O</v>
      </c>
      <c r="AZ58" s="45" t="str">
        <f ca="1">IF(
  $A58=AZ$1,
  IF( ROW(AZ58)=2, "+", IF(COUNTIF($B58:AY58,"X")=0, "+", "-") ),
  IF(
    $A58&lt;AZ$1,
    "O",
    IF( OFFSET(AZ$1, COLUMN(AZ58)-1, 0)="-", "O", IF(MOD($A58, AZ$1)=0, "X", "O") )
  )
)</f>
        <v>O</v>
      </c>
      <c r="BA58" s="44" t="str">
        <f ca="1">IF(
  $A58=BA$1,
  IF( ROW(BA58)=2, "+", IF(COUNTIF($B58:AZ58,"X")=0, "+", "-") ),
  IF(
    $A58&lt;BA$1,
    "O",
    IF( OFFSET(BA$1, COLUMN(BA58)-1, 0)="-", "O", IF(MOD($A58, BA$1)=0, "X", "O") )
  )
)</f>
        <v>O</v>
      </c>
      <c r="BB58" s="45" t="str">
        <f ca="1">IF(
  $A58=BB$1,
  IF( ROW(BB58)=2, "+", IF(COUNTIF($B58:BA58,"X")=0, "+", "-") ),
  IF(
    $A58&lt;BB$1,
    "O",
    IF( OFFSET(BB$1, COLUMN(BB58)-1, 0)="-", "O", IF(MOD($A58, BB$1)=0, "X", "O") )
  )
)</f>
        <v>O</v>
      </c>
      <c r="BC58" s="45" t="str">
        <f ca="1">IF(
  $A58=BC$1,
  IF( ROW(BC58)=2, "+", IF(COUNTIF($B58:BB58,"X")=0, "+", "-") ),
  IF(
    $A58&lt;BC$1,
    "O",
    IF( OFFSET(BC$1, COLUMN(BC58)-1, 0)="-", "O", IF(MOD($A58, BC$1)=0, "X", "O") )
  )
)</f>
        <v>O</v>
      </c>
      <c r="BD58" s="45" t="str">
        <f ca="1">IF(
  $A58=BD$1,
  IF( ROW(BD58)=2, "+", IF(COUNTIF($B58:BC58,"X")=0, "+", "-") ),
  IF(
    $A58&lt;BD$1,
    "O",
    IF( OFFSET(BD$1, COLUMN(BD58)-1, 0)="-", "O", IF(MOD($A58, BD$1)=0, "X", "O") )
  )
)</f>
        <v>O</v>
      </c>
      <c r="BE58" s="45" t="str">
        <f ca="1">IF(
  $A58=BE$1,
  IF( ROW(BE58)=2, "+", IF(COUNTIF($B58:BD58,"X")=0, "+", "-") ),
  IF(
    $A58&lt;BE$1,
    "O",
    IF( OFFSET(BE$1, COLUMN(BE58)-1, 0)="-", "O", IF(MOD($A58, BE$1)=0, "X", "O") )
  )
)</f>
        <v>O</v>
      </c>
      <c r="BF58" s="45" t="str">
        <f ca="1">IF(
  $A58=BF$1,
  IF( ROW(BF58)=2, "+", IF(COUNTIF($B58:BE58,"X")=0, "+", "-") ),
  IF(
    $A58&lt;BF$1,
    "O",
    IF( OFFSET(BF$1, COLUMN(BF58)-1, 0)="-", "O", IF(MOD($A58, BF$1)=0, "X", "O") )
  )
)</f>
        <v>-</v>
      </c>
      <c r="BG58" s="45" t="str">
        <f ca="1">IF(
  $A58=BG$1,
  IF( ROW(BG58)=2, "+", IF(COUNTIF($B58:BF58,"X")=0, "+", "-") ),
  IF(
    $A58&lt;BG$1,
    "O",
    IF( OFFSET(BG$1, COLUMN(BG58)-1, 0)="-", "O", IF(MOD($A58, BG$1)=0, "X", "O") )
  )
)</f>
        <v>O</v>
      </c>
      <c r="BH58" s="45" t="str">
        <f ca="1">IF(
  $A58=BH$1,
  IF( ROW(BH58)=2, "+", IF(COUNTIF($B58:BG58,"X")=0, "+", "-") ),
  IF(
    $A58&lt;BH$1,
    "O",
    IF( OFFSET(BH$1, COLUMN(BH58)-1, 0)="-", "O", IF(MOD($A58, BH$1)=0, "X", "O") )
  )
)</f>
        <v>O</v>
      </c>
    </row>
    <row r="59" spans="1:60" s="46" customFormat="1" x14ac:dyDescent="0.25">
      <c r="A59">
        <v>59</v>
      </c>
      <c r="B59" s="44" t="str">
        <f ca="1">IF(
  $A59=B$1,
  IF( ROW(B59)=2, "+", IF(COUNTIF(A59:$B59,"X")=0, "+", "-") ),
  IF(
    $A59&lt;B$1,
    "O",
    IF( OFFSET(B$1, COLUMN(B59)-1, 0)="-", "O", IF(MOD($A59, B$1)=0, "X", "O") )
  )
)</f>
        <v>O</v>
      </c>
      <c r="C59" s="44" t="str">
        <f ca="1">IF(
  $A59=C$1,
  IF( ROW(C59)=2, "+", IF(COUNTIF(B59:$B59,"X")=0, "+", "-") ),
  IF(
    $A59&lt;C$1,
    "O",
    IF( OFFSET(C$1, COLUMN(C59)-1, 0)="-", "O", IF(MOD($A59, C$1)=0, "X", "O") )
  )
)</f>
        <v>O</v>
      </c>
      <c r="D59" s="45" t="str">
        <f ca="1">IF(
  $A59=D$1,
  IF( ROW(D59)=2, "+", IF(COUNTIF($B59:C59,"X")=0, "+", "-") ),
  IF(
    $A59&lt;D$1,
    "O",
    IF( OFFSET(D$1, COLUMN(D59)-1, 0)="-", "O", IF(MOD($A59, D$1)=0, "X", "O") )
  )
)</f>
        <v>O</v>
      </c>
      <c r="E59" s="44" t="str">
        <f ca="1">IF(
  $A59=E$1,
  IF( ROW(E59)=2, "+", IF(COUNTIF($B59:D59,"X")=0, "+", "-") ),
  IF(
    $A59&lt;E$1,
    "O",
    IF( OFFSET(E$1, COLUMN(E59)-1, 0)="-", "O", IF(MOD($A59, E$1)=0, "X", "O") )
  )
)</f>
        <v>O</v>
      </c>
      <c r="F59" s="45" t="str">
        <f ca="1">IF(
  $A59=F$1,
  IF( ROW(F59)=2, "+", IF(COUNTIF($B59:E59,"X")=0, "+", "-") ),
  IF(
    $A59&lt;F$1,
    "O",
    IF( OFFSET(F$1, COLUMN(F59)-1, 0)="-", "O", IF(MOD($A59, F$1)=0, "X", "O") )
  )
)</f>
        <v>O</v>
      </c>
      <c r="G59" s="44" t="str">
        <f ca="1">IF(
  $A59=G$1,
  IF( ROW(G59)=2, "+", IF(COUNTIF($B59:F59,"X")=0, "+", "-") ),
  IF(
    $A59&lt;G$1,
    "O",
    IF( OFFSET(G$1, COLUMN(G59)-1, 0)="-", "O", IF(MOD($A59, G$1)=0, "X", "O") )
  )
)</f>
        <v>O</v>
      </c>
      <c r="H59" s="45" t="str">
        <f ca="1">IF(
  $A59=H$1,
  IF( ROW(H59)=2, "+", IF(COUNTIF($B59:G59,"X")=0, "+", "-") ),
  IF(
    $A59&lt;H$1,
    "O",
    IF( OFFSET(H$1, COLUMN(H59)-1, 0)="-", "O", IF(MOD($A59, H$1)=0, "X", "O") )
  )
)</f>
        <v>O</v>
      </c>
      <c r="I59" s="45" t="str">
        <f ca="1">IF(
  $A59=I$1,
  IF( ROW(I59)=2, "+", IF(COUNTIF($B59:H59,"X")=0, "+", "-") ),
  IF(
    $A59&lt;I$1,
    "O",
    IF( OFFSET(I$1, COLUMN(I59)-1, 0)="-", "O", IF(MOD($A59, I$1)=0, "X", "O") )
  )
)</f>
        <v>O</v>
      </c>
      <c r="J59" s="45" t="str">
        <f ca="1">IF(
  $A59=J$1,
  IF( ROW(J59)=2, "+", IF(COUNTIF($B59:I59,"X")=0, "+", "-") ),
  IF(
    $A59&lt;J$1,
    "O",
    IF( OFFSET(J$1, COLUMN(J59)-1, 0)="-", "O", IF(MOD($A59, J$1)=0, "X", "O") )
  )
)</f>
        <v>O</v>
      </c>
      <c r="K59" s="44" t="str">
        <f ca="1">IF(
  $A59=K$1,
  IF( ROW(K59)=2, "+", IF(COUNTIF($B59:J59,"X")=0, "+", "-") ),
  IF(
    $A59&lt;K$1,
    "O",
    IF( OFFSET(K$1, COLUMN(K59)-1, 0)="-", "O", IF(MOD($A59, K$1)=0, "X", "O") )
  )
)</f>
        <v>O</v>
      </c>
      <c r="L59" s="45" t="str">
        <f ca="1">IF(
  $A59=L$1,
  IF( ROW(L59)=2, "+", IF(COUNTIF($B59:K59,"X")=0, "+", "-") ),
  IF(
    $A59&lt;L$1,
    "O",
    IF( OFFSET(L$1, COLUMN(L59)-1, 0)="-", "O", IF(MOD($A59, L$1)=0, "X", "O") )
  )
)</f>
        <v>O</v>
      </c>
      <c r="M59" s="44" t="str">
        <f ca="1">IF(
  $A59=M$1,
  IF( ROW(M59)=2, "+", IF(COUNTIF($B59:L59,"X")=0, "+", "-") ),
  IF(
    $A59&lt;M$1,
    "O",
    IF( OFFSET(M$1, COLUMN(M59)-1, 0)="-", "O", IF(MOD($A59, M$1)=0, "X", "O") )
  )
)</f>
        <v>O</v>
      </c>
      <c r="N59" s="45" t="str">
        <f ca="1">IF(
  $A59=N$1,
  IF( ROW(N59)=2, "+", IF(COUNTIF($B59:M59,"X")=0, "+", "-") ),
  IF(
    $A59&lt;N$1,
    "O",
    IF( OFFSET(N$1, COLUMN(N59)-1, 0)="-", "O", IF(MOD($A59, N$1)=0, "X", "O") )
  )
)</f>
        <v>O</v>
      </c>
      <c r="O59" s="45" t="str">
        <f ca="1">IF(
  $A59=O$1,
  IF( ROW(O59)=2, "+", IF(COUNTIF($B59:N59,"X")=0, "+", "-") ),
  IF(
    $A59&lt;O$1,
    "O",
    IF( OFFSET(O$1, COLUMN(O59)-1, 0)="-", "O", IF(MOD($A59, O$1)=0, "X", "O") )
  )
)</f>
        <v>O</v>
      </c>
      <c r="P59" s="45" t="str">
        <f ca="1">IF(
  $A59=P$1,
  IF( ROW(P59)=2, "+", IF(COUNTIF($B59:O59,"X")=0, "+", "-") ),
  IF(
    $A59&lt;P$1,
    "O",
    IF( OFFSET(P$1, COLUMN(P59)-1, 0)="-", "O", IF(MOD($A59, P$1)=0, "X", "O") )
  )
)</f>
        <v>O</v>
      </c>
      <c r="Q59" s="44" t="str">
        <f ca="1">IF(
  $A59=Q$1,
  IF( ROW(Q59)=2, "+", IF(COUNTIF($B59:P59,"X")=0, "+", "-") ),
  IF(
    $A59&lt;Q$1,
    "O",
    IF( OFFSET(Q$1, COLUMN(Q59)-1, 0)="-", "O", IF(MOD($A59, Q$1)=0, "X", "O") )
  )
)</f>
        <v>O</v>
      </c>
      <c r="R59" s="45" t="str">
        <f ca="1">IF(
  $A59=R$1,
  IF( ROW(R59)=2, "+", IF(COUNTIF($B59:Q59,"X")=0, "+", "-") ),
  IF(
    $A59&lt;R$1,
    "O",
    IF( OFFSET(R$1, COLUMN(R59)-1, 0)="-", "O", IF(MOD($A59, R$1)=0, "X", "O") )
  )
)</f>
        <v>O</v>
      </c>
      <c r="S59" s="44" t="str">
        <f ca="1">IF(
  $A59=S$1,
  IF( ROW(S59)=2, "+", IF(COUNTIF($B59:R59,"X")=0, "+", "-") ),
  IF(
    $A59&lt;S$1,
    "O",
    IF( OFFSET(S$1, COLUMN(S59)-1, 0)="-", "O", IF(MOD($A59, S$1)=0, "X", "O") )
  )
)</f>
        <v>O</v>
      </c>
      <c r="T59" s="45" t="str">
        <f ca="1">IF(
  $A59=T$1,
  IF( ROW(T59)=2, "+", IF(COUNTIF($B59:S59,"X")=0, "+", "-") ),
  IF(
    $A59&lt;T$1,
    "O",
    IF( OFFSET(T$1, COLUMN(T59)-1, 0)="-", "O", IF(MOD($A59, T$1)=0, "X", "O") )
  )
)</f>
        <v>O</v>
      </c>
      <c r="U59" s="45" t="str">
        <f ca="1">IF(
  $A59=U$1,
  IF( ROW(U59)=2, "+", IF(COUNTIF($B59:T59,"X")=0, "+", "-") ),
  IF(
    $A59&lt;U$1,
    "O",
    IF( OFFSET(U$1, COLUMN(U59)-1, 0)="-", "O", IF(MOD($A59, U$1)=0, "X", "O") )
  )
)</f>
        <v>O</v>
      </c>
      <c r="V59" s="45" t="str">
        <f ca="1">IF(
  $A59=V$1,
  IF( ROW(V59)=2, "+", IF(COUNTIF($B59:U59,"X")=0, "+", "-") ),
  IF(
    $A59&lt;V$1,
    "O",
    IF( OFFSET(V$1, COLUMN(V59)-1, 0)="-", "O", IF(MOD($A59, V$1)=0, "X", "O") )
  )
)</f>
        <v>O</v>
      </c>
      <c r="W59" s="44" t="str">
        <f ca="1">IF(
  $A59=W$1,
  IF( ROW(W59)=2, "+", IF(COUNTIF($B59:V59,"X")=0, "+", "-") ),
  IF(
    $A59&lt;W$1,
    "O",
    IF( OFFSET(W$1, COLUMN(W59)-1, 0)="-", "O", IF(MOD($A59, W$1)=0, "X", "O") )
  )
)</f>
        <v>O</v>
      </c>
      <c r="X59" s="45" t="str">
        <f ca="1">IF(
  $A59=X$1,
  IF( ROW(X59)=2, "+", IF(COUNTIF($B59:W59,"X")=0, "+", "-") ),
  IF(
    $A59&lt;X$1,
    "O",
    IF( OFFSET(X$1, COLUMN(X59)-1, 0)="-", "O", IF(MOD($A59, X$1)=0, "X", "O") )
  )
)</f>
        <v>O</v>
      </c>
      <c r="Y59" s="45" t="str">
        <f ca="1">IF(
  $A59=Y$1,
  IF( ROW(Y59)=2, "+", IF(COUNTIF($B59:X59,"X")=0, "+", "-") ),
  IF(
    $A59&lt;Y$1,
    "O",
    IF( OFFSET(Y$1, COLUMN(Y59)-1, 0)="-", "O", IF(MOD($A59, Y$1)=0, "X", "O") )
  )
)</f>
        <v>O</v>
      </c>
      <c r="Z59" s="45" t="str">
        <f ca="1">IF(
  $A59=Z$1,
  IF( ROW(Z59)=2, "+", IF(COUNTIF($B59:Y59,"X")=0, "+", "-") ),
  IF(
    $A59&lt;Z$1,
    "O",
    IF( OFFSET(Z$1, COLUMN(Z59)-1, 0)="-", "O", IF(MOD($A59, Z$1)=0, "X", "O") )
  )
)</f>
        <v>O</v>
      </c>
      <c r="AA59" s="45" t="str">
        <f ca="1">IF(
  $A59=AA$1,
  IF( ROW(AA59)=2, "+", IF(COUNTIF($B59:Z59,"X")=0, "+", "-") ),
  IF(
    $A59&lt;AA$1,
    "O",
    IF( OFFSET(AA$1, COLUMN(AA59)-1, 0)="-", "O", IF(MOD($A59, AA$1)=0, "X", "O") )
  )
)</f>
        <v>O</v>
      </c>
      <c r="AB59" s="45" t="str">
        <f ca="1">IF(
  $A59=AB$1,
  IF( ROW(AB59)=2, "+", IF(COUNTIF($B59:AA59,"X")=0, "+", "-") ),
  IF(
    $A59&lt;AB$1,
    "O",
    IF( OFFSET(AB$1, COLUMN(AB59)-1, 0)="-", "O", IF(MOD($A59, AB$1)=0, "X", "O") )
  )
)</f>
        <v>O</v>
      </c>
      <c r="AC59" s="44" t="str">
        <f ca="1">IF(
  $A59=AC$1,
  IF( ROW(AC59)=2, "+", IF(COUNTIF($B59:AB59,"X")=0, "+", "-") ),
  IF(
    $A59&lt;AC$1,
    "O",
    IF( OFFSET(AC$1, COLUMN(AC59)-1, 0)="-", "O", IF(MOD($A59, AC$1)=0, "X", "O") )
  )
)</f>
        <v>O</v>
      </c>
      <c r="AD59" s="45" t="str">
        <f ca="1">IF(
  $A59=AD$1,
  IF( ROW(AD59)=2, "+", IF(COUNTIF($B59:AC59,"X")=0, "+", "-") ),
  IF(
    $A59&lt;AD$1,
    "O",
    IF( OFFSET(AD$1, COLUMN(AD59)-1, 0)="-", "O", IF(MOD($A59, AD$1)=0, "X", "O") )
  )
)</f>
        <v>O</v>
      </c>
      <c r="AE59" s="44" t="str">
        <f ca="1">IF(
  $A59=AE$1,
  IF( ROW(AE59)=2, "+", IF(COUNTIF($B59:AD59,"X")=0, "+", "-") ),
  IF(
    $A59&lt;AE$1,
    "O",
    IF( OFFSET(AE$1, COLUMN(AE59)-1, 0)="-", "O", IF(MOD($A59, AE$1)=0, "X", "O") )
  )
)</f>
        <v>O</v>
      </c>
      <c r="AF59" s="45" t="str">
        <f ca="1">IF(
  $A59=AF$1,
  IF( ROW(AF59)=2, "+", IF(COUNTIF($B59:AE59,"X")=0, "+", "-") ),
  IF(
    $A59&lt;AF$1,
    "O",
    IF( OFFSET(AF$1, COLUMN(AF59)-1, 0)="-", "O", IF(MOD($A59, AF$1)=0, "X", "O") )
  )
)</f>
        <v>O</v>
      </c>
      <c r="AG59" s="45" t="str">
        <f ca="1">IF(
  $A59=AG$1,
  IF( ROW(AG59)=2, "+", IF(COUNTIF($B59:AF59,"X")=0, "+", "-") ),
  IF(
    $A59&lt;AG$1,
    "O",
    IF( OFFSET(AG$1, COLUMN(AG59)-1, 0)="-", "O", IF(MOD($A59, AG$1)=0, "X", "O") )
  )
)</f>
        <v>O</v>
      </c>
      <c r="AH59" s="45" t="str">
        <f ca="1">IF(
  $A59=AH$1,
  IF( ROW(AH59)=2, "+", IF(COUNTIF($B59:AG59,"X")=0, "+", "-") ),
  IF(
    $A59&lt;AH$1,
    "O",
    IF( OFFSET(AH$1, COLUMN(AH59)-1, 0)="-", "O", IF(MOD($A59, AH$1)=0, "X", "O") )
  )
)</f>
        <v>O</v>
      </c>
      <c r="AI59" s="45" t="str">
        <f ca="1">IF(
  $A59=AI$1,
  IF( ROW(AI59)=2, "+", IF(COUNTIF($B59:AH59,"X")=0, "+", "-") ),
  IF(
    $A59&lt;AI$1,
    "O",
    IF( OFFSET(AI$1, COLUMN(AI59)-1, 0)="-", "O", IF(MOD($A59, AI$1)=0, "X", "O") )
  )
)</f>
        <v>O</v>
      </c>
      <c r="AJ59" s="45" t="str">
        <f ca="1">IF(
  $A59=AJ$1,
  IF( ROW(AJ59)=2, "+", IF(COUNTIF($B59:AI59,"X")=0, "+", "-") ),
  IF(
    $A59&lt;AJ$1,
    "O",
    IF( OFFSET(AJ$1, COLUMN(AJ59)-1, 0)="-", "O", IF(MOD($A59, AJ$1)=0, "X", "O") )
  )
)</f>
        <v>O</v>
      </c>
      <c r="AK59" s="44" t="str">
        <f ca="1">IF(
  $A59=AK$1,
  IF( ROW(AK59)=2, "+", IF(COUNTIF($B59:AJ59,"X")=0, "+", "-") ),
  IF(
    $A59&lt;AK$1,
    "O",
    IF( OFFSET(AK$1, COLUMN(AK59)-1, 0)="-", "O", IF(MOD($A59, AK$1)=0, "X", "O") )
  )
)</f>
        <v>O</v>
      </c>
      <c r="AL59" s="45" t="str">
        <f ca="1">IF(
  $A59=AL$1,
  IF( ROW(AL59)=2, "+", IF(COUNTIF($B59:AK59,"X")=0, "+", "-") ),
  IF(
    $A59&lt;AL$1,
    "O",
    IF( OFFSET(AL$1, COLUMN(AL59)-1, 0)="-", "O", IF(MOD($A59, AL$1)=0, "X", "O") )
  )
)</f>
        <v>O</v>
      </c>
      <c r="AM59" s="45" t="str">
        <f ca="1">IF(
  $A59=AM$1,
  IF( ROW(AM59)=2, "+", IF(COUNTIF($B59:AL59,"X")=0, "+", "-") ),
  IF(
    $A59&lt;AM$1,
    "O",
    IF( OFFSET(AM$1, COLUMN(AM59)-1, 0)="-", "O", IF(MOD($A59, AM$1)=0, "X", "O") )
  )
)</f>
        <v>O</v>
      </c>
      <c r="AN59" s="45" t="str">
        <f ca="1">IF(
  $A59=AN$1,
  IF( ROW(AN59)=2, "+", IF(COUNTIF($B59:AM59,"X")=0, "+", "-") ),
  IF(
    $A59&lt;AN$1,
    "O",
    IF( OFFSET(AN$1, COLUMN(AN59)-1, 0)="-", "O", IF(MOD($A59, AN$1)=0, "X", "O") )
  )
)</f>
        <v>O</v>
      </c>
      <c r="AO59" s="44" t="str">
        <f ca="1">IF(
  $A59=AO$1,
  IF( ROW(AO59)=2, "+", IF(COUNTIF($B59:AN59,"X")=0, "+", "-") ),
  IF(
    $A59&lt;AO$1,
    "O",
    IF( OFFSET(AO$1, COLUMN(AO59)-1, 0)="-", "O", IF(MOD($A59, AO$1)=0, "X", "O") )
  )
)</f>
        <v>O</v>
      </c>
      <c r="AP59" s="45" t="str">
        <f ca="1">IF(
  $A59=AP$1,
  IF( ROW(AP59)=2, "+", IF(COUNTIF($B59:AO59,"X")=0, "+", "-") ),
  IF(
    $A59&lt;AP$1,
    "O",
    IF( OFFSET(AP$1, COLUMN(AP59)-1, 0)="-", "O", IF(MOD($A59, AP$1)=0, "X", "O") )
  )
)</f>
        <v>O</v>
      </c>
      <c r="AQ59" s="44" t="str">
        <f ca="1">IF(
  $A59=AQ$1,
  IF( ROW(AQ59)=2, "+", IF(COUNTIF($B59:AP59,"X")=0, "+", "-") ),
  IF(
    $A59&lt;AQ$1,
    "O",
    IF( OFFSET(AQ$1, COLUMN(AQ59)-1, 0)="-", "O", IF(MOD($A59, AQ$1)=0, "X", "O") )
  )
)</f>
        <v>O</v>
      </c>
      <c r="AR59" s="45" t="str">
        <f ca="1">IF(
  $A59=AR$1,
  IF( ROW(AR59)=2, "+", IF(COUNTIF($B59:AQ59,"X")=0, "+", "-") ),
  IF(
    $A59&lt;AR$1,
    "O",
    IF( OFFSET(AR$1, COLUMN(AR59)-1, 0)="-", "O", IF(MOD($A59, AR$1)=0, "X", "O") )
  )
)</f>
        <v>O</v>
      </c>
      <c r="AS59" s="45" t="str">
        <f ca="1">IF(
  $A59=AS$1,
  IF( ROW(AS59)=2, "+", IF(COUNTIF($B59:AR59,"X")=0, "+", "-") ),
  IF(
    $A59&lt;AS$1,
    "O",
    IF( OFFSET(AS$1, COLUMN(AS59)-1, 0)="-", "O", IF(MOD($A59, AS$1)=0, "X", "O") )
  )
)</f>
        <v>O</v>
      </c>
      <c r="AT59" s="45" t="str">
        <f ca="1">IF(
  $A59=AT$1,
  IF( ROW(AT59)=2, "+", IF(COUNTIF($B59:AS59,"X")=0, "+", "-") ),
  IF(
    $A59&lt;AT$1,
    "O",
    IF( OFFSET(AT$1, COLUMN(AT59)-1, 0)="-", "O", IF(MOD($A59, AT$1)=0, "X", "O") )
  )
)</f>
        <v>O</v>
      </c>
      <c r="AU59" s="44" t="str">
        <f ca="1">IF(
  $A59=AU$1,
  IF( ROW(AU59)=2, "+", IF(COUNTIF($B59:AT59,"X")=0, "+", "-") ),
  IF(
    $A59&lt;AU$1,
    "O",
    IF( OFFSET(AU$1, COLUMN(AU59)-1, 0)="-", "O", IF(MOD($A59, AU$1)=0, "X", "O") )
  )
)</f>
        <v>O</v>
      </c>
      <c r="AV59" s="45" t="str">
        <f ca="1">IF(
  $A59=AV$1,
  IF( ROW(AV59)=2, "+", IF(COUNTIF($B59:AU59,"X")=0, "+", "-") ),
  IF(
    $A59&lt;AV$1,
    "O",
    IF( OFFSET(AV$1, COLUMN(AV59)-1, 0)="-", "O", IF(MOD($A59, AV$1)=0, "X", "O") )
  )
)</f>
        <v>O</v>
      </c>
      <c r="AW59" s="45" t="str">
        <f ca="1">IF(
  $A59=AW$1,
  IF( ROW(AW59)=2, "+", IF(COUNTIF($B59:AV59,"X")=0, "+", "-") ),
  IF(
    $A59&lt;AW$1,
    "O",
    IF( OFFSET(AW$1, COLUMN(AW59)-1, 0)="-", "O", IF(MOD($A59, AW$1)=0, "X", "O") )
  )
)</f>
        <v>O</v>
      </c>
      <c r="AX59" s="45" t="str">
        <f ca="1">IF(
  $A59=AX$1,
  IF( ROW(AX59)=2, "+", IF(COUNTIF($B59:AW59,"X")=0, "+", "-") ),
  IF(
    $A59&lt;AX$1,
    "O",
    IF( OFFSET(AX$1, COLUMN(AX59)-1, 0)="-", "O", IF(MOD($A59, AX$1)=0, "X", "O") )
  )
)</f>
        <v>O</v>
      </c>
      <c r="AY59" s="45" t="str">
        <f ca="1">IF(
  $A59=AY$1,
  IF( ROW(AY59)=2, "+", IF(COUNTIF($B59:AX59,"X")=0, "+", "-") ),
  IF(
    $A59&lt;AY$1,
    "O",
    IF( OFFSET(AY$1, COLUMN(AY59)-1, 0)="-", "O", IF(MOD($A59, AY$1)=0, "X", "O") )
  )
)</f>
        <v>O</v>
      </c>
      <c r="AZ59" s="45" t="str">
        <f ca="1">IF(
  $A59=AZ$1,
  IF( ROW(AZ59)=2, "+", IF(COUNTIF($B59:AY59,"X")=0, "+", "-") ),
  IF(
    $A59&lt;AZ$1,
    "O",
    IF( OFFSET(AZ$1, COLUMN(AZ59)-1, 0)="-", "O", IF(MOD($A59, AZ$1)=0, "X", "O") )
  )
)</f>
        <v>O</v>
      </c>
      <c r="BA59" s="44" t="str">
        <f ca="1">IF(
  $A59=BA$1,
  IF( ROW(BA59)=2, "+", IF(COUNTIF($B59:AZ59,"X")=0, "+", "-") ),
  IF(
    $A59&lt;BA$1,
    "O",
    IF( OFFSET(BA$1, COLUMN(BA59)-1, 0)="-", "O", IF(MOD($A59, BA$1)=0, "X", "O") )
  )
)</f>
        <v>O</v>
      </c>
      <c r="BB59" s="45" t="str">
        <f ca="1">IF(
  $A59=BB$1,
  IF( ROW(BB59)=2, "+", IF(COUNTIF($B59:BA59,"X")=0, "+", "-") ),
  IF(
    $A59&lt;BB$1,
    "O",
    IF( OFFSET(BB$1, COLUMN(BB59)-1, 0)="-", "O", IF(MOD($A59, BB$1)=0, "X", "O") )
  )
)</f>
        <v>O</v>
      </c>
      <c r="BC59" s="45" t="str">
        <f ca="1">IF(
  $A59=BC$1,
  IF( ROW(BC59)=2, "+", IF(COUNTIF($B59:BB59,"X")=0, "+", "-") ),
  IF(
    $A59&lt;BC$1,
    "O",
    IF( OFFSET(BC$1, COLUMN(BC59)-1, 0)="-", "O", IF(MOD($A59, BC$1)=0, "X", "O") )
  )
)</f>
        <v>O</v>
      </c>
      <c r="BD59" s="45" t="str">
        <f ca="1">IF(
  $A59=BD$1,
  IF( ROW(BD59)=2, "+", IF(COUNTIF($B59:BC59,"X")=0, "+", "-") ),
  IF(
    $A59&lt;BD$1,
    "O",
    IF( OFFSET(BD$1, COLUMN(BD59)-1, 0)="-", "O", IF(MOD($A59, BD$1)=0, "X", "O") )
  )
)</f>
        <v>O</v>
      </c>
      <c r="BE59" s="45" t="str">
        <f ca="1">IF(
  $A59=BE$1,
  IF( ROW(BE59)=2, "+", IF(COUNTIF($B59:BD59,"X")=0, "+", "-") ),
  IF(
    $A59&lt;BE$1,
    "O",
    IF( OFFSET(BE$1, COLUMN(BE59)-1, 0)="-", "O", IF(MOD($A59, BE$1)=0, "X", "O") )
  )
)</f>
        <v>O</v>
      </c>
      <c r="BF59" s="45" t="str">
        <f ca="1">IF(
  $A59=BF$1,
  IF( ROW(BF59)=2, "+", IF(COUNTIF($B59:BE59,"X")=0, "+", "-") ),
  IF(
    $A59&lt;BF$1,
    "O",
    IF( OFFSET(BF$1, COLUMN(BF59)-1, 0)="-", "O", IF(MOD($A59, BF$1)=0, "X", "O") )
  )
)</f>
        <v>O</v>
      </c>
      <c r="BG59" s="44" t="str">
        <f ca="1">IF(
  $A59=BG$1,
  IF( ROW(BG59)=2, "+", IF(COUNTIF($B59:BF59,"X")=0, "+", "-") ),
  IF(
    $A59&lt;BG$1,
    "O",
    IF( OFFSET(BG$1, COLUMN(BG59)-1, 0)="-", "O", IF(MOD($A59, BG$1)=0, "X", "O") )
  )
)</f>
        <v>+</v>
      </c>
      <c r="BH59" s="45" t="str">
        <f ca="1">IF(
  $A59=BH$1,
  IF( ROW(BH59)=2, "+", IF(COUNTIF($B59:BG59,"X")=0, "+", "-") ),
  IF(
    $A59&lt;BH$1,
    "O",
    IF( OFFSET(BH$1, COLUMN(BH59)-1, 0)="-", "O", IF(MOD($A59, BH$1)=0, "X", "O") )
  )
)</f>
        <v>O</v>
      </c>
    </row>
    <row r="60" spans="1:60" s="46" customFormat="1" x14ac:dyDescent="0.25">
      <c r="A60">
        <v>60</v>
      </c>
      <c r="B60" s="44" t="str">
        <f ca="1">IF(
  $A60=B$1,
  IF( ROW(B60)=2, "+", IF(COUNTIF(A60:$B60,"X")=0, "+", "-") ),
  IF(
    $A60&lt;B$1,
    "O",
    IF( OFFSET(B$1, COLUMN(B60)-1, 0)="-", "O", IF(MOD($A60, B$1)=0, "X", "O") )
  )
)</f>
        <v>X</v>
      </c>
      <c r="C60" s="44" t="str">
        <f ca="1">IF(
  $A60=C$1,
  IF( ROW(C60)=2, "+", IF(COUNTIF(B60:$B60,"X")=0, "+", "-") ),
  IF(
    $A60&lt;C$1,
    "O",
    IF( OFFSET(C$1, COLUMN(C60)-1, 0)="-", "O", IF(MOD($A60, C$1)=0, "X", "O") )
  )
)</f>
        <v>X</v>
      </c>
      <c r="D60" s="45" t="str">
        <f ca="1">IF(
  $A60=D$1,
  IF( ROW(D60)=2, "+", IF(COUNTIF($B60:C60,"X")=0, "+", "-") ),
  IF(
    $A60&lt;D$1,
    "O",
    IF( OFFSET(D$1, COLUMN(D60)-1, 0)="-", "O", IF(MOD($A60, D$1)=0, "X", "O") )
  )
)</f>
        <v>O</v>
      </c>
      <c r="E60" s="44" t="str">
        <f ca="1">IF(
  $A60=E$1,
  IF( ROW(E60)=2, "+", IF(COUNTIF($B60:D60,"X")=0, "+", "-") ),
  IF(
    $A60&lt;E$1,
    "O",
    IF( OFFSET(E$1, COLUMN(E60)-1, 0)="-", "O", IF(MOD($A60, E$1)=0, "X", "O") )
  )
)</f>
        <v>X</v>
      </c>
      <c r="F60" s="45" t="str">
        <f ca="1">IF(
  $A60=F$1,
  IF( ROW(F60)=2, "+", IF(COUNTIF($B60:E60,"X")=0, "+", "-") ),
  IF(
    $A60&lt;F$1,
    "O",
    IF( OFFSET(F$1, COLUMN(F60)-1, 0)="-", "O", IF(MOD($A60, F$1)=0, "X", "O") )
  )
)</f>
        <v>O</v>
      </c>
      <c r="G60" s="44" t="str">
        <f ca="1">IF(
  $A60=G$1,
  IF( ROW(G60)=2, "+", IF(COUNTIF($B60:F60,"X")=0, "+", "-") ),
  IF(
    $A60&lt;G$1,
    "O",
    IF( OFFSET(G$1, COLUMN(G60)-1, 0)="-", "O", IF(MOD($A60, G$1)=0, "X", "O") )
  )
)</f>
        <v>O</v>
      </c>
      <c r="H60" s="45" t="str">
        <f ca="1">IF(
  $A60=H$1,
  IF( ROW(H60)=2, "+", IF(COUNTIF($B60:G60,"X")=0, "+", "-") ),
  IF(
    $A60&lt;H$1,
    "O",
    IF( OFFSET(H$1, COLUMN(H60)-1, 0)="-", "O", IF(MOD($A60, H$1)=0, "X", "O") )
  )
)</f>
        <v>O</v>
      </c>
      <c r="I60" s="45" t="str">
        <f ca="1">IF(
  $A60=I$1,
  IF( ROW(I60)=2, "+", IF(COUNTIF($B60:H60,"X")=0, "+", "-") ),
  IF(
    $A60&lt;I$1,
    "O",
    IF( OFFSET(I$1, COLUMN(I60)-1, 0)="-", "O", IF(MOD($A60, I$1)=0, "X", "O") )
  )
)</f>
        <v>O</v>
      </c>
      <c r="J60" s="45" t="str">
        <f ca="1">IF(
  $A60=J$1,
  IF( ROW(J60)=2, "+", IF(COUNTIF($B60:I60,"X")=0, "+", "-") ),
  IF(
    $A60&lt;J$1,
    "O",
    IF( OFFSET(J$1, COLUMN(J60)-1, 0)="-", "O", IF(MOD($A60, J$1)=0, "X", "O") )
  )
)</f>
        <v>O</v>
      </c>
      <c r="K60" s="44" t="str">
        <f ca="1">IF(
  $A60=K$1,
  IF( ROW(K60)=2, "+", IF(COUNTIF($B60:J60,"X")=0, "+", "-") ),
  IF(
    $A60&lt;K$1,
    "O",
    IF( OFFSET(K$1, COLUMN(K60)-1, 0)="-", "O", IF(MOD($A60, K$1)=0, "X", "O") )
  )
)</f>
        <v>O</v>
      </c>
      <c r="L60" s="45" t="str">
        <f ca="1">IF(
  $A60=L$1,
  IF( ROW(L60)=2, "+", IF(COUNTIF($B60:K60,"X")=0, "+", "-") ),
  IF(
    $A60&lt;L$1,
    "O",
    IF( OFFSET(L$1, COLUMN(L60)-1, 0)="-", "O", IF(MOD($A60, L$1)=0, "X", "O") )
  )
)</f>
        <v>O</v>
      </c>
      <c r="M60" s="44" t="str">
        <f ca="1">IF(
  $A60=M$1,
  IF( ROW(M60)=2, "+", IF(COUNTIF($B60:L60,"X")=0, "+", "-") ),
  IF(
    $A60&lt;M$1,
    "O",
    IF( OFFSET(M$1, COLUMN(M60)-1, 0)="-", "O", IF(MOD($A60, M$1)=0, "X", "O") )
  )
)</f>
        <v>O</v>
      </c>
      <c r="N60" s="45" t="str">
        <f ca="1">IF(
  $A60=N$1,
  IF( ROW(N60)=2, "+", IF(COUNTIF($B60:M60,"X")=0, "+", "-") ),
  IF(
    $A60&lt;N$1,
    "O",
    IF( OFFSET(N$1, COLUMN(N60)-1, 0)="-", "O", IF(MOD($A60, N$1)=0, "X", "O") )
  )
)</f>
        <v>O</v>
      </c>
      <c r="O60" s="45" t="str">
        <f ca="1">IF(
  $A60=O$1,
  IF( ROW(O60)=2, "+", IF(COUNTIF($B60:N60,"X")=0, "+", "-") ),
  IF(
    $A60&lt;O$1,
    "O",
    IF( OFFSET(O$1, COLUMN(O60)-1, 0)="-", "O", IF(MOD($A60, O$1)=0, "X", "O") )
  )
)</f>
        <v>O</v>
      </c>
      <c r="P60" s="45" t="str">
        <f ca="1">IF(
  $A60=P$1,
  IF( ROW(P60)=2, "+", IF(COUNTIF($B60:O60,"X")=0, "+", "-") ),
  IF(
    $A60&lt;P$1,
    "O",
    IF( OFFSET(P$1, COLUMN(P60)-1, 0)="-", "O", IF(MOD($A60, P$1)=0, "X", "O") )
  )
)</f>
        <v>O</v>
      </c>
      <c r="Q60" s="44" t="str">
        <f ca="1">IF(
  $A60=Q$1,
  IF( ROW(Q60)=2, "+", IF(COUNTIF($B60:P60,"X")=0, "+", "-") ),
  IF(
    $A60&lt;Q$1,
    "O",
    IF( OFFSET(Q$1, COLUMN(Q60)-1, 0)="-", "O", IF(MOD($A60, Q$1)=0, "X", "O") )
  )
)</f>
        <v>O</v>
      </c>
      <c r="R60" s="45" t="str">
        <f ca="1">IF(
  $A60=R$1,
  IF( ROW(R60)=2, "+", IF(COUNTIF($B60:Q60,"X")=0, "+", "-") ),
  IF(
    $A60&lt;R$1,
    "O",
    IF( OFFSET(R$1, COLUMN(R60)-1, 0)="-", "O", IF(MOD($A60, R$1)=0, "X", "O") )
  )
)</f>
        <v>O</v>
      </c>
      <c r="S60" s="44" t="str">
        <f ca="1">IF(
  $A60=S$1,
  IF( ROW(S60)=2, "+", IF(COUNTIF($B60:R60,"X")=0, "+", "-") ),
  IF(
    $A60&lt;S$1,
    "O",
    IF( OFFSET(S$1, COLUMN(S60)-1, 0)="-", "O", IF(MOD($A60, S$1)=0, "X", "O") )
  )
)</f>
        <v>O</v>
      </c>
      <c r="T60" s="45" t="str">
        <f ca="1">IF(
  $A60=T$1,
  IF( ROW(T60)=2, "+", IF(COUNTIF($B60:S60,"X")=0, "+", "-") ),
  IF(
    $A60&lt;T$1,
    "O",
    IF( OFFSET(T$1, COLUMN(T60)-1, 0)="-", "O", IF(MOD($A60, T$1)=0, "X", "O") )
  )
)</f>
        <v>O</v>
      </c>
      <c r="U60" s="45" t="str">
        <f ca="1">IF(
  $A60=U$1,
  IF( ROW(U60)=2, "+", IF(COUNTIF($B60:T60,"X")=0, "+", "-") ),
  IF(
    $A60&lt;U$1,
    "O",
    IF( OFFSET(U$1, COLUMN(U60)-1, 0)="-", "O", IF(MOD($A60, U$1)=0, "X", "O") )
  )
)</f>
        <v>O</v>
      </c>
      <c r="V60" s="45" t="str">
        <f ca="1">IF(
  $A60=V$1,
  IF( ROW(V60)=2, "+", IF(COUNTIF($B60:U60,"X")=0, "+", "-") ),
  IF(
    $A60&lt;V$1,
    "O",
    IF( OFFSET(V$1, COLUMN(V60)-1, 0)="-", "O", IF(MOD($A60, V$1)=0, "X", "O") )
  )
)</f>
        <v>O</v>
      </c>
      <c r="W60" s="44" t="str">
        <f ca="1">IF(
  $A60=W$1,
  IF( ROW(W60)=2, "+", IF(COUNTIF($B60:V60,"X")=0, "+", "-") ),
  IF(
    $A60&lt;W$1,
    "O",
    IF( OFFSET(W$1, COLUMN(W60)-1, 0)="-", "O", IF(MOD($A60, W$1)=0, "X", "O") )
  )
)</f>
        <v>O</v>
      </c>
      <c r="X60" s="45" t="str">
        <f ca="1">IF(
  $A60=X$1,
  IF( ROW(X60)=2, "+", IF(COUNTIF($B60:W60,"X")=0, "+", "-") ),
  IF(
    $A60&lt;X$1,
    "O",
    IF( OFFSET(X$1, COLUMN(X60)-1, 0)="-", "O", IF(MOD($A60, X$1)=0, "X", "O") )
  )
)</f>
        <v>O</v>
      </c>
      <c r="Y60" s="45" t="str">
        <f ca="1">IF(
  $A60=Y$1,
  IF( ROW(Y60)=2, "+", IF(COUNTIF($B60:X60,"X")=0, "+", "-") ),
  IF(
    $A60&lt;Y$1,
    "O",
    IF( OFFSET(Y$1, COLUMN(Y60)-1, 0)="-", "O", IF(MOD($A60, Y$1)=0, "X", "O") )
  )
)</f>
        <v>O</v>
      </c>
      <c r="Z60" s="45" t="str">
        <f ca="1">IF(
  $A60=Z$1,
  IF( ROW(Z60)=2, "+", IF(COUNTIF($B60:Y60,"X")=0, "+", "-") ),
  IF(
    $A60&lt;Z$1,
    "O",
    IF( OFFSET(Z$1, COLUMN(Z60)-1, 0)="-", "O", IF(MOD($A60, Z$1)=0, "X", "O") )
  )
)</f>
        <v>O</v>
      </c>
      <c r="AA60" s="45" t="str">
        <f ca="1">IF(
  $A60=AA$1,
  IF( ROW(AA60)=2, "+", IF(COUNTIF($B60:Z60,"X")=0, "+", "-") ),
  IF(
    $A60&lt;AA$1,
    "O",
    IF( OFFSET(AA$1, COLUMN(AA60)-1, 0)="-", "O", IF(MOD($A60, AA$1)=0, "X", "O") )
  )
)</f>
        <v>O</v>
      </c>
      <c r="AB60" s="45" t="str">
        <f ca="1">IF(
  $A60=AB$1,
  IF( ROW(AB60)=2, "+", IF(COUNTIF($B60:AA60,"X")=0, "+", "-") ),
  IF(
    $A60&lt;AB$1,
    "O",
    IF( OFFSET(AB$1, COLUMN(AB60)-1, 0)="-", "O", IF(MOD($A60, AB$1)=0, "X", "O") )
  )
)</f>
        <v>O</v>
      </c>
      <c r="AC60" s="44" t="str">
        <f ca="1">IF(
  $A60=AC$1,
  IF( ROW(AC60)=2, "+", IF(COUNTIF($B60:AB60,"X")=0, "+", "-") ),
  IF(
    $A60&lt;AC$1,
    "O",
    IF( OFFSET(AC$1, COLUMN(AC60)-1, 0)="-", "O", IF(MOD($A60, AC$1)=0, "X", "O") )
  )
)</f>
        <v>O</v>
      </c>
      <c r="AD60" s="45" t="str">
        <f ca="1">IF(
  $A60=AD$1,
  IF( ROW(AD60)=2, "+", IF(COUNTIF($B60:AC60,"X")=0, "+", "-") ),
  IF(
    $A60&lt;AD$1,
    "O",
    IF( OFFSET(AD$1, COLUMN(AD60)-1, 0)="-", "O", IF(MOD($A60, AD$1)=0, "X", "O") )
  )
)</f>
        <v>O</v>
      </c>
      <c r="AE60" s="44" t="str">
        <f ca="1">IF(
  $A60=AE$1,
  IF( ROW(AE60)=2, "+", IF(COUNTIF($B60:AD60,"X")=0, "+", "-") ),
  IF(
    $A60&lt;AE$1,
    "O",
    IF( OFFSET(AE$1, COLUMN(AE60)-1, 0)="-", "O", IF(MOD($A60, AE$1)=0, "X", "O") )
  )
)</f>
        <v>O</v>
      </c>
      <c r="AF60" s="45" t="str">
        <f ca="1">IF(
  $A60=AF$1,
  IF( ROW(AF60)=2, "+", IF(COUNTIF($B60:AE60,"X")=0, "+", "-") ),
  IF(
    $A60&lt;AF$1,
    "O",
    IF( OFFSET(AF$1, COLUMN(AF60)-1, 0)="-", "O", IF(MOD($A60, AF$1)=0, "X", "O") )
  )
)</f>
        <v>O</v>
      </c>
      <c r="AG60" s="45" t="str">
        <f ca="1">IF(
  $A60=AG$1,
  IF( ROW(AG60)=2, "+", IF(COUNTIF($B60:AF60,"X")=0, "+", "-") ),
  IF(
    $A60&lt;AG$1,
    "O",
    IF( OFFSET(AG$1, COLUMN(AG60)-1, 0)="-", "O", IF(MOD($A60, AG$1)=0, "X", "O") )
  )
)</f>
        <v>O</v>
      </c>
      <c r="AH60" s="45" t="str">
        <f ca="1">IF(
  $A60=AH$1,
  IF( ROW(AH60)=2, "+", IF(COUNTIF($B60:AG60,"X")=0, "+", "-") ),
  IF(
    $A60&lt;AH$1,
    "O",
    IF( OFFSET(AH$1, COLUMN(AH60)-1, 0)="-", "O", IF(MOD($A60, AH$1)=0, "X", "O") )
  )
)</f>
        <v>O</v>
      </c>
      <c r="AI60" s="45" t="str">
        <f ca="1">IF(
  $A60=AI$1,
  IF( ROW(AI60)=2, "+", IF(COUNTIF($B60:AH60,"X")=0, "+", "-") ),
  IF(
    $A60&lt;AI$1,
    "O",
    IF( OFFSET(AI$1, COLUMN(AI60)-1, 0)="-", "O", IF(MOD($A60, AI$1)=0, "X", "O") )
  )
)</f>
        <v>O</v>
      </c>
      <c r="AJ60" s="45" t="str">
        <f ca="1">IF(
  $A60=AJ$1,
  IF( ROW(AJ60)=2, "+", IF(COUNTIF($B60:AI60,"X")=0, "+", "-") ),
  IF(
    $A60&lt;AJ$1,
    "O",
    IF( OFFSET(AJ$1, COLUMN(AJ60)-1, 0)="-", "O", IF(MOD($A60, AJ$1)=0, "X", "O") )
  )
)</f>
        <v>O</v>
      </c>
      <c r="AK60" s="44" t="str">
        <f ca="1">IF(
  $A60=AK$1,
  IF( ROW(AK60)=2, "+", IF(COUNTIF($B60:AJ60,"X")=0, "+", "-") ),
  IF(
    $A60&lt;AK$1,
    "O",
    IF( OFFSET(AK$1, COLUMN(AK60)-1, 0)="-", "O", IF(MOD($A60, AK$1)=0, "X", "O") )
  )
)</f>
        <v>O</v>
      </c>
      <c r="AL60" s="45" t="str">
        <f ca="1">IF(
  $A60=AL$1,
  IF( ROW(AL60)=2, "+", IF(COUNTIF($B60:AK60,"X")=0, "+", "-") ),
  IF(
    $A60&lt;AL$1,
    "O",
    IF( OFFSET(AL$1, COLUMN(AL60)-1, 0)="-", "O", IF(MOD($A60, AL$1)=0, "X", "O") )
  )
)</f>
        <v>O</v>
      </c>
      <c r="AM60" s="45" t="str">
        <f ca="1">IF(
  $A60=AM$1,
  IF( ROW(AM60)=2, "+", IF(COUNTIF($B60:AL60,"X")=0, "+", "-") ),
  IF(
    $A60&lt;AM$1,
    "O",
    IF( OFFSET(AM$1, COLUMN(AM60)-1, 0)="-", "O", IF(MOD($A60, AM$1)=0, "X", "O") )
  )
)</f>
        <v>O</v>
      </c>
      <c r="AN60" s="45" t="str">
        <f ca="1">IF(
  $A60=AN$1,
  IF( ROW(AN60)=2, "+", IF(COUNTIF($B60:AM60,"X")=0, "+", "-") ),
  IF(
    $A60&lt;AN$1,
    "O",
    IF( OFFSET(AN$1, COLUMN(AN60)-1, 0)="-", "O", IF(MOD($A60, AN$1)=0, "X", "O") )
  )
)</f>
        <v>O</v>
      </c>
      <c r="AO60" s="44" t="str">
        <f ca="1">IF(
  $A60=AO$1,
  IF( ROW(AO60)=2, "+", IF(COUNTIF($B60:AN60,"X")=0, "+", "-") ),
  IF(
    $A60&lt;AO$1,
    "O",
    IF( OFFSET(AO$1, COLUMN(AO60)-1, 0)="-", "O", IF(MOD($A60, AO$1)=0, "X", "O") )
  )
)</f>
        <v>O</v>
      </c>
      <c r="AP60" s="45" t="str">
        <f ca="1">IF(
  $A60=AP$1,
  IF( ROW(AP60)=2, "+", IF(COUNTIF($B60:AO60,"X")=0, "+", "-") ),
  IF(
    $A60&lt;AP$1,
    "O",
    IF( OFFSET(AP$1, COLUMN(AP60)-1, 0)="-", "O", IF(MOD($A60, AP$1)=0, "X", "O") )
  )
)</f>
        <v>O</v>
      </c>
      <c r="AQ60" s="44" t="str">
        <f ca="1">IF(
  $A60=AQ$1,
  IF( ROW(AQ60)=2, "+", IF(COUNTIF($B60:AP60,"X")=0, "+", "-") ),
  IF(
    $A60&lt;AQ$1,
    "O",
    IF( OFFSET(AQ$1, COLUMN(AQ60)-1, 0)="-", "O", IF(MOD($A60, AQ$1)=0, "X", "O") )
  )
)</f>
        <v>O</v>
      </c>
      <c r="AR60" s="45" t="str">
        <f ca="1">IF(
  $A60=AR$1,
  IF( ROW(AR60)=2, "+", IF(COUNTIF($B60:AQ60,"X")=0, "+", "-") ),
  IF(
    $A60&lt;AR$1,
    "O",
    IF( OFFSET(AR$1, COLUMN(AR60)-1, 0)="-", "O", IF(MOD($A60, AR$1)=0, "X", "O") )
  )
)</f>
        <v>O</v>
      </c>
      <c r="AS60" s="45" t="str">
        <f ca="1">IF(
  $A60=AS$1,
  IF( ROW(AS60)=2, "+", IF(COUNTIF($B60:AR60,"X")=0, "+", "-") ),
  IF(
    $A60&lt;AS$1,
    "O",
    IF( OFFSET(AS$1, COLUMN(AS60)-1, 0)="-", "O", IF(MOD($A60, AS$1)=0, "X", "O") )
  )
)</f>
        <v>O</v>
      </c>
      <c r="AT60" s="45" t="str">
        <f ca="1">IF(
  $A60=AT$1,
  IF( ROW(AT60)=2, "+", IF(COUNTIF($B60:AS60,"X")=0, "+", "-") ),
  IF(
    $A60&lt;AT$1,
    "O",
    IF( OFFSET(AT$1, COLUMN(AT60)-1, 0)="-", "O", IF(MOD($A60, AT$1)=0, "X", "O") )
  )
)</f>
        <v>O</v>
      </c>
      <c r="AU60" s="44" t="str">
        <f ca="1">IF(
  $A60=AU$1,
  IF( ROW(AU60)=2, "+", IF(COUNTIF($B60:AT60,"X")=0, "+", "-") ),
  IF(
    $A60&lt;AU$1,
    "O",
    IF( OFFSET(AU$1, COLUMN(AU60)-1, 0)="-", "O", IF(MOD($A60, AU$1)=0, "X", "O") )
  )
)</f>
        <v>O</v>
      </c>
      <c r="AV60" s="45" t="str">
        <f ca="1">IF(
  $A60=AV$1,
  IF( ROW(AV60)=2, "+", IF(COUNTIF($B60:AU60,"X")=0, "+", "-") ),
  IF(
    $A60&lt;AV$1,
    "O",
    IF( OFFSET(AV$1, COLUMN(AV60)-1, 0)="-", "O", IF(MOD($A60, AV$1)=0, "X", "O") )
  )
)</f>
        <v>O</v>
      </c>
      <c r="AW60" s="45" t="str">
        <f ca="1">IF(
  $A60=AW$1,
  IF( ROW(AW60)=2, "+", IF(COUNTIF($B60:AV60,"X")=0, "+", "-") ),
  IF(
    $A60&lt;AW$1,
    "O",
    IF( OFFSET(AW$1, COLUMN(AW60)-1, 0)="-", "O", IF(MOD($A60, AW$1)=0, "X", "O") )
  )
)</f>
        <v>O</v>
      </c>
      <c r="AX60" s="45" t="str">
        <f ca="1">IF(
  $A60=AX$1,
  IF( ROW(AX60)=2, "+", IF(COUNTIF($B60:AW60,"X")=0, "+", "-") ),
  IF(
    $A60&lt;AX$1,
    "O",
    IF( OFFSET(AX$1, COLUMN(AX60)-1, 0)="-", "O", IF(MOD($A60, AX$1)=0, "X", "O") )
  )
)</f>
        <v>O</v>
      </c>
      <c r="AY60" s="45" t="str">
        <f ca="1">IF(
  $A60=AY$1,
  IF( ROW(AY60)=2, "+", IF(COUNTIF($B60:AX60,"X")=0, "+", "-") ),
  IF(
    $A60&lt;AY$1,
    "O",
    IF( OFFSET(AY$1, COLUMN(AY60)-1, 0)="-", "O", IF(MOD($A60, AY$1)=0, "X", "O") )
  )
)</f>
        <v>O</v>
      </c>
      <c r="AZ60" s="45" t="str">
        <f ca="1">IF(
  $A60=AZ$1,
  IF( ROW(AZ60)=2, "+", IF(COUNTIF($B60:AY60,"X")=0, "+", "-") ),
  IF(
    $A60&lt;AZ$1,
    "O",
    IF( OFFSET(AZ$1, COLUMN(AZ60)-1, 0)="-", "O", IF(MOD($A60, AZ$1)=0, "X", "O") )
  )
)</f>
        <v>O</v>
      </c>
      <c r="BA60" s="44" t="str">
        <f ca="1">IF(
  $A60=BA$1,
  IF( ROW(BA60)=2, "+", IF(COUNTIF($B60:AZ60,"X")=0, "+", "-") ),
  IF(
    $A60&lt;BA$1,
    "O",
    IF( OFFSET(BA$1, COLUMN(BA60)-1, 0)="-", "O", IF(MOD($A60, BA$1)=0, "X", "O") )
  )
)</f>
        <v>O</v>
      </c>
      <c r="BB60" s="45" t="str">
        <f ca="1">IF(
  $A60=BB$1,
  IF( ROW(BB60)=2, "+", IF(COUNTIF($B60:BA60,"X")=0, "+", "-") ),
  IF(
    $A60&lt;BB$1,
    "O",
    IF( OFFSET(BB$1, COLUMN(BB60)-1, 0)="-", "O", IF(MOD($A60, BB$1)=0, "X", "O") )
  )
)</f>
        <v>O</v>
      </c>
      <c r="BC60" s="45" t="str">
        <f ca="1">IF(
  $A60=BC$1,
  IF( ROW(BC60)=2, "+", IF(COUNTIF($B60:BB60,"X")=0, "+", "-") ),
  IF(
    $A60&lt;BC$1,
    "O",
    IF( OFFSET(BC$1, COLUMN(BC60)-1, 0)="-", "O", IF(MOD($A60, BC$1)=0, "X", "O") )
  )
)</f>
        <v>O</v>
      </c>
      <c r="BD60" s="45" t="str">
        <f ca="1">IF(
  $A60=BD$1,
  IF( ROW(BD60)=2, "+", IF(COUNTIF($B60:BC60,"X")=0, "+", "-") ),
  IF(
    $A60&lt;BD$1,
    "O",
    IF( OFFSET(BD$1, COLUMN(BD60)-1, 0)="-", "O", IF(MOD($A60, BD$1)=0, "X", "O") )
  )
)</f>
        <v>O</v>
      </c>
      <c r="BE60" s="45" t="str">
        <f ca="1">IF(
  $A60=BE$1,
  IF( ROW(BE60)=2, "+", IF(COUNTIF($B60:BD60,"X")=0, "+", "-") ),
  IF(
    $A60&lt;BE$1,
    "O",
    IF( OFFSET(BE$1, COLUMN(BE60)-1, 0)="-", "O", IF(MOD($A60, BE$1)=0, "X", "O") )
  )
)</f>
        <v>O</v>
      </c>
      <c r="BF60" s="45" t="str">
        <f ca="1">IF(
  $A60=BF$1,
  IF( ROW(BF60)=2, "+", IF(COUNTIF($B60:BE60,"X")=0, "+", "-") ),
  IF(
    $A60&lt;BF$1,
    "O",
    IF( OFFSET(BF$1, COLUMN(BF60)-1, 0)="-", "O", IF(MOD($A60, BF$1)=0, "X", "O") )
  )
)</f>
        <v>O</v>
      </c>
      <c r="BG60" s="44" t="str">
        <f ca="1">IF(
  $A60=BG$1,
  IF( ROW(BG60)=2, "+", IF(COUNTIF($B60:BF60,"X")=0, "+", "-") ),
  IF(
    $A60&lt;BG$1,
    "O",
    IF( OFFSET(BG$1, COLUMN(BG60)-1, 0)="-", "O", IF(MOD($A60, BG$1)=0, "X", "O") )
  )
)</f>
        <v>O</v>
      </c>
      <c r="BH60" s="45" t="str">
        <f ca="1">IF(
  $A60=BH$1,
  IF( ROW(BH60)=2, "+", IF(COUNTIF($B60:BG60,"X")=0, "+", "-") ),
  IF(
    $A60&lt;BH$1,
    "O",
    IF( OFFSET(BH$1, COLUMN(BH60)-1, 0)="-", "O", IF(MOD($A60, BH$1)=0, "X", "O") )
  )
)</f>
        <v>-</v>
      </c>
    </row>
  </sheetData>
  <conditionalFormatting sqref="BJ2 B2:BH60">
    <cfRule type="expression" dxfId="1" priority="1">
      <formula>AND(COLUMN(B2)&lt;ROW(B2), OR($B2:$BH2 = "+"))</formula>
    </cfRule>
    <cfRule type="expression" dxfId="2" priority="3">
      <formula>AND(COLUMN(B2)=ROW(B2), B2="-")</formula>
    </cfRule>
    <cfRule type="expression" dxfId="3" priority="4">
      <formula>AND(COLUMN(B2)=ROW(B2), B2="+")</formula>
    </cfRule>
    <cfRule type="expression" dxfId="5" priority="5">
      <formula>AND(COLUMN(B2)&lt;ROW(B2), B2="X")</formula>
    </cfRule>
    <cfRule type="expression" dxfId="4" priority="6">
      <formula>COLUMN(B2)&gt;ROW(B2)</formula>
    </cfRule>
  </conditionalFormatting>
  <conditionalFormatting sqref="A2:A60">
    <cfRule type="expression" dxfId="0" priority="2">
      <formula>OFFSET(A2,0,ROW(A2)-1)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7</vt:i4>
      </vt:variant>
      <vt:variant>
        <vt:lpstr>Névvel ellátott tartományok</vt:lpstr>
      </vt:variant>
      <vt:variant>
        <vt:i4>2</vt:i4>
      </vt:variant>
    </vt:vector>
  </HeadingPairs>
  <TitlesOfParts>
    <vt:vector size="9" baseType="lpstr">
      <vt:lpstr>ForrásBontás</vt:lpstr>
      <vt:lpstr>GörögIdővonal</vt:lpstr>
      <vt:lpstr>Történelem</vt:lpstr>
      <vt:lpstr>Euclid</vt:lpstr>
      <vt:lpstr>Thales</vt:lpstr>
      <vt:lpstr>Eratosthenes q elötti</vt:lpstr>
      <vt:lpstr>Eratosthenes</vt:lpstr>
      <vt:lpstr>Thales!kör_r</vt:lpstr>
      <vt:lpstr>összes_adat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Kornél Patyi</dc:creator>
  <cp:lastModifiedBy>Kornél Patyi</cp:lastModifiedBy>
  <dcterms:created xsi:type="dcterms:W3CDTF">2025-02-21T07:38:17Z</dcterms:created>
  <dcterms:modified xsi:type="dcterms:W3CDTF">2025-03-02T17:37:43Z</dcterms:modified>
</cp:coreProperties>
</file>